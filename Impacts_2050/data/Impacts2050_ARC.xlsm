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charts/chart17.xml" ContentType="application/vnd.openxmlformats-officedocument.drawingml.chart+xml"/>
  <Override PartName="/xl/charts/style15.xml" ContentType="application/vnd.ms-office.chartstyle+xml"/>
  <Override PartName="/xl/charts/colors15.xml" ContentType="application/vnd.ms-office.chartcolorstyle+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charts/chart19.xml" ContentType="application/vnd.openxmlformats-officedocument.drawingml.chart+xml"/>
  <Override PartName="/xl/charts/style17.xml" ContentType="application/vnd.ms-office.chartstyle+xml"/>
  <Override PartName="/xl/charts/colors17.xml" ContentType="application/vnd.ms-office.chartcolorstyle+xml"/>
  <Override PartName="/xl/charts/chart20.xml" ContentType="application/vnd.openxmlformats-officedocument.drawingml.chart+xml"/>
  <Override PartName="/xl/charts/style18.xml" ContentType="application/vnd.ms-office.chartstyle+xml"/>
  <Override PartName="/xl/charts/colors18.xml" ContentType="application/vnd.ms-office.chartcolorstyle+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G:\SHRP2 - Round 5\10 - Deliverables\Github\Impacts 2050\"/>
    </mc:Choice>
  </mc:AlternateContent>
  <bookViews>
    <workbookView xWindow="0" yWindow="-15" windowWidth="2595" windowHeight="7680" tabRatio="787" firstSheet="1" activeTab="2"/>
  </bookViews>
  <sheets>
    <sheet name="Main Menu" sheetId="1" r:id="rId1"/>
    <sheet name="Full Steam Ahead" sheetId="10" r:id="rId2"/>
    <sheet name="Tech Reigns" sheetId="19" r:id="rId3"/>
    <sheet name="Green Growth" sheetId="18" r:id="rId4"/>
    <sheet name="Fierce Headwinds" sheetId="17" r:id="rId5"/>
    <sheet name="Demographic initial values" sheetId="8" r:id="rId6"/>
    <sheet name="Employment initial values" sheetId="11" r:id="rId7"/>
    <sheet name="Land use initial values" sheetId="12" r:id="rId8"/>
    <sheet name="Transp. supply initial values" sheetId="13" r:id="rId9"/>
    <sheet name="Demographic transition rates" sheetId="9" r:id="rId10"/>
    <sheet name="Demographic seed matrix" sheetId="7" r:id="rId11"/>
    <sheet name="Travel behavior models" sheetId="14" r:id="rId12"/>
    <sheet name="Outputs" sheetId="22" r:id="rId13"/>
    <sheet name="Output Charts" sheetId="23" r:id="rId14"/>
  </sheets>
  <externalReferences>
    <externalReference r:id="rId15"/>
    <externalReference r:id="rId16"/>
  </externalReferences>
  <definedNames>
    <definedName name="ChartRange">OFFSET(#REF!,0,0,1+COUNT(#REF!),102)</definedName>
    <definedName name="SelVarRange">#REF!</definedName>
    <definedName name="VarList">#REF!</definedName>
    <definedName name="wksDemographicInitialValues1">'Demographic initial values'!$A$6:$A$11</definedName>
    <definedName name="wksDemographicInitialValues2">'Demographic initial values'!$A$18:$A$21</definedName>
    <definedName name="wksDemographicInitialValues3">'Demographic initial values'!$A$28:$A$39</definedName>
    <definedName name="wksDemographicInitialValues4">'Demographic initial values'!$A$46:$A$48</definedName>
    <definedName name="wksDemographicInitialValues5">'Demographic initial values'!$A$55:$A$56</definedName>
    <definedName name="wksDemographicInitialValues6">'Demographic initial values'!$A$63:$A$65</definedName>
    <definedName name="wksDemographicSeedMatrix">'Demographic seed matrix'!$G$6:$M$1085</definedName>
    <definedName name="wksDemogTransitionRates1">'Demographic transition rates'!$D$5:$Q$148</definedName>
    <definedName name="wksDemogTransitionRates2">'Demographic transition rates'!$B$151:$B$156</definedName>
    <definedName name="wksDemogTransitionRates3">'Demographic transition rates'!$D$160:$D$165</definedName>
    <definedName name="wksDemogTransitionRates4">'Demographic transition rates'!$B$168:$B$171</definedName>
    <definedName name="wksDemogTransitionRates5">'Demographic transition rates'!$B$177:$D$185</definedName>
    <definedName name="wksDemogTransitionRates6">'Demographic transition rates'!$A$189:$D$209</definedName>
    <definedName name="wksEmploymentInitialValues1">'Employment initial values'!$A$4:$A$12</definedName>
    <definedName name="wksEmploymentInitialValues2">'Employment initial values'!$A$15:$A$23</definedName>
    <definedName name="wksEmploymentInitialValues3">'Employment initial values'!$B$26:$B$28</definedName>
    <definedName name="wksEmploymentInitialValues4">'Employment initial values'!$B$33:$D$41</definedName>
    <definedName name="wksEmploymentInitialValues5">'Employment initial values'!$A$45:$D$65</definedName>
    <definedName name="wksGentle1">'Green Growth'!$B$4:$L$30</definedName>
    <definedName name="wksGentle2">'Green Growth'!$B$33:$L$41</definedName>
    <definedName name="wksGentle3">'Green Growth'!$B$44:$L$46</definedName>
    <definedName name="wksGentle4">'Green Growth'!$B$49:$L$51</definedName>
    <definedName name="wksGentle5">'Green Growth'!$B$54:$L$57</definedName>
    <definedName name="wksGentle6">'Green Growth'!$B$60:$L$63</definedName>
    <definedName name="wksGlobal1">'Fierce Headwinds'!$B$4:$L$30</definedName>
    <definedName name="wksGlobal2">'Fierce Headwinds'!$B$33:$L$41</definedName>
    <definedName name="wksGlobal3">'Fierce Headwinds'!$B$44:$L$46</definedName>
    <definedName name="wksGlobal4">'Fierce Headwinds'!$B$49:$L$51</definedName>
    <definedName name="wksGlobal5">'Fierce Headwinds'!$B$54:$L$57</definedName>
    <definedName name="wksGlobal6">'Fierce Headwinds'!$B$60:$L$63</definedName>
    <definedName name="wksLandUseInitialValues1">'Land use initial values'!$A$4:$A$15</definedName>
    <definedName name="wksLandUseInitialValues2">'Land use initial values'!$B$18:$B$22</definedName>
    <definedName name="wksLandUseInitialValues3">'Land use initial values'!$B$26:$E$28</definedName>
    <definedName name="wksLandUseInitialValues4">'Land use initial values'!$B$32:$D$34</definedName>
    <definedName name="wksLandUseInitialValues5">'Land use initial values'!$B$38:$C$40</definedName>
    <definedName name="wksMomentum1">'Full Steam Ahead'!$B$4:$L$30</definedName>
    <definedName name="wksMomentum2">'Full Steam Ahead'!$B$33:$L$41</definedName>
    <definedName name="wksMomentum3">'Full Steam Ahead'!$B$44:$L$46</definedName>
    <definedName name="wksMomentum4">'Full Steam Ahead'!$B$49:$L$51</definedName>
    <definedName name="wksMomentum5">'Full Steam Ahead'!$B$54:$L$57</definedName>
    <definedName name="wksMomentum6">'Full Steam Ahead'!$B$60:$L$63</definedName>
    <definedName name="wksRegionList">'Main Menu'!$L$5:$L$10</definedName>
    <definedName name="wksScenarioList">'Main Menu'!$L$13:$L$16</definedName>
    <definedName name="wksScenOutputFileName">'Main Menu'!$H$14</definedName>
    <definedName name="wksSelRegion">'Main Menu'!$H$7</definedName>
    <definedName name="wksSelScenario">'Main Menu'!$H$11</definedName>
    <definedName name="wksTech1">'Tech Reigns'!$B$4:$L$30</definedName>
    <definedName name="wksTech2">'Tech Reigns'!$B$33:$L$41</definedName>
    <definedName name="wksTech3">'Tech Reigns'!$B$44:$L$46</definedName>
    <definedName name="wksTech4">'Tech Reigns'!$B$49:$L$51</definedName>
    <definedName name="wksTech5">'Tech Reigns'!$B$54:$L$57</definedName>
    <definedName name="wksTech6">'Tech Reigns'!$B$60:$L$63</definedName>
    <definedName name="wksTransSupply1">'Transp. supply initial values'!$A$4:$A$14</definedName>
    <definedName name="wksTransSupply2">'Transp. supply initial values'!$B$17:$B$20</definedName>
    <definedName name="wksTransSupply3">'Transp. supply initial values'!$B$24:$D$26</definedName>
    <definedName name="wksTransSupply4">'Transp. supply initial values'!$B$30:$C$32</definedName>
    <definedName name="wksTransSupply5">'Transp. supply initial values'!$B$35:$B$36</definedName>
    <definedName name="wksTransSupply6">'Transp. supply initial values'!$B$40:$J$51</definedName>
    <definedName name="wksTravelBehaviorModels">'Travel behavior models'!$B$6:$P$31</definedName>
  </definedNames>
  <calcPr calcId="171027"/>
</workbook>
</file>

<file path=xl/calcChain.xml><?xml version="1.0" encoding="utf-8"?>
<calcChain xmlns="http://schemas.openxmlformats.org/spreadsheetml/2006/main">
  <c r="E3" i="22" l="1"/>
  <c r="F3" i="22"/>
  <c r="G3" i="22"/>
  <c r="H3" i="22"/>
  <c r="I3" i="22"/>
  <c r="J3" i="22"/>
  <c r="K3" i="22"/>
  <c r="L3" i="22"/>
  <c r="M3" i="22"/>
  <c r="N3" i="22"/>
  <c r="O3" i="22"/>
  <c r="P3" i="22"/>
  <c r="Q3" i="22"/>
  <c r="R3" i="22"/>
  <c r="S3" i="22"/>
  <c r="T3" i="22"/>
  <c r="U3" i="22"/>
  <c r="V3" i="22"/>
  <c r="W3" i="22"/>
  <c r="X3" i="22"/>
  <c r="AA3" i="22" s="1"/>
  <c r="Z3" i="22" s="1"/>
  <c r="Y3" i="22"/>
  <c r="E4" i="22"/>
  <c r="F4" i="22"/>
  <c r="G4" i="22"/>
  <c r="H4" i="22"/>
  <c r="I4" i="22"/>
  <c r="J4" i="22"/>
  <c r="K4" i="22"/>
  <c r="L4" i="22"/>
  <c r="M4" i="22"/>
  <c r="N4" i="22"/>
  <c r="O4" i="22"/>
  <c r="P4" i="22"/>
  <c r="Q4" i="22"/>
  <c r="R4" i="22"/>
  <c r="S4" i="22"/>
  <c r="T4" i="22"/>
  <c r="U4" i="22"/>
  <c r="V4" i="22"/>
  <c r="W4" i="22"/>
  <c r="X4" i="22"/>
  <c r="Y4" i="22"/>
  <c r="AA4" i="22" s="1"/>
  <c r="Z4" i="22" s="1"/>
  <c r="E5" i="22"/>
  <c r="F5" i="22"/>
  <c r="G5" i="22"/>
  <c r="H5" i="22"/>
  <c r="I5" i="22"/>
  <c r="J5" i="22"/>
  <c r="K5" i="22"/>
  <c r="L5" i="22"/>
  <c r="M5" i="22"/>
  <c r="N5" i="22"/>
  <c r="O5" i="22"/>
  <c r="P5" i="22"/>
  <c r="Q5" i="22"/>
  <c r="R5" i="22"/>
  <c r="S5" i="22"/>
  <c r="T5" i="22"/>
  <c r="U5" i="22"/>
  <c r="V5" i="22"/>
  <c r="W5" i="22"/>
  <c r="X5" i="22"/>
  <c r="Y5" i="22"/>
  <c r="Z5" i="22"/>
  <c r="AA5" i="22"/>
  <c r="E6" i="22"/>
  <c r="F6" i="22"/>
  <c r="G6" i="22"/>
  <c r="H6" i="22"/>
  <c r="I6" i="22"/>
  <c r="J6" i="22"/>
  <c r="K6" i="22"/>
  <c r="L6" i="22"/>
  <c r="M6" i="22"/>
  <c r="N6" i="22"/>
  <c r="O6" i="22"/>
  <c r="P6" i="22"/>
  <c r="Q6" i="22"/>
  <c r="R6" i="22"/>
  <c r="S6" i="22"/>
  <c r="T6" i="22"/>
  <c r="U6" i="22"/>
  <c r="V6" i="22"/>
  <c r="W6" i="22"/>
  <c r="X6" i="22"/>
  <c r="Y6" i="22"/>
  <c r="AA6" i="22"/>
  <c r="Z6" i="22" s="1"/>
  <c r="E7" i="22"/>
  <c r="F7" i="22"/>
  <c r="G7" i="22"/>
  <c r="H7" i="22"/>
  <c r="I7" i="22"/>
  <c r="J7" i="22"/>
  <c r="K7" i="22"/>
  <c r="L7" i="22"/>
  <c r="M7" i="22"/>
  <c r="N7" i="22"/>
  <c r="O7" i="22"/>
  <c r="P7" i="22"/>
  <c r="Q7" i="22"/>
  <c r="R7" i="22"/>
  <c r="S7" i="22"/>
  <c r="T7" i="22"/>
  <c r="U7" i="22"/>
  <c r="V7" i="22"/>
  <c r="W7" i="22"/>
  <c r="X7" i="22"/>
  <c r="AA7" i="22" s="1"/>
  <c r="Y7" i="22"/>
  <c r="Z7" i="22"/>
  <c r="E8" i="22"/>
  <c r="F8" i="22"/>
  <c r="G8" i="22"/>
  <c r="H8" i="22"/>
  <c r="I8" i="22"/>
  <c r="J8" i="22"/>
  <c r="K8" i="22"/>
  <c r="L8" i="22"/>
  <c r="M8" i="22"/>
  <c r="N8" i="22"/>
  <c r="O8" i="22"/>
  <c r="P8" i="22"/>
  <c r="Q8" i="22"/>
  <c r="R8" i="22"/>
  <c r="S8" i="22"/>
  <c r="T8" i="22"/>
  <c r="U8" i="22"/>
  <c r="V8" i="22"/>
  <c r="W8" i="22"/>
  <c r="X8" i="22"/>
  <c r="Y8" i="22"/>
  <c r="AA8" i="22" s="1"/>
  <c r="Z8" i="22" s="1"/>
  <c r="E9" i="22"/>
  <c r="F9" i="22"/>
  <c r="G9" i="22"/>
  <c r="H9" i="22"/>
  <c r="I9" i="22"/>
  <c r="J9" i="22"/>
  <c r="K9" i="22"/>
  <c r="L9" i="22"/>
  <c r="M9" i="22"/>
  <c r="N9" i="22"/>
  <c r="O9" i="22"/>
  <c r="P9" i="22"/>
  <c r="Q9" i="22"/>
  <c r="R9" i="22"/>
  <c r="S9" i="22"/>
  <c r="T9" i="22"/>
  <c r="U9" i="22"/>
  <c r="V9" i="22"/>
  <c r="W9" i="22"/>
  <c r="X9" i="22"/>
  <c r="Y9" i="22"/>
  <c r="Z9" i="22"/>
  <c r="AA9" i="22"/>
  <c r="E10" i="22"/>
  <c r="F10" i="22"/>
  <c r="G10" i="22"/>
  <c r="H10" i="22"/>
  <c r="I10" i="22"/>
  <c r="J10" i="22"/>
  <c r="K10" i="22"/>
  <c r="L10" i="22"/>
  <c r="M10" i="22"/>
  <c r="N10" i="22"/>
  <c r="O10" i="22"/>
  <c r="P10" i="22"/>
  <c r="Q10" i="22"/>
  <c r="R10" i="22"/>
  <c r="S10" i="22"/>
  <c r="T10" i="22"/>
  <c r="U10" i="22"/>
  <c r="V10" i="22"/>
  <c r="W10" i="22"/>
  <c r="X10" i="22"/>
  <c r="Y10" i="22"/>
  <c r="AA10" i="22"/>
  <c r="Z10" i="22" s="1"/>
  <c r="E11" i="22"/>
  <c r="F11" i="22"/>
  <c r="G11" i="22"/>
  <c r="H11" i="22"/>
  <c r="I11" i="22"/>
  <c r="J11" i="22"/>
  <c r="K11" i="22"/>
  <c r="L11" i="22"/>
  <c r="M11" i="22"/>
  <c r="N11" i="22"/>
  <c r="O11" i="22"/>
  <c r="P11" i="22"/>
  <c r="Q11" i="22"/>
  <c r="R11" i="22"/>
  <c r="S11" i="22"/>
  <c r="T11" i="22"/>
  <c r="U11" i="22"/>
  <c r="V11" i="22"/>
  <c r="W11" i="22"/>
  <c r="X11" i="22"/>
  <c r="AA11" i="22" s="1"/>
  <c r="Z11" i="22" s="1"/>
  <c r="Y11" i="22"/>
  <c r="E12" i="22"/>
  <c r="F12" i="22"/>
  <c r="G12" i="22"/>
  <c r="H12" i="22"/>
  <c r="I12" i="22"/>
  <c r="J12" i="22"/>
  <c r="K12" i="22"/>
  <c r="L12" i="22"/>
  <c r="M12" i="22"/>
  <c r="N12" i="22"/>
  <c r="O12" i="22"/>
  <c r="P12" i="22"/>
  <c r="Q12" i="22"/>
  <c r="R12" i="22"/>
  <c r="S12" i="22"/>
  <c r="T12" i="22"/>
  <c r="U12" i="22"/>
  <c r="V12" i="22"/>
  <c r="W12" i="22"/>
  <c r="X12" i="22"/>
  <c r="Y12" i="22"/>
  <c r="AA12" i="22" s="1"/>
  <c r="Z12" i="22"/>
  <c r="E13" i="22"/>
  <c r="F13" i="22"/>
  <c r="G13" i="22"/>
  <c r="H13" i="22"/>
  <c r="I13" i="22"/>
  <c r="J13" i="22"/>
  <c r="K13" i="22"/>
  <c r="L13" i="22"/>
  <c r="M13" i="22"/>
  <c r="N13" i="22"/>
  <c r="O13" i="22"/>
  <c r="P13" i="22"/>
  <c r="Q13" i="22"/>
  <c r="R13" i="22"/>
  <c r="S13" i="22"/>
  <c r="T13" i="22"/>
  <c r="U13" i="22"/>
  <c r="V13" i="22"/>
  <c r="W13" i="22"/>
  <c r="X13" i="22"/>
  <c r="Y13" i="22"/>
  <c r="Z13" i="22"/>
  <c r="AA13" i="22"/>
  <c r="E14" i="22"/>
  <c r="F14" i="22"/>
  <c r="G14" i="22"/>
  <c r="H14" i="22"/>
  <c r="I14" i="22"/>
  <c r="J14" i="22"/>
  <c r="K14" i="22"/>
  <c r="L14" i="22"/>
  <c r="M14" i="22"/>
  <c r="N14" i="22"/>
  <c r="O14" i="22"/>
  <c r="P14" i="22"/>
  <c r="Q14" i="22"/>
  <c r="R14" i="22"/>
  <c r="S14" i="22"/>
  <c r="T14" i="22"/>
  <c r="U14" i="22"/>
  <c r="V14" i="22"/>
  <c r="W14" i="22"/>
  <c r="X14" i="22"/>
  <c r="Y14" i="22"/>
  <c r="AA14" i="22"/>
  <c r="Z14" i="22" s="1"/>
  <c r="E15" i="22"/>
  <c r="F15" i="22"/>
  <c r="G15" i="22"/>
  <c r="H15" i="22"/>
  <c r="I15" i="22"/>
  <c r="J15" i="22"/>
  <c r="K15" i="22"/>
  <c r="L15" i="22"/>
  <c r="M15" i="22"/>
  <c r="N15" i="22"/>
  <c r="O15" i="22"/>
  <c r="P15" i="22"/>
  <c r="Q15" i="22"/>
  <c r="R15" i="22"/>
  <c r="S15" i="22"/>
  <c r="T15" i="22"/>
  <c r="U15" i="22"/>
  <c r="V15" i="22"/>
  <c r="W15" i="22"/>
  <c r="X15" i="22"/>
  <c r="AA15" i="22" s="1"/>
  <c r="Z15" i="22" s="1"/>
  <c r="Y15" i="22"/>
  <c r="E16" i="22"/>
  <c r="F16" i="22"/>
  <c r="G16" i="22"/>
  <c r="H16" i="22"/>
  <c r="I16" i="22"/>
  <c r="J16" i="22"/>
  <c r="K16" i="22"/>
  <c r="L16" i="22"/>
  <c r="M16" i="22"/>
  <c r="N16" i="22"/>
  <c r="O16" i="22"/>
  <c r="P16" i="22"/>
  <c r="Q16" i="22"/>
  <c r="R16" i="22"/>
  <c r="S16" i="22"/>
  <c r="T16" i="22"/>
  <c r="U16" i="22"/>
  <c r="V16" i="22"/>
  <c r="W16" i="22"/>
  <c r="X16" i="22"/>
  <c r="Y16" i="22"/>
  <c r="AA16" i="22" s="1"/>
  <c r="Z16" i="22" s="1"/>
  <c r="E17" i="22"/>
  <c r="F17" i="22"/>
  <c r="G17" i="22"/>
  <c r="H17" i="22"/>
  <c r="I17" i="22"/>
  <c r="J17" i="22"/>
  <c r="K17" i="22"/>
  <c r="L17" i="22"/>
  <c r="M17" i="22"/>
  <c r="N17" i="22"/>
  <c r="O17" i="22"/>
  <c r="P17" i="22"/>
  <c r="Q17" i="22"/>
  <c r="R17" i="22"/>
  <c r="S17" i="22"/>
  <c r="T17" i="22"/>
  <c r="U17" i="22"/>
  <c r="V17" i="22"/>
  <c r="W17" i="22"/>
  <c r="X17" i="22"/>
  <c r="Y17" i="22"/>
  <c r="Z17" i="22"/>
  <c r="AA17" i="22"/>
  <c r="E18" i="22"/>
  <c r="F18" i="22"/>
  <c r="G18" i="22"/>
  <c r="H18" i="22"/>
  <c r="I18" i="22"/>
  <c r="J18" i="22"/>
  <c r="K18" i="22"/>
  <c r="L18" i="22"/>
  <c r="M18" i="22"/>
  <c r="N18" i="22"/>
  <c r="O18" i="22"/>
  <c r="P18" i="22"/>
  <c r="Q18" i="22"/>
  <c r="R18" i="22"/>
  <c r="S18" i="22"/>
  <c r="T18" i="22"/>
  <c r="U18" i="22"/>
  <c r="V18" i="22"/>
  <c r="W18" i="22"/>
  <c r="X18" i="22"/>
  <c r="Y18" i="22"/>
  <c r="AA18" i="22"/>
  <c r="Z18" i="22" s="1"/>
  <c r="E19" i="22"/>
  <c r="F19" i="22"/>
  <c r="G19" i="22"/>
  <c r="H19" i="22"/>
  <c r="I19" i="22"/>
  <c r="J19" i="22"/>
  <c r="K19" i="22"/>
  <c r="L19" i="22"/>
  <c r="M19" i="22"/>
  <c r="N19" i="22"/>
  <c r="O19" i="22"/>
  <c r="P19" i="22"/>
  <c r="Q19" i="22"/>
  <c r="R19" i="22"/>
  <c r="S19" i="22"/>
  <c r="T19" i="22"/>
  <c r="U19" i="22"/>
  <c r="V19" i="22"/>
  <c r="W19" i="22"/>
  <c r="X19" i="22"/>
  <c r="AA19" i="22" s="1"/>
  <c r="Z19" i="22" s="1"/>
  <c r="Y19" i="22"/>
  <c r="E20" i="22"/>
  <c r="F20" i="22"/>
  <c r="G20" i="22"/>
  <c r="H20" i="22"/>
  <c r="I20" i="22"/>
  <c r="J20" i="22"/>
  <c r="K20" i="22"/>
  <c r="L20" i="22"/>
  <c r="M20" i="22"/>
  <c r="N20" i="22"/>
  <c r="O20" i="22"/>
  <c r="P20" i="22"/>
  <c r="Q20" i="22"/>
  <c r="R20" i="22"/>
  <c r="S20" i="22"/>
  <c r="T20" i="22"/>
  <c r="U20" i="22"/>
  <c r="V20" i="22"/>
  <c r="W20" i="22"/>
  <c r="X20" i="22"/>
  <c r="Y20" i="22"/>
  <c r="AA20" i="22" s="1"/>
  <c r="Z20" i="22" s="1"/>
  <c r="E21" i="22"/>
  <c r="F21" i="22"/>
  <c r="G21" i="22"/>
  <c r="H21" i="22"/>
  <c r="I21" i="22"/>
  <c r="J21" i="22"/>
  <c r="K21" i="22"/>
  <c r="L21" i="22"/>
  <c r="M21" i="22"/>
  <c r="N21" i="22"/>
  <c r="O21" i="22"/>
  <c r="P21" i="22"/>
  <c r="Q21" i="22"/>
  <c r="R21" i="22"/>
  <c r="S21" i="22"/>
  <c r="T21" i="22"/>
  <c r="U21" i="22"/>
  <c r="V21" i="22"/>
  <c r="W21" i="22"/>
  <c r="X21" i="22"/>
  <c r="AA21" i="22" s="1"/>
  <c r="Z21" i="22" s="1"/>
  <c r="Y21" i="22"/>
  <c r="E22" i="22"/>
  <c r="F22" i="22"/>
  <c r="G22" i="22"/>
  <c r="H22" i="22"/>
  <c r="I22" i="22"/>
  <c r="J22" i="22"/>
  <c r="K22" i="22"/>
  <c r="L22" i="22"/>
  <c r="M22" i="22"/>
  <c r="N22" i="22"/>
  <c r="O22" i="22"/>
  <c r="P22" i="22"/>
  <c r="Q22" i="22"/>
  <c r="R22" i="22"/>
  <c r="S22" i="22"/>
  <c r="T22" i="22"/>
  <c r="U22" i="22"/>
  <c r="V22" i="22"/>
  <c r="W22" i="22"/>
  <c r="X22" i="22"/>
  <c r="Y22" i="22"/>
  <c r="Z22" i="22"/>
  <c r="AA22" i="22"/>
  <c r="E23" i="22"/>
  <c r="F23" i="22"/>
  <c r="G23" i="22"/>
  <c r="H23" i="22"/>
  <c r="I23" i="22"/>
  <c r="J23" i="22"/>
  <c r="K23" i="22"/>
  <c r="L23" i="22"/>
  <c r="M23" i="22"/>
  <c r="N23" i="22"/>
  <c r="O23" i="22"/>
  <c r="P23" i="22"/>
  <c r="Q23" i="22"/>
  <c r="R23" i="22"/>
  <c r="S23" i="22"/>
  <c r="T23" i="22"/>
  <c r="U23" i="22"/>
  <c r="V23" i="22"/>
  <c r="W23" i="22"/>
  <c r="X23" i="22"/>
  <c r="AA23" i="22" s="1"/>
  <c r="Z23" i="22" s="1"/>
  <c r="Y23" i="22"/>
  <c r="E24" i="22"/>
  <c r="F24" i="22"/>
  <c r="G24" i="22"/>
  <c r="H24" i="22"/>
  <c r="I24" i="22"/>
  <c r="J24" i="22"/>
  <c r="K24" i="22"/>
  <c r="L24" i="22"/>
  <c r="M24" i="22"/>
  <c r="N24" i="22"/>
  <c r="O24" i="22"/>
  <c r="P24" i="22"/>
  <c r="Q24" i="22"/>
  <c r="R24" i="22"/>
  <c r="S24" i="22"/>
  <c r="T24" i="22"/>
  <c r="U24" i="22"/>
  <c r="V24" i="22"/>
  <c r="W24" i="22"/>
  <c r="X24" i="22"/>
  <c r="Y24" i="22"/>
  <c r="AA24" i="22" s="1"/>
  <c r="Z24" i="22" s="1"/>
  <c r="E25" i="22"/>
  <c r="F25" i="22"/>
  <c r="G25" i="22"/>
  <c r="H25" i="22"/>
  <c r="I25" i="22"/>
  <c r="J25" i="22"/>
  <c r="K25" i="22"/>
  <c r="L25" i="22"/>
  <c r="M25" i="22"/>
  <c r="N25" i="22"/>
  <c r="O25" i="22"/>
  <c r="P25" i="22"/>
  <c r="Q25" i="22"/>
  <c r="R25" i="22"/>
  <c r="S25" i="22"/>
  <c r="T25" i="22"/>
  <c r="U25" i="22"/>
  <c r="V25" i="22"/>
  <c r="W25" i="22"/>
  <c r="X25" i="22"/>
  <c r="Y25" i="22"/>
  <c r="Z25" i="22"/>
  <c r="AA25" i="22"/>
  <c r="E26" i="22"/>
  <c r="F26" i="22"/>
  <c r="G26" i="22"/>
  <c r="H26" i="22"/>
  <c r="I26" i="22"/>
  <c r="J26" i="22"/>
  <c r="K26" i="22"/>
  <c r="L26" i="22"/>
  <c r="M26" i="22"/>
  <c r="N26" i="22"/>
  <c r="O26" i="22"/>
  <c r="P26" i="22"/>
  <c r="Q26" i="22"/>
  <c r="R26" i="22"/>
  <c r="S26" i="22"/>
  <c r="T26" i="22"/>
  <c r="U26" i="22"/>
  <c r="V26" i="22"/>
  <c r="W26" i="22"/>
  <c r="X26" i="22"/>
  <c r="Y26" i="22"/>
  <c r="AA26" i="22"/>
  <c r="Z26" i="22" s="1"/>
  <c r="E27" i="22"/>
  <c r="F27" i="22"/>
  <c r="G27" i="22"/>
  <c r="H27" i="22"/>
  <c r="I27" i="22"/>
  <c r="J27" i="22"/>
  <c r="K27" i="22"/>
  <c r="L27" i="22"/>
  <c r="M27" i="22"/>
  <c r="N27" i="22"/>
  <c r="O27" i="22"/>
  <c r="P27" i="22"/>
  <c r="Q27" i="22"/>
  <c r="R27" i="22"/>
  <c r="S27" i="22"/>
  <c r="T27" i="22"/>
  <c r="U27" i="22"/>
  <c r="V27" i="22"/>
  <c r="W27" i="22"/>
  <c r="X27" i="22"/>
  <c r="AA27" i="22" s="1"/>
  <c r="Y27" i="22"/>
  <c r="Z27" i="22"/>
  <c r="E28" i="22"/>
  <c r="F28" i="22"/>
  <c r="G28" i="22"/>
  <c r="H28" i="22"/>
  <c r="I28" i="22"/>
  <c r="J28" i="22"/>
  <c r="K28" i="22"/>
  <c r="L28" i="22"/>
  <c r="M28" i="22"/>
  <c r="N28" i="22"/>
  <c r="O28" i="22"/>
  <c r="P28" i="22"/>
  <c r="Q28" i="22"/>
  <c r="R28" i="22"/>
  <c r="S28" i="22"/>
  <c r="T28" i="22"/>
  <c r="U28" i="22"/>
  <c r="V28" i="22"/>
  <c r="W28" i="22"/>
  <c r="X28" i="22"/>
  <c r="Y28" i="22"/>
  <c r="AA28" i="22" s="1"/>
  <c r="Z28" i="22" s="1"/>
  <c r="E29" i="22"/>
  <c r="F29" i="22"/>
  <c r="G29" i="22"/>
  <c r="H29" i="22"/>
  <c r="I29" i="22"/>
  <c r="J29" i="22"/>
  <c r="K29" i="22"/>
  <c r="L29" i="22"/>
  <c r="M29" i="22"/>
  <c r="N29" i="22"/>
  <c r="O29" i="22"/>
  <c r="P29" i="22"/>
  <c r="Q29" i="22"/>
  <c r="R29" i="22"/>
  <c r="S29" i="22"/>
  <c r="T29" i="22"/>
  <c r="U29" i="22"/>
  <c r="V29" i="22"/>
  <c r="W29" i="22"/>
  <c r="X29" i="22"/>
  <c r="Y29" i="22"/>
  <c r="Z29" i="22"/>
  <c r="AA29" i="22"/>
  <c r="E30" i="22"/>
  <c r="F30" i="22"/>
  <c r="G30" i="22"/>
  <c r="H30" i="22"/>
  <c r="I30" i="22"/>
  <c r="J30" i="22"/>
  <c r="K30" i="22"/>
  <c r="L30" i="22"/>
  <c r="M30" i="22"/>
  <c r="N30" i="22"/>
  <c r="O30" i="22"/>
  <c r="P30" i="22"/>
  <c r="Q30" i="22"/>
  <c r="R30" i="22"/>
  <c r="S30" i="22"/>
  <c r="T30" i="22"/>
  <c r="U30" i="22"/>
  <c r="V30" i="22"/>
  <c r="W30" i="22"/>
  <c r="X30" i="22"/>
  <c r="Y30" i="22"/>
  <c r="AA30" i="22"/>
  <c r="Z30" i="22" s="1"/>
  <c r="E31" i="22"/>
  <c r="F31" i="22"/>
  <c r="G31" i="22"/>
  <c r="H31" i="22"/>
  <c r="I31" i="22"/>
  <c r="J31" i="22"/>
  <c r="K31" i="22"/>
  <c r="L31" i="22"/>
  <c r="M31" i="22"/>
  <c r="N31" i="22"/>
  <c r="O31" i="22"/>
  <c r="P31" i="22"/>
  <c r="Q31" i="22"/>
  <c r="R31" i="22"/>
  <c r="S31" i="22"/>
  <c r="T31" i="22"/>
  <c r="U31" i="22"/>
  <c r="V31" i="22"/>
  <c r="W31" i="22"/>
  <c r="X31" i="22"/>
  <c r="AA31" i="22" s="1"/>
  <c r="Z31" i="22" s="1"/>
  <c r="Y31" i="22"/>
  <c r="E32" i="22"/>
  <c r="F32" i="22"/>
  <c r="G32" i="22"/>
  <c r="H32" i="22"/>
  <c r="I32" i="22"/>
  <c r="J32" i="22"/>
  <c r="K32" i="22"/>
  <c r="L32" i="22"/>
  <c r="M32" i="22"/>
  <c r="N32" i="22"/>
  <c r="O32" i="22"/>
  <c r="P32" i="22"/>
  <c r="Q32" i="22"/>
  <c r="R32" i="22"/>
  <c r="S32" i="22"/>
  <c r="T32" i="22"/>
  <c r="U32" i="22"/>
  <c r="V32" i="22"/>
  <c r="W32" i="22"/>
  <c r="X32" i="22"/>
  <c r="Y32" i="22"/>
  <c r="AA32" i="22" s="1"/>
  <c r="Z32" i="22"/>
  <c r="E33" i="22"/>
  <c r="F33" i="22"/>
  <c r="G33" i="22"/>
  <c r="H33" i="22"/>
  <c r="I33" i="22"/>
  <c r="J33" i="22"/>
  <c r="K33" i="22"/>
  <c r="L33" i="22"/>
  <c r="M33" i="22"/>
  <c r="N33" i="22"/>
  <c r="O33" i="22"/>
  <c r="P33" i="22"/>
  <c r="Q33" i="22"/>
  <c r="R33" i="22"/>
  <c r="S33" i="22"/>
  <c r="T33" i="22"/>
  <c r="U33" i="22"/>
  <c r="V33" i="22"/>
  <c r="W33" i="22"/>
  <c r="X33" i="22"/>
  <c r="AA33" i="22" s="1"/>
  <c r="Z33" i="22" s="1"/>
  <c r="Y33" i="22"/>
  <c r="E34" i="22"/>
  <c r="F34" i="22"/>
  <c r="G34" i="22"/>
  <c r="H34" i="22"/>
  <c r="I34" i="22"/>
  <c r="J34" i="22"/>
  <c r="K34" i="22"/>
  <c r="L34" i="22"/>
  <c r="M34" i="22"/>
  <c r="N34" i="22"/>
  <c r="O34" i="22"/>
  <c r="P34" i="22"/>
  <c r="Q34" i="22"/>
  <c r="R34" i="22"/>
  <c r="S34" i="22"/>
  <c r="T34" i="22"/>
  <c r="U34" i="22"/>
  <c r="V34" i="22"/>
  <c r="W34" i="22"/>
  <c r="X34" i="22"/>
  <c r="Y34" i="22"/>
  <c r="AA34" i="22"/>
  <c r="Z34" i="22" s="1"/>
  <c r="E35" i="22"/>
  <c r="F35" i="22"/>
  <c r="G35" i="22"/>
  <c r="H35" i="22"/>
  <c r="I35" i="22"/>
  <c r="J35" i="22"/>
  <c r="K35" i="22"/>
  <c r="L35" i="22"/>
  <c r="M35" i="22"/>
  <c r="N35" i="22"/>
  <c r="O35" i="22"/>
  <c r="P35" i="22"/>
  <c r="Q35" i="22"/>
  <c r="R35" i="22"/>
  <c r="S35" i="22"/>
  <c r="T35" i="22"/>
  <c r="U35" i="22"/>
  <c r="V35" i="22"/>
  <c r="W35" i="22"/>
  <c r="X35" i="22"/>
  <c r="AA35" i="22" s="1"/>
  <c r="Z35" i="22" s="1"/>
  <c r="Y35" i="22"/>
  <c r="E36" i="22"/>
  <c r="F36" i="22"/>
  <c r="G36" i="22"/>
  <c r="H36" i="22"/>
  <c r="I36" i="22"/>
  <c r="J36" i="22"/>
  <c r="K36" i="22"/>
  <c r="L36" i="22"/>
  <c r="M36" i="22"/>
  <c r="N36" i="22"/>
  <c r="O36" i="22"/>
  <c r="P36" i="22"/>
  <c r="Q36" i="22"/>
  <c r="R36" i="22"/>
  <c r="S36" i="22"/>
  <c r="T36" i="22"/>
  <c r="U36" i="22"/>
  <c r="V36" i="22"/>
  <c r="W36" i="22"/>
  <c r="X36" i="22"/>
  <c r="Y36" i="22"/>
  <c r="AA36" i="22" s="1"/>
  <c r="Z36" i="22" s="1"/>
  <c r="E37" i="22"/>
  <c r="F37" i="22"/>
  <c r="G37" i="22"/>
  <c r="H37" i="22"/>
  <c r="I37" i="22"/>
  <c r="J37" i="22"/>
  <c r="K37" i="22"/>
  <c r="L37" i="22"/>
  <c r="M37" i="22"/>
  <c r="N37" i="22"/>
  <c r="O37" i="22"/>
  <c r="P37" i="22"/>
  <c r="Q37" i="22"/>
  <c r="R37" i="22"/>
  <c r="S37" i="22"/>
  <c r="T37" i="22"/>
  <c r="U37" i="22"/>
  <c r="V37" i="22"/>
  <c r="W37" i="22"/>
  <c r="X37" i="22"/>
  <c r="Y37" i="22"/>
  <c r="Z37" i="22"/>
  <c r="AA37" i="22"/>
  <c r="N31" i="17" l="1"/>
  <c r="N32" i="17"/>
  <c r="N33" i="17"/>
  <c r="N34" i="17"/>
  <c r="N35" i="17"/>
  <c r="N36" i="17"/>
  <c r="N37" i="17"/>
  <c r="N38" i="17"/>
  <c r="N39" i="17"/>
  <c r="N40" i="17"/>
  <c r="N41" i="17"/>
  <c r="N42" i="17"/>
  <c r="N43" i="17"/>
  <c r="N44" i="17"/>
  <c r="N45" i="17"/>
  <c r="N46" i="17"/>
  <c r="N47" i="17"/>
  <c r="N48" i="17"/>
  <c r="N49" i="17"/>
  <c r="N50" i="17"/>
  <c r="N51" i="17"/>
  <c r="N52" i="17"/>
  <c r="N53" i="17"/>
  <c r="N54" i="17"/>
  <c r="N55" i="17"/>
  <c r="N56" i="17"/>
  <c r="N57" i="17"/>
  <c r="N58" i="17"/>
  <c r="N59" i="17"/>
  <c r="N60" i="17"/>
  <c r="N61" i="17"/>
  <c r="N62" i="17"/>
  <c r="N63" i="17"/>
  <c r="N5" i="17"/>
  <c r="N6" i="17"/>
  <c r="N7" i="17"/>
  <c r="N8" i="17"/>
  <c r="N9" i="17"/>
  <c r="N10" i="17"/>
  <c r="N11" i="17"/>
  <c r="N12" i="17"/>
  <c r="N13" i="17"/>
  <c r="N14" i="17"/>
  <c r="N15" i="17"/>
  <c r="N16" i="17"/>
  <c r="N17" i="17"/>
  <c r="N18" i="17"/>
  <c r="N19" i="17"/>
  <c r="N20" i="17"/>
  <c r="N21" i="17"/>
  <c r="N22" i="17"/>
  <c r="N23" i="17"/>
  <c r="N24" i="17"/>
  <c r="N25" i="17"/>
  <c r="N26" i="17"/>
  <c r="N27" i="17"/>
  <c r="N28" i="17"/>
  <c r="N29" i="17"/>
  <c r="N30" i="17"/>
  <c r="N4" i="17"/>
  <c r="N31" i="18" l="1"/>
  <c r="N32" i="18"/>
  <c r="N33" i="18"/>
  <c r="N34" i="18"/>
  <c r="N35" i="18"/>
  <c r="N36" i="18"/>
  <c r="N37" i="18"/>
  <c r="N38" i="18"/>
  <c r="N39" i="18"/>
  <c r="N40" i="18"/>
  <c r="N41" i="18"/>
  <c r="N42" i="18"/>
  <c r="N43" i="18"/>
  <c r="N44" i="18"/>
  <c r="N45" i="18"/>
  <c r="N46" i="18"/>
  <c r="N47" i="18"/>
  <c r="N48" i="18"/>
  <c r="N49" i="18"/>
  <c r="N50" i="18"/>
  <c r="N51" i="18"/>
  <c r="N52" i="18"/>
  <c r="N53" i="18"/>
  <c r="N54" i="18"/>
  <c r="N55" i="18"/>
  <c r="N56" i="18"/>
  <c r="N57" i="18"/>
  <c r="N58" i="18"/>
  <c r="N59" i="18"/>
  <c r="N60" i="18"/>
  <c r="N61" i="18"/>
  <c r="N62" i="18"/>
  <c r="N63" i="18"/>
  <c r="N5" i="18"/>
  <c r="N6" i="18"/>
  <c r="N7" i="18"/>
  <c r="N8" i="18"/>
  <c r="N9" i="18"/>
  <c r="N10" i="18"/>
  <c r="N11" i="18"/>
  <c r="N12" i="18"/>
  <c r="N13" i="18"/>
  <c r="N14" i="18"/>
  <c r="N15" i="18"/>
  <c r="N16" i="18"/>
  <c r="N17" i="18"/>
  <c r="N18" i="18"/>
  <c r="N19" i="18"/>
  <c r="N20" i="18"/>
  <c r="N21" i="18"/>
  <c r="N22" i="18"/>
  <c r="N23" i="18"/>
  <c r="N24" i="18"/>
  <c r="N25" i="18"/>
  <c r="N26" i="18"/>
  <c r="N27" i="18"/>
  <c r="N28" i="18"/>
  <c r="N29" i="18"/>
  <c r="N30" i="18"/>
  <c r="N4" i="18"/>
  <c r="N5" i="19"/>
  <c r="N6" i="19"/>
  <c r="N7" i="19"/>
  <c r="N8" i="19"/>
  <c r="N9" i="19"/>
  <c r="N10" i="19"/>
  <c r="N11" i="19"/>
  <c r="N12" i="19"/>
  <c r="N13" i="19"/>
  <c r="N14" i="19"/>
  <c r="N15" i="19"/>
  <c r="N16" i="19"/>
  <c r="N17" i="19"/>
  <c r="N18" i="19"/>
  <c r="N19" i="19"/>
  <c r="N20" i="19"/>
  <c r="N21" i="19"/>
  <c r="N22" i="19"/>
  <c r="N23" i="19"/>
  <c r="N24" i="19"/>
  <c r="N25" i="19"/>
  <c r="N26" i="19"/>
  <c r="N27" i="19"/>
  <c r="N28" i="19"/>
  <c r="N29" i="19"/>
  <c r="N30" i="19"/>
  <c r="N33" i="19"/>
  <c r="N34" i="19"/>
  <c r="N35" i="19"/>
  <c r="N36" i="19"/>
  <c r="N37" i="19"/>
  <c r="N38" i="19"/>
  <c r="N39" i="19"/>
  <c r="N40" i="19"/>
  <c r="N41" i="19"/>
  <c r="N44" i="19"/>
  <c r="N45" i="19"/>
  <c r="N46" i="19"/>
  <c r="N49" i="19"/>
  <c r="N50" i="19"/>
  <c r="N51" i="19"/>
  <c r="N54" i="19"/>
  <c r="N55" i="19"/>
  <c r="N56" i="19"/>
  <c r="N57" i="19"/>
  <c r="N60" i="19"/>
  <c r="N61" i="19"/>
  <c r="N62" i="19"/>
  <c r="N63" i="19"/>
  <c r="N4" i="19"/>
  <c r="Q102" i="9" l="1"/>
  <c r="Q103" i="9"/>
  <c r="Q104" i="9"/>
  <c r="Q105" i="9"/>
  <c r="Q106" i="9"/>
  <c r="Q107" i="9"/>
  <c r="Q108" i="9"/>
  <c r="Q109" i="9"/>
  <c r="Q110" i="9"/>
  <c r="Q111" i="9"/>
  <c r="Q112" i="9"/>
  <c r="Q113" i="9"/>
  <c r="Q114" i="9"/>
  <c r="Q115" i="9"/>
  <c r="Q116" i="9"/>
  <c r="Q117" i="9"/>
  <c r="Q118" i="9"/>
  <c r="Q119" i="9"/>
  <c r="Q120" i="9"/>
  <c r="Q121" i="9"/>
  <c r="Q122" i="9"/>
  <c r="Q123" i="9"/>
  <c r="Q124" i="9"/>
  <c r="Q101" i="9"/>
  <c r="Q78" i="9"/>
  <c r="Q79" i="9"/>
  <c r="Q80" i="9"/>
  <c r="Q81" i="9"/>
  <c r="Q82" i="9"/>
  <c r="Q83" i="9"/>
  <c r="Q84" i="9"/>
  <c r="Q85" i="9"/>
  <c r="Q86" i="9"/>
  <c r="Q87" i="9"/>
  <c r="Q88" i="9"/>
  <c r="Q89" i="9"/>
  <c r="Q90" i="9"/>
  <c r="Q91" i="9"/>
  <c r="Q92" i="9"/>
  <c r="Q93" i="9"/>
  <c r="Q94" i="9"/>
  <c r="Q95" i="9"/>
  <c r="Q96" i="9"/>
  <c r="Q97" i="9"/>
  <c r="Q98" i="9"/>
  <c r="Q99" i="9"/>
  <c r="Q100" i="9"/>
  <c r="Q77" i="9"/>
  <c r="Q30" i="9"/>
  <c r="Q31" i="9"/>
  <c r="Q32" i="9"/>
  <c r="Q33" i="9"/>
  <c r="Q34" i="9"/>
  <c r="Q35" i="9"/>
  <c r="Q36" i="9"/>
  <c r="Q37" i="9"/>
  <c r="Q38" i="9"/>
  <c r="Q39" i="9"/>
  <c r="Q40" i="9"/>
  <c r="Q41" i="9"/>
  <c r="Q42" i="9"/>
  <c r="Q43" i="9"/>
  <c r="Q44" i="9"/>
  <c r="Q45" i="9"/>
  <c r="Q46" i="9"/>
  <c r="Q47" i="9"/>
  <c r="Q48" i="9"/>
  <c r="Q49" i="9"/>
  <c r="Q50" i="9"/>
  <c r="Q51" i="9"/>
  <c r="Q52" i="9"/>
  <c r="Q53" i="9"/>
  <c r="Q54" i="9"/>
  <c r="Q55" i="9"/>
  <c r="Q56" i="9"/>
  <c r="Q57" i="9"/>
  <c r="Q58" i="9"/>
  <c r="Q59" i="9"/>
  <c r="Q60" i="9"/>
  <c r="Q61" i="9"/>
  <c r="Q62" i="9"/>
  <c r="Q63" i="9"/>
  <c r="Q64" i="9"/>
  <c r="Q65" i="9"/>
  <c r="Q66" i="9"/>
  <c r="Q67" i="9"/>
  <c r="Q68" i="9"/>
  <c r="Q69" i="9"/>
  <c r="Q70" i="9"/>
  <c r="Q71" i="9"/>
  <c r="Q72" i="9"/>
  <c r="Q73" i="9"/>
  <c r="Q74" i="9"/>
  <c r="Q75" i="9"/>
  <c r="Q76" i="9"/>
  <c r="Q29" i="9"/>
  <c r="P54" i="9"/>
  <c r="P55" i="9"/>
  <c r="P56" i="9"/>
  <c r="P57" i="9"/>
  <c r="P58" i="9"/>
  <c r="P59" i="9"/>
  <c r="P60" i="9"/>
  <c r="P61" i="9"/>
  <c r="P62" i="9"/>
  <c r="P63" i="9"/>
  <c r="P64" i="9"/>
  <c r="P65" i="9"/>
  <c r="P66" i="9"/>
  <c r="P67" i="9"/>
  <c r="P68" i="9"/>
  <c r="P69" i="9"/>
  <c r="P70" i="9"/>
  <c r="P71" i="9"/>
  <c r="P72" i="9"/>
  <c r="P73" i="9"/>
  <c r="P74" i="9"/>
  <c r="P75" i="9"/>
  <c r="P76" i="9"/>
  <c r="P53" i="9"/>
  <c r="P102" i="9"/>
  <c r="P103" i="9"/>
  <c r="P104" i="9"/>
  <c r="P105" i="9"/>
  <c r="P106" i="9"/>
  <c r="P107" i="9"/>
  <c r="P108" i="9"/>
  <c r="P109" i="9"/>
  <c r="P110" i="9"/>
  <c r="P111" i="9"/>
  <c r="P112" i="9"/>
  <c r="P113" i="9"/>
  <c r="P114" i="9"/>
  <c r="P115" i="9"/>
  <c r="P116" i="9"/>
  <c r="P117" i="9"/>
  <c r="P118" i="9"/>
  <c r="P119" i="9"/>
  <c r="P120" i="9"/>
  <c r="P121" i="9"/>
  <c r="P122" i="9"/>
  <c r="P123" i="9"/>
  <c r="P124" i="9"/>
  <c r="P101" i="9"/>
  <c r="P78" i="9"/>
  <c r="P79" i="9"/>
  <c r="P80" i="9"/>
  <c r="P81" i="9"/>
  <c r="P82" i="9"/>
  <c r="P83" i="9"/>
  <c r="P84" i="9"/>
  <c r="P85" i="9"/>
  <c r="P86" i="9"/>
  <c r="P87" i="9"/>
  <c r="P88" i="9"/>
  <c r="P89" i="9"/>
  <c r="P90" i="9"/>
  <c r="P91" i="9"/>
  <c r="P92" i="9"/>
  <c r="P93" i="9"/>
  <c r="P94" i="9"/>
  <c r="P95" i="9"/>
  <c r="P96" i="9"/>
  <c r="P97" i="9"/>
  <c r="P98" i="9"/>
  <c r="P99" i="9"/>
  <c r="P100" i="9"/>
  <c r="P77" i="9"/>
  <c r="O30" i="9"/>
  <c r="O31" i="9"/>
  <c r="O32" i="9"/>
  <c r="O33" i="9"/>
  <c r="O34" i="9"/>
  <c r="O35" i="9"/>
  <c r="O36" i="9"/>
  <c r="O37" i="9"/>
  <c r="O38" i="9"/>
  <c r="O39" i="9"/>
  <c r="O40" i="9"/>
  <c r="O41" i="9"/>
  <c r="O42" i="9"/>
  <c r="O43" i="9"/>
  <c r="O44" i="9"/>
  <c r="O45" i="9"/>
  <c r="O46" i="9"/>
  <c r="O47" i="9"/>
  <c r="O48" i="9"/>
  <c r="O49" i="9"/>
  <c r="O50" i="9"/>
  <c r="O51" i="9"/>
  <c r="O52" i="9"/>
  <c r="O29" i="9"/>
  <c r="O53" i="9"/>
  <c r="O54" i="9"/>
  <c r="O55" i="9"/>
  <c r="O56" i="9"/>
  <c r="O57" i="9"/>
  <c r="O58" i="9"/>
  <c r="O59" i="9"/>
  <c r="O60" i="9"/>
  <c r="O61" i="9"/>
  <c r="O62" i="9"/>
  <c r="O63" i="9"/>
  <c r="O64" i="9"/>
  <c r="O65" i="9"/>
  <c r="O66" i="9"/>
  <c r="O67" i="9"/>
  <c r="O68" i="9"/>
  <c r="O69" i="9"/>
  <c r="O70" i="9"/>
  <c r="O71" i="9"/>
  <c r="O72" i="9"/>
  <c r="O73" i="9"/>
  <c r="O74" i="9"/>
  <c r="O75" i="9"/>
  <c r="O76" i="9"/>
  <c r="O78" i="9"/>
  <c r="O79" i="9"/>
  <c r="O80" i="9"/>
  <c r="O81" i="9"/>
  <c r="O82" i="9"/>
  <c r="O83" i="9"/>
  <c r="O84" i="9"/>
  <c r="O85" i="9"/>
  <c r="O86" i="9"/>
  <c r="O87" i="9"/>
  <c r="O88" i="9"/>
  <c r="O89" i="9"/>
  <c r="O90" i="9"/>
  <c r="O91" i="9"/>
  <c r="O92" i="9"/>
  <c r="O93" i="9"/>
  <c r="O94" i="9"/>
  <c r="O95" i="9"/>
  <c r="O96" i="9"/>
  <c r="O97" i="9"/>
  <c r="O98" i="9"/>
  <c r="O99" i="9"/>
  <c r="O100" i="9"/>
  <c r="O77" i="9"/>
  <c r="L30" i="9"/>
  <c r="L31" i="9"/>
  <c r="L32" i="9"/>
  <c r="L33" i="9"/>
  <c r="L34" i="9"/>
  <c r="L35" i="9"/>
  <c r="L36" i="9"/>
  <c r="L37" i="9"/>
  <c r="L38" i="9"/>
  <c r="L39" i="9"/>
  <c r="L40" i="9"/>
  <c r="L41" i="9"/>
  <c r="L42" i="9"/>
  <c r="L43" i="9"/>
  <c r="L44" i="9"/>
  <c r="L45" i="9"/>
  <c r="L46" i="9"/>
  <c r="L47" i="9"/>
  <c r="L48" i="9"/>
  <c r="L49" i="9"/>
  <c r="L50" i="9"/>
  <c r="L51" i="9"/>
  <c r="L52" i="9"/>
  <c r="L29" i="9"/>
  <c r="F54" i="9"/>
  <c r="F55" i="9"/>
  <c r="F56" i="9"/>
  <c r="F57" i="9"/>
  <c r="F58" i="9"/>
  <c r="F59" i="9"/>
  <c r="F60" i="9"/>
  <c r="F61" i="9"/>
  <c r="F62" i="9"/>
  <c r="F63" i="9"/>
  <c r="F64" i="9"/>
  <c r="F65" i="9"/>
  <c r="F66" i="9"/>
  <c r="F67" i="9"/>
  <c r="F68" i="9"/>
  <c r="F69" i="9"/>
  <c r="F70" i="9"/>
  <c r="F71" i="9"/>
  <c r="F72" i="9"/>
  <c r="F73" i="9"/>
  <c r="F74" i="9"/>
  <c r="F75" i="9"/>
  <c r="F76" i="9"/>
  <c r="F53" i="9"/>
  <c r="E126" i="9"/>
  <c r="E127" i="9"/>
  <c r="E128" i="9"/>
  <c r="E129" i="9"/>
  <c r="E130" i="9"/>
  <c r="E131" i="9"/>
  <c r="E132" i="9"/>
  <c r="E133" i="9"/>
  <c r="E134" i="9"/>
  <c r="E135" i="9"/>
  <c r="E136" i="9"/>
  <c r="E137" i="9"/>
  <c r="E138" i="9"/>
  <c r="E139" i="9"/>
  <c r="E140" i="9"/>
  <c r="E141" i="9"/>
  <c r="E142" i="9"/>
  <c r="E143" i="9"/>
  <c r="E144" i="9"/>
  <c r="E145" i="9"/>
  <c r="E146" i="9"/>
  <c r="E147" i="9"/>
  <c r="E148" i="9"/>
  <c r="E125" i="9"/>
  <c r="E54" i="9"/>
  <c r="E55" i="9"/>
  <c r="E56" i="9"/>
  <c r="E57" i="9"/>
  <c r="E58" i="9"/>
  <c r="E59" i="9"/>
  <c r="E60" i="9"/>
  <c r="E61" i="9"/>
  <c r="E62" i="9"/>
  <c r="E63" i="9"/>
  <c r="E64" i="9"/>
  <c r="E65" i="9"/>
  <c r="E66" i="9"/>
  <c r="E67" i="9"/>
  <c r="E68" i="9"/>
  <c r="E69" i="9"/>
  <c r="E70" i="9"/>
  <c r="E71" i="9"/>
  <c r="E72" i="9"/>
  <c r="E73" i="9"/>
  <c r="E74" i="9"/>
  <c r="E75" i="9"/>
  <c r="E76" i="9"/>
  <c r="E53" i="9"/>
  <c r="E102" i="9"/>
  <c r="E103" i="9"/>
  <c r="E104" i="9"/>
  <c r="E105" i="9"/>
  <c r="E106" i="9"/>
  <c r="E107" i="9"/>
  <c r="E108" i="9"/>
  <c r="E109" i="9"/>
  <c r="E110" i="9"/>
  <c r="E111" i="9"/>
  <c r="E112" i="9"/>
  <c r="E113" i="9"/>
  <c r="E114" i="9"/>
  <c r="E115" i="9"/>
  <c r="E116" i="9"/>
  <c r="E117" i="9"/>
  <c r="E118" i="9"/>
  <c r="E119" i="9"/>
  <c r="E120" i="9"/>
  <c r="E121" i="9"/>
  <c r="E122" i="9"/>
  <c r="E123" i="9"/>
  <c r="E124" i="9"/>
  <c r="E101" i="9"/>
  <c r="E78" i="9"/>
  <c r="E79" i="9"/>
  <c r="E80" i="9"/>
  <c r="E81" i="9"/>
  <c r="E82" i="9"/>
  <c r="E83" i="9"/>
  <c r="E84" i="9"/>
  <c r="E85" i="9"/>
  <c r="E86" i="9"/>
  <c r="E87" i="9"/>
  <c r="E88" i="9"/>
  <c r="E89" i="9"/>
  <c r="E90" i="9"/>
  <c r="E91" i="9"/>
  <c r="E92" i="9"/>
  <c r="E93" i="9"/>
  <c r="E94" i="9"/>
  <c r="E95" i="9"/>
  <c r="E96" i="9"/>
  <c r="E97" i="9"/>
  <c r="E98" i="9"/>
  <c r="E99" i="9"/>
  <c r="E100" i="9"/>
  <c r="E77" i="9"/>
  <c r="F30" i="9"/>
  <c r="F31" i="9"/>
  <c r="F32" i="9"/>
  <c r="F33" i="9"/>
  <c r="F34" i="9"/>
  <c r="F35" i="9"/>
  <c r="F36" i="9"/>
  <c r="F37" i="9"/>
  <c r="F38" i="9"/>
  <c r="F39" i="9"/>
  <c r="F40" i="9"/>
  <c r="F41" i="9"/>
  <c r="F42" i="9"/>
  <c r="F43" i="9"/>
  <c r="F44" i="9"/>
  <c r="F45" i="9"/>
  <c r="F46" i="9"/>
  <c r="F47" i="9"/>
  <c r="F48" i="9"/>
  <c r="F49" i="9"/>
  <c r="F50" i="9"/>
  <c r="F51" i="9"/>
  <c r="F52" i="9"/>
  <c r="F29" i="9"/>
  <c r="E30" i="9"/>
  <c r="E31" i="9"/>
  <c r="E32" i="9"/>
  <c r="E33" i="9"/>
  <c r="E34" i="9"/>
  <c r="E35" i="9"/>
  <c r="E36" i="9"/>
  <c r="E37" i="9"/>
  <c r="E38" i="9"/>
  <c r="E39" i="9"/>
  <c r="E40" i="9"/>
  <c r="E41" i="9"/>
  <c r="E42" i="9"/>
  <c r="E43" i="9"/>
  <c r="E44" i="9"/>
  <c r="E45" i="9"/>
  <c r="E46" i="9"/>
  <c r="E47" i="9"/>
  <c r="E48" i="9"/>
  <c r="E49" i="9"/>
  <c r="E50" i="9"/>
  <c r="E51" i="9"/>
  <c r="E52" i="9"/>
  <c r="E29" i="9"/>
  <c r="E15" i="9"/>
  <c r="E19" i="9"/>
  <c r="E20" i="9"/>
  <c r="E23" i="9"/>
  <c r="E24" i="9"/>
  <c r="E27" i="9"/>
  <c r="E28" i="9"/>
  <c r="E16" i="9"/>
  <c r="N78" i="9"/>
  <c r="N79" i="9"/>
  <c r="N80" i="9"/>
  <c r="N81" i="9"/>
  <c r="N82" i="9"/>
  <c r="N83" i="9"/>
  <c r="N84" i="9"/>
  <c r="N85" i="9"/>
  <c r="N86" i="9"/>
  <c r="N87" i="9"/>
  <c r="N88" i="9"/>
  <c r="N89" i="9"/>
  <c r="N90" i="9"/>
  <c r="N91" i="9"/>
  <c r="N92" i="9"/>
  <c r="N93" i="9"/>
  <c r="N94" i="9"/>
  <c r="N95" i="9"/>
  <c r="N96" i="9"/>
  <c r="N97" i="9"/>
  <c r="N98" i="9"/>
  <c r="N99" i="9"/>
  <c r="N100" i="9"/>
  <c r="N77" i="9"/>
  <c r="N54" i="9"/>
  <c r="N55" i="9"/>
  <c r="N56" i="9"/>
  <c r="N57" i="9"/>
  <c r="N58" i="9"/>
  <c r="N59" i="9"/>
  <c r="N60" i="9"/>
  <c r="N61" i="9"/>
  <c r="N62" i="9"/>
  <c r="N63" i="9"/>
  <c r="N64" i="9"/>
  <c r="N65" i="9"/>
  <c r="N66" i="9"/>
  <c r="N67" i="9"/>
  <c r="N68" i="9"/>
  <c r="N69" i="9"/>
  <c r="N70" i="9"/>
  <c r="N71" i="9"/>
  <c r="N72" i="9"/>
  <c r="N73" i="9"/>
  <c r="N74" i="9"/>
  <c r="N75" i="9"/>
  <c r="N76" i="9"/>
  <c r="N53" i="9"/>
  <c r="N30" i="9"/>
  <c r="N31" i="9"/>
  <c r="N32" i="9"/>
  <c r="N33" i="9"/>
  <c r="N34" i="9"/>
  <c r="N35" i="9"/>
  <c r="N36" i="9"/>
  <c r="N37" i="9"/>
  <c r="N38" i="9"/>
  <c r="N39" i="9"/>
  <c r="N40" i="9"/>
  <c r="N41" i="9"/>
  <c r="N42" i="9"/>
  <c r="N43" i="9"/>
  <c r="N44" i="9"/>
  <c r="N45" i="9"/>
  <c r="N46" i="9"/>
  <c r="N47" i="9"/>
  <c r="N48" i="9"/>
  <c r="N49" i="9"/>
  <c r="N50" i="9"/>
  <c r="N51" i="9"/>
  <c r="N52" i="9"/>
  <c r="N29" i="9"/>
  <c r="N102" i="9"/>
  <c r="N103" i="9"/>
  <c r="N104" i="9"/>
  <c r="N105" i="9"/>
  <c r="N106" i="9"/>
  <c r="N107" i="9"/>
  <c r="N108" i="9"/>
  <c r="N109" i="9"/>
  <c r="N110" i="9"/>
  <c r="N111" i="9"/>
  <c r="N112" i="9"/>
  <c r="N113" i="9"/>
  <c r="N114" i="9"/>
  <c r="N115" i="9"/>
  <c r="N116" i="9"/>
  <c r="N117" i="9"/>
  <c r="N118" i="9"/>
  <c r="N119" i="9"/>
  <c r="N120" i="9"/>
  <c r="N121" i="9"/>
  <c r="N122" i="9"/>
  <c r="N123" i="9"/>
  <c r="N124" i="9"/>
  <c r="N101" i="9"/>
  <c r="O102" i="9"/>
  <c r="O103" i="9"/>
  <c r="O104" i="9"/>
  <c r="O105" i="9"/>
  <c r="O106" i="9"/>
  <c r="O107" i="9"/>
  <c r="O108" i="9"/>
  <c r="O109" i="9"/>
  <c r="O110" i="9"/>
  <c r="O111" i="9"/>
  <c r="O112" i="9"/>
  <c r="O113" i="9"/>
  <c r="O114" i="9"/>
  <c r="O115" i="9"/>
  <c r="O116" i="9"/>
  <c r="O117" i="9"/>
  <c r="O118" i="9"/>
  <c r="O119" i="9"/>
  <c r="O120" i="9"/>
  <c r="O121" i="9"/>
  <c r="O122" i="9"/>
  <c r="O123" i="9"/>
  <c r="O124" i="9"/>
  <c r="O101" i="9"/>
  <c r="L54" i="9"/>
  <c r="L55" i="9"/>
  <c r="L56" i="9"/>
  <c r="L57" i="9"/>
  <c r="L58" i="9"/>
  <c r="L59" i="9"/>
  <c r="L60" i="9"/>
  <c r="L61" i="9"/>
  <c r="L62" i="9"/>
  <c r="L63" i="9"/>
  <c r="L64" i="9"/>
  <c r="L65" i="9"/>
  <c r="L66" i="9"/>
  <c r="L67" i="9"/>
  <c r="L68" i="9"/>
  <c r="L69" i="9"/>
  <c r="L70" i="9"/>
  <c r="L71" i="9"/>
  <c r="L72" i="9"/>
  <c r="L73" i="9"/>
  <c r="L74" i="9"/>
  <c r="L75" i="9"/>
  <c r="L76" i="9"/>
  <c r="L77" i="9"/>
  <c r="L78" i="9"/>
  <c r="L79" i="9"/>
  <c r="L80" i="9"/>
  <c r="L81" i="9"/>
  <c r="L82" i="9"/>
  <c r="L83" i="9"/>
  <c r="L84" i="9"/>
  <c r="L85" i="9"/>
  <c r="L86" i="9"/>
  <c r="L87" i="9"/>
  <c r="L88" i="9"/>
  <c r="L89" i="9"/>
  <c r="L90" i="9"/>
  <c r="L91" i="9"/>
  <c r="L92" i="9"/>
  <c r="L93" i="9"/>
  <c r="L94" i="9"/>
  <c r="L95" i="9"/>
  <c r="L96" i="9"/>
  <c r="L97" i="9"/>
  <c r="L98" i="9"/>
  <c r="L99" i="9"/>
  <c r="L100" i="9"/>
  <c r="L53" i="9"/>
  <c r="P30" i="9" l="1"/>
  <c r="P31" i="9"/>
  <c r="P32" i="9"/>
  <c r="P33" i="9"/>
  <c r="P34" i="9"/>
  <c r="P35" i="9"/>
  <c r="P36" i="9"/>
  <c r="P37" i="9"/>
  <c r="P38" i="9"/>
  <c r="P39" i="9"/>
  <c r="P40" i="9"/>
  <c r="P41" i="9"/>
  <c r="P42" i="9"/>
  <c r="P43" i="9"/>
  <c r="P44" i="9"/>
  <c r="P45" i="9"/>
  <c r="P46" i="9"/>
  <c r="P47" i="9"/>
  <c r="P48" i="9"/>
  <c r="P49" i="9"/>
  <c r="P50" i="9"/>
  <c r="P51" i="9"/>
  <c r="P52" i="9"/>
  <c r="P29" i="9"/>
  <c r="Q126" i="9" l="1"/>
  <c r="Q127" i="9"/>
  <c r="Q128" i="9"/>
  <c r="Q129" i="9"/>
  <c r="Q130" i="9"/>
  <c r="Q131" i="9"/>
  <c r="Q132" i="9"/>
  <c r="Q133" i="9"/>
  <c r="Q134" i="9"/>
  <c r="Q135" i="9"/>
  <c r="Q136" i="9"/>
  <c r="Q137" i="9"/>
  <c r="Q138" i="9"/>
  <c r="Q139" i="9"/>
  <c r="Q140" i="9"/>
  <c r="Q141" i="9"/>
  <c r="Q142" i="9"/>
  <c r="Q143" i="9"/>
  <c r="Q144" i="9"/>
  <c r="Q145" i="9"/>
  <c r="Q146" i="9"/>
  <c r="Q147" i="9"/>
  <c r="Q148" i="9"/>
  <c r="Q125" i="9"/>
  <c r="O23" i="11" l="1"/>
  <c r="P22" i="11" s="1"/>
  <c r="O20" i="11"/>
  <c r="P20" i="11" s="1"/>
  <c r="O17" i="11"/>
  <c r="P15" i="11" s="1"/>
  <c r="N24" i="11"/>
  <c r="M24" i="11"/>
  <c r="P16" i="11" l="1"/>
  <c r="P21" i="11"/>
  <c r="P18" i="11"/>
  <c r="P23" i="11"/>
  <c r="P17" i="11"/>
  <c r="P19" i="11"/>
  <c r="J17" i="11"/>
  <c r="H1087" i="7" l="1"/>
  <c r="I1087" i="7"/>
  <c r="J1087" i="7"/>
  <c r="K1087" i="7"/>
  <c r="L1087" i="7"/>
  <c r="G1087" i="7" l="1"/>
  <c r="J23" i="11" l="1"/>
  <c r="K22" i="11" s="1"/>
  <c r="K23" i="11"/>
  <c r="K21" i="11"/>
  <c r="K16" i="11"/>
  <c r="K17" i="11"/>
  <c r="K15" i="11"/>
  <c r="J20" i="11"/>
  <c r="K20" i="11" s="1"/>
  <c r="I24" i="11"/>
  <c r="J11" i="11"/>
  <c r="J8" i="11"/>
  <c r="J5" i="11"/>
  <c r="K19" i="11" l="1"/>
  <c r="K18" i="11"/>
  <c r="B13" i="11"/>
  <c r="C13" i="11" l="1"/>
  <c r="L41" i="13" l="1"/>
  <c r="L42" i="13"/>
  <c r="L43" i="13"/>
  <c r="L44" i="13"/>
  <c r="L45" i="13"/>
  <c r="L46" i="13"/>
  <c r="L47" i="13"/>
  <c r="L48" i="13"/>
  <c r="L49" i="13"/>
  <c r="L50" i="13"/>
  <c r="L51" i="13"/>
  <c r="L40" i="13"/>
  <c r="C282" i="9" l="1"/>
  <c r="D282" i="9"/>
  <c r="E282" i="9"/>
  <c r="F282" i="9"/>
  <c r="G282" i="9"/>
  <c r="C297" i="9"/>
  <c r="D297" i="9"/>
  <c r="E297" i="9"/>
  <c r="F297" i="9"/>
  <c r="G297" i="9"/>
  <c r="R66" i="8"/>
  <c r="R65" i="8"/>
  <c r="R64" i="8"/>
  <c r="R63" i="8"/>
  <c r="R57" i="8"/>
  <c r="R56" i="8"/>
  <c r="R55" i="8"/>
  <c r="R49" i="8"/>
  <c r="R48" i="8"/>
  <c r="R47" i="8"/>
  <c r="R46" i="8"/>
  <c r="R39" i="8"/>
  <c r="R38" i="8"/>
  <c r="R37" i="8"/>
  <c r="R36" i="8"/>
  <c r="R35" i="8"/>
  <c r="R34" i="8"/>
  <c r="R33" i="8"/>
  <c r="R32" i="8"/>
  <c r="R31" i="8"/>
  <c r="R30" i="8"/>
  <c r="R29" i="8"/>
  <c r="R28" i="8"/>
  <c r="R22" i="8"/>
  <c r="R21" i="8"/>
  <c r="R20" i="8"/>
  <c r="R19" i="8"/>
  <c r="R18" i="8"/>
  <c r="R7" i="8"/>
  <c r="R8" i="8"/>
  <c r="R9" i="8"/>
  <c r="R10" i="8"/>
  <c r="R11" i="8"/>
  <c r="R12" i="8"/>
  <c r="R6" i="8"/>
  <c r="P64" i="8"/>
  <c r="Q64" i="8" s="1"/>
  <c r="P65" i="8"/>
  <c r="Q65" i="8" s="1"/>
  <c r="P63" i="8"/>
  <c r="S63" i="8" s="1"/>
  <c r="P56" i="8"/>
  <c r="S56" i="8" s="1"/>
  <c r="P55" i="8"/>
  <c r="Q55" i="8" s="1"/>
  <c r="P47" i="8"/>
  <c r="Q47" i="8" s="1"/>
  <c r="P48" i="8"/>
  <c r="S48" i="8" s="1"/>
  <c r="P46" i="8"/>
  <c r="S46" i="8" s="1"/>
  <c r="P29" i="8"/>
  <c r="S29" i="8" s="1"/>
  <c r="P30" i="8"/>
  <c r="S30" i="8" s="1"/>
  <c r="P31" i="8"/>
  <c r="Q31" i="8" s="1"/>
  <c r="P32" i="8"/>
  <c r="Q32" i="8" s="1"/>
  <c r="P33" i="8"/>
  <c r="S33" i="8" s="1"/>
  <c r="P34" i="8"/>
  <c r="Q34" i="8" s="1"/>
  <c r="P35" i="8"/>
  <c r="Q35" i="8" s="1"/>
  <c r="P36" i="8"/>
  <c r="Q36" i="8" s="1"/>
  <c r="P37" i="8"/>
  <c r="S37" i="8" s="1"/>
  <c r="P38" i="8"/>
  <c r="S38" i="8" s="1"/>
  <c r="P39" i="8"/>
  <c r="Q39" i="8" s="1"/>
  <c r="P28" i="8"/>
  <c r="Q28" i="8" s="1"/>
  <c r="P19" i="8"/>
  <c r="S19" i="8" s="1"/>
  <c r="P20" i="8"/>
  <c r="Q20" i="8" s="1"/>
  <c r="P21" i="8"/>
  <c r="Q21" i="8" s="1"/>
  <c r="P18" i="8"/>
  <c r="Q18" i="8" s="1"/>
  <c r="J40" i="8"/>
  <c r="R40" i="8" s="1"/>
  <c r="P7" i="8"/>
  <c r="Q7" i="8" s="1"/>
  <c r="P8" i="8"/>
  <c r="Q8" i="8" s="1"/>
  <c r="P9" i="8"/>
  <c r="Q9" i="8" s="1"/>
  <c r="P10" i="8"/>
  <c r="S10" i="8" s="1"/>
  <c r="P11" i="8"/>
  <c r="S11" i="8" s="1"/>
  <c r="P6" i="8"/>
  <c r="L40" i="8"/>
  <c r="M40" i="8"/>
  <c r="N40" i="8"/>
  <c r="O40" i="8"/>
  <c r="O101" i="8" s="1"/>
  <c r="K40" i="8"/>
  <c r="O100" i="8" l="1"/>
  <c r="O106" i="8"/>
  <c r="O98" i="8"/>
  <c r="O105" i="8"/>
  <c r="O97" i="8"/>
  <c r="O108" i="8"/>
  <c r="O99" i="8"/>
  <c r="O103" i="8"/>
  <c r="O102" i="8"/>
  <c r="O107" i="8"/>
  <c r="O104" i="8"/>
  <c r="O109" i="8"/>
  <c r="P12" i="8"/>
  <c r="Q12" i="8" s="1"/>
  <c r="Q19" i="8"/>
  <c r="Q33" i="8"/>
  <c r="Q56" i="8"/>
  <c r="Q63" i="8"/>
  <c r="Q11" i="8"/>
  <c r="Q29" i="8"/>
  <c r="Q46" i="8"/>
  <c r="Q37" i="8"/>
  <c r="S8" i="8"/>
  <c r="Q10" i="8"/>
  <c r="Q38" i="8"/>
  <c r="Q30" i="8"/>
  <c r="S7" i="8"/>
  <c r="S21" i="8"/>
  <c r="S28" i="8"/>
  <c r="S32" i="8"/>
  <c r="S34" i="8"/>
  <c r="S36" i="8"/>
  <c r="S47" i="8"/>
  <c r="S65" i="8"/>
  <c r="Q6" i="8"/>
  <c r="Q48" i="8"/>
  <c r="S6" i="8"/>
  <c r="S9" i="8"/>
  <c r="S18" i="8"/>
  <c r="S20" i="8"/>
  <c r="S31" i="8"/>
  <c r="S35" i="8"/>
  <c r="S39" i="8"/>
  <c r="S55" i="8"/>
  <c r="S64" i="8"/>
  <c r="S12" i="8" l="1"/>
  <c r="C191" i="11" l="1"/>
  <c r="D189" i="11"/>
  <c r="E189" i="11"/>
  <c r="F189" i="11"/>
  <c r="G189" i="11"/>
  <c r="D190" i="11"/>
  <c r="E190" i="11"/>
  <c r="F190" i="11"/>
  <c r="G190" i="11"/>
  <c r="D191" i="11"/>
  <c r="E191" i="11"/>
  <c r="E192" i="11" s="1"/>
  <c r="F191" i="11"/>
  <c r="G191" i="11"/>
  <c r="G192" i="11" s="1"/>
  <c r="C190" i="11"/>
  <c r="C189" i="11"/>
  <c r="C187" i="11"/>
  <c r="G187" i="11"/>
  <c r="F187" i="11"/>
  <c r="E187" i="11"/>
  <c r="D187" i="11"/>
  <c r="D182" i="11"/>
  <c r="E182" i="11"/>
  <c r="F182" i="11"/>
  <c r="G182" i="11"/>
  <c r="C182" i="11"/>
  <c r="D172" i="11"/>
  <c r="E172" i="11"/>
  <c r="F172" i="11"/>
  <c r="G172" i="11"/>
  <c r="C172" i="11"/>
  <c r="G176" i="11"/>
  <c r="F176" i="11"/>
  <c r="E176" i="11"/>
  <c r="D176" i="11"/>
  <c r="C176" i="11"/>
  <c r="G175" i="11"/>
  <c r="F175" i="11"/>
  <c r="E175" i="11"/>
  <c r="D175" i="11"/>
  <c r="C175" i="11"/>
  <c r="D174" i="11"/>
  <c r="E174" i="11"/>
  <c r="F174" i="11"/>
  <c r="G174" i="11"/>
  <c r="G177" i="11" s="1"/>
  <c r="C174" i="11"/>
  <c r="C69" i="8"/>
  <c r="D69" i="8"/>
  <c r="E69" i="8"/>
  <c r="F69" i="8"/>
  <c r="G69" i="8"/>
  <c r="C70" i="8"/>
  <c r="D70" i="8"/>
  <c r="E70" i="8"/>
  <c r="F70" i="8"/>
  <c r="G70" i="8"/>
  <c r="D68" i="8"/>
  <c r="E68" i="8"/>
  <c r="F68" i="8"/>
  <c r="G68" i="8"/>
  <c r="C68" i="8"/>
  <c r="D192" i="11" l="1"/>
  <c r="D193" i="11" s="1"/>
  <c r="E177" i="11"/>
  <c r="F177" i="11"/>
  <c r="C188" i="11"/>
  <c r="C177" i="11"/>
  <c r="D177" i="11"/>
  <c r="F183" i="11"/>
  <c r="E188" i="11"/>
  <c r="E183" i="11"/>
  <c r="E193" i="11"/>
  <c r="C183" i="11"/>
  <c r="D183" i="11"/>
  <c r="G188" i="11"/>
  <c r="F188" i="11"/>
  <c r="G183" i="11"/>
  <c r="D188" i="11"/>
  <c r="G193" i="11"/>
  <c r="C192" i="11"/>
  <c r="C193" i="11" s="1"/>
  <c r="F192" i="11"/>
  <c r="F193" i="11" s="1"/>
  <c r="AB109" i="8"/>
  <c r="AA109" i="8"/>
  <c r="Z109" i="8"/>
  <c r="Y109" i="8"/>
  <c r="X109" i="8"/>
  <c r="AB108" i="8"/>
  <c r="AA108" i="8"/>
  <c r="Z108" i="8"/>
  <c r="Y108" i="8"/>
  <c r="X108" i="8"/>
  <c r="V108" i="8"/>
  <c r="AB107" i="8"/>
  <c r="AA107" i="8"/>
  <c r="Z107" i="8"/>
  <c r="Y107" i="8"/>
  <c r="X107" i="8"/>
  <c r="V107" i="8"/>
  <c r="AB106" i="8"/>
  <c r="AA106" i="8"/>
  <c r="Z106" i="8"/>
  <c r="Y106" i="8"/>
  <c r="X106" i="8"/>
  <c r="V106" i="8"/>
  <c r="AB105" i="8"/>
  <c r="AA105" i="8"/>
  <c r="Z105" i="8"/>
  <c r="Y105" i="8"/>
  <c r="X105" i="8"/>
  <c r="V105" i="8"/>
  <c r="AB104" i="8"/>
  <c r="AA104" i="8"/>
  <c r="Z104" i="8"/>
  <c r="Y104" i="8"/>
  <c r="X104" i="8"/>
  <c r="V104" i="8"/>
  <c r="AB103" i="8"/>
  <c r="AA103" i="8"/>
  <c r="Z103" i="8"/>
  <c r="Y103" i="8"/>
  <c r="X103" i="8"/>
  <c r="V103" i="8"/>
  <c r="AB102" i="8"/>
  <c r="AA102" i="8"/>
  <c r="Z102" i="8"/>
  <c r="Y102" i="8"/>
  <c r="X102" i="8"/>
  <c r="V102" i="8"/>
  <c r="AB101" i="8"/>
  <c r="AA101" i="8"/>
  <c r="Z101" i="8"/>
  <c r="Y101" i="8"/>
  <c r="X101" i="8"/>
  <c r="V101" i="8"/>
  <c r="AB100" i="8"/>
  <c r="AA100" i="8"/>
  <c r="Z100" i="8"/>
  <c r="Y100" i="8"/>
  <c r="X100" i="8"/>
  <c r="V100" i="8"/>
  <c r="AB99" i="8"/>
  <c r="AA99" i="8"/>
  <c r="Z99" i="8"/>
  <c r="Y99" i="8"/>
  <c r="X99" i="8"/>
  <c r="V99" i="8"/>
  <c r="AB98" i="8"/>
  <c r="AA98" i="8"/>
  <c r="Z98" i="8"/>
  <c r="Y98" i="8"/>
  <c r="X98" i="8"/>
  <c r="V98" i="8"/>
  <c r="AB97" i="8"/>
  <c r="AA97" i="8"/>
  <c r="Z97" i="8"/>
  <c r="Y97" i="8"/>
  <c r="X97" i="8"/>
  <c r="V97" i="8"/>
  <c r="AB96" i="8"/>
  <c r="N109" i="8"/>
  <c r="M109" i="8"/>
  <c r="L109" i="8"/>
  <c r="K109" i="8"/>
  <c r="N108" i="8"/>
  <c r="M108" i="8"/>
  <c r="L108" i="8"/>
  <c r="K108" i="8"/>
  <c r="N107" i="8"/>
  <c r="M107" i="8"/>
  <c r="L107" i="8"/>
  <c r="K107" i="8"/>
  <c r="N106" i="8"/>
  <c r="M106" i="8"/>
  <c r="L106" i="8"/>
  <c r="K106" i="8"/>
  <c r="N105" i="8"/>
  <c r="M105" i="8"/>
  <c r="L105" i="8"/>
  <c r="K105" i="8"/>
  <c r="N104" i="8"/>
  <c r="M104" i="8"/>
  <c r="L104" i="8"/>
  <c r="K104" i="8"/>
  <c r="N103" i="8"/>
  <c r="M103" i="8"/>
  <c r="L103" i="8"/>
  <c r="K103" i="8"/>
  <c r="N102" i="8"/>
  <c r="M102" i="8"/>
  <c r="L102" i="8"/>
  <c r="K102" i="8"/>
  <c r="N101" i="8"/>
  <c r="M101" i="8"/>
  <c r="L101" i="8"/>
  <c r="K101" i="8"/>
  <c r="N100" i="8"/>
  <c r="M100" i="8"/>
  <c r="L100" i="8"/>
  <c r="K100" i="8"/>
  <c r="N99" i="8"/>
  <c r="M99" i="8"/>
  <c r="L99" i="8"/>
  <c r="K99" i="8"/>
  <c r="N98" i="8"/>
  <c r="M98" i="8"/>
  <c r="L98" i="8"/>
  <c r="K98" i="8"/>
  <c r="N97" i="8"/>
  <c r="M97" i="8"/>
  <c r="L97" i="8"/>
  <c r="K97" i="8"/>
  <c r="D97" i="8"/>
  <c r="E97" i="8"/>
  <c r="F97" i="8"/>
  <c r="G97" i="8"/>
  <c r="D98" i="8"/>
  <c r="E98" i="8"/>
  <c r="F98" i="8"/>
  <c r="G98" i="8"/>
  <c r="D99" i="8"/>
  <c r="E99" i="8"/>
  <c r="F99" i="8"/>
  <c r="G99" i="8"/>
  <c r="D100" i="8"/>
  <c r="E100" i="8"/>
  <c r="F100" i="8"/>
  <c r="G100" i="8"/>
  <c r="D101" i="8"/>
  <c r="E101" i="8"/>
  <c r="F101" i="8"/>
  <c r="G101" i="8"/>
  <c r="D102" i="8"/>
  <c r="E102" i="8"/>
  <c r="F102" i="8"/>
  <c r="G102" i="8"/>
  <c r="D103" i="8"/>
  <c r="E103" i="8"/>
  <c r="F103" i="8"/>
  <c r="G103" i="8"/>
  <c r="D104" i="8"/>
  <c r="E104" i="8"/>
  <c r="F104" i="8"/>
  <c r="G104" i="8"/>
  <c r="D105" i="8"/>
  <c r="E105" i="8"/>
  <c r="F105" i="8"/>
  <c r="G105" i="8"/>
  <c r="D106" i="8"/>
  <c r="E106" i="8"/>
  <c r="F106" i="8"/>
  <c r="G106" i="8"/>
  <c r="D107" i="8"/>
  <c r="E107" i="8"/>
  <c r="F107" i="8"/>
  <c r="G107" i="8"/>
  <c r="D108" i="8"/>
  <c r="E108" i="8"/>
  <c r="F108" i="8"/>
  <c r="G108" i="8"/>
  <c r="D109" i="8"/>
  <c r="E109" i="8"/>
  <c r="F109" i="8"/>
  <c r="G109" i="8"/>
  <c r="C98" i="8"/>
  <c r="C99" i="8"/>
  <c r="C100" i="8"/>
  <c r="C101" i="8"/>
  <c r="C102" i="8"/>
  <c r="C103" i="8"/>
  <c r="C104" i="8"/>
  <c r="C105" i="8"/>
  <c r="C106" i="8"/>
  <c r="C107" i="8"/>
  <c r="C108" i="8"/>
  <c r="C109" i="8"/>
  <c r="C97" i="8"/>
  <c r="A109" i="8"/>
  <c r="I109" i="8" s="1"/>
  <c r="A98" i="8"/>
  <c r="I98" i="8" s="1"/>
  <c r="A99" i="8"/>
  <c r="I99" i="8" s="1"/>
  <c r="A100" i="8"/>
  <c r="I100" i="8" s="1"/>
  <c r="A101" i="8"/>
  <c r="I101" i="8" s="1"/>
  <c r="A102" i="8"/>
  <c r="I102" i="8" s="1"/>
  <c r="A103" i="8"/>
  <c r="I103" i="8" s="1"/>
  <c r="A104" i="8"/>
  <c r="I104" i="8" s="1"/>
  <c r="A105" i="8"/>
  <c r="I105" i="8" s="1"/>
  <c r="A106" i="8"/>
  <c r="I106" i="8" s="1"/>
  <c r="A107" i="8"/>
  <c r="I107" i="8" s="1"/>
  <c r="A108" i="8"/>
  <c r="I108" i="8" s="1"/>
  <c r="A97" i="8"/>
  <c r="I97" i="8" s="1"/>
  <c r="P40" i="8" l="1"/>
  <c r="Q40" i="8" l="1"/>
  <c r="S40" i="8"/>
  <c r="P57" i="8" l="1"/>
  <c r="P49" i="8"/>
  <c r="P66" i="8"/>
  <c r="P22" i="8"/>
  <c r="Q49" i="8" l="1"/>
  <c r="S49" i="8"/>
  <c r="Q57" i="8"/>
  <c r="S57" i="8"/>
  <c r="Q22" i="8"/>
  <c r="S22" i="8"/>
  <c r="Q66" i="8"/>
  <c r="S66" i="8"/>
  <c r="H11" i="1" l="1"/>
  <c r="H7" i="1"/>
  <c r="D5" i="13" l="1"/>
  <c r="E5" i="13"/>
  <c r="F5" i="13"/>
  <c r="G5" i="13"/>
  <c r="D6" i="13"/>
  <c r="E6" i="13"/>
  <c r="F6" i="13"/>
  <c r="G6" i="13"/>
  <c r="D7" i="13"/>
  <c r="E7" i="13"/>
  <c r="F7" i="13"/>
  <c r="G7" i="13"/>
  <c r="D8" i="13"/>
  <c r="E8" i="13"/>
  <c r="F8" i="13"/>
  <c r="G8" i="13"/>
  <c r="D9" i="13"/>
  <c r="E9" i="13"/>
  <c r="F9" i="13"/>
  <c r="G9" i="13"/>
  <c r="D10" i="13"/>
  <c r="E10" i="13"/>
  <c r="F10" i="13"/>
  <c r="G10" i="13"/>
  <c r="D11" i="13"/>
  <c r="E11" i="13"/>
  <c r="F11" i="13"/>
  <c r="G11" i="13"/>
  <c r="D12" i="13"/>
  <c r="E12" i="13"/>
  <c r="F12" i="13"/>
  <c r="G12" i="13"/>
  <c r="D4" i="13"/>
  <c r="E4" i="13"/>
  <c r="F4" i="13"/>
  <c r="G4" i="13"/>
  <c r="A134" i="8" l="1"/>
  <c r="A133" i="8"/>
  <c r="A132" i="8"/>
  <c r="A125" i="8"/>
  <c r="A124" i="8"/>
  <c r="A117" i="8"/>
  <c r="A116" i="8"/>
  <c r="A115" i="8"/>
  <c r="A91" i="8"/>
  <c r="A90" i="8"/>
  <c r="A89" i="8"/>
  <c r="A88" i="8"/>
  <c r="A81" i="8"/>
  <c r="A80" i="8"/>
  <c r="A79" i="8"/>
  <c r="A78" i="8"/>
  <c r="A77" i="8"/>
  <c r="A76" i="8"/>
  <c r="D332" i="14"/>
  <c r="D331" i="14"/>
  <c r="D330" i="14"/>
  <c r="D329" i="14"/>
  <c r="D328" i="14"/>
  <c r="D327" i="14"/>
  <c r="D326" i="14"/>
  <c r="D325" i="14"/>
  <c r="D324" i="14"/>
  <c r="D323" i="14"/>
  <c r="D322" i="14"/>
  <c r="D321" i="14"/>
  <c r="D319" i="14"/>
  <c r="D317" i="14"/>
  <c r="D314" i="14"/>
  <c r="D308" i="14"/>
  <c r="D307" i="14"/>
  <c r="D306" i="14"/>
  <c r="D305" i="14"/>
  <c r="D304" i="14"/>
  <c r="D303" i="14"/>
  <c r="D301" i="14"/>
  <c r="D300" i="14"/>
  <c r="D299" i="14"/>
  <c r="D298" i="14"/>
  <c r="D297" i="14"/>
  <c r="D296" i="14"/>
  <c r="D294" i="14"/>
  <c r="D292" i="14"/>
  <c r="D289" i="14"/>
  <c r="D283"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7" i="14"/>
  <c r="D226" i="14"/>
  <c r="D225" i="14"/>
  <c r="D224" i="14"/>
  <c r="D223" i="14"/>
  <c r="D222" i="14"/>
  <c r="D221" i="14"/>
  <c r="D220" i="14"/>
  <c r="D219" i="14"/>
  <c r="D218" i="14"/>
  <c r="D217" i="14"/>
  <c r="D216" i="14"/>
  <c r="D215" i="14"/>
  <c r="D214" i="14"/>
  <c r="D213" i="14"/>
  <c r="D212" i="14"/>
  <c r="D211" i="14"/>
  <c r="D210" i="14"/>
  <c r="D209" i="14"/>
  <c r="D208" i="14"/>
  <c r="D207" i="14"/>
  <c r="D206" i="14"/>
  <c r="D205" i="14"/>
  <c r="D204" i="14"/>
  <c r="D202" i="14"/>
  <c r="D196" i="14"/>
  <c r="D195" i="14"/>
  <c r="D194" i="14"/>
  <c r="D193" i="14"/>
  <c r="D192" i="14"/>
  <c r="D191" i="14"/>
  <c r="D190" i="14"/>
  <c r="D189" i="14"/>
  <c r="D188" i="14"/>
  <c r="D187" i="14"/>
  <c r="D186" i="14"/>
  <c r="D185" i="14"/>
  <c r="D183" i="14"/>
  <c r="D182" i="14"/>
  <c r="D181" i="14"/>
  <c r="D180" i="14"/>
  <c r="D179" i="14"/>
  <c r="D178" i="14"/>
  <c r="D177" i="14"/>
  <c r="D176" i="14"/>
  <c r="D175" i="14"/>
  <c r="D174" i="14"/>
  <c r="D172" i="14"/>
  <c r="D171" i="14"/>
  <c r="D170" i="14"/>
  <c r="D169" i="14"/>
  <c r="D168" i="14"/>
  <c r="D167" i="14"/>
  <c r="D166" i="14"/>
  <c r="D165" i="14"/>
  <c r="D164" i="14"/>
  <c r="D163" i="14"/>
  <c r="D162" i="14"/>
  <c r="D161" i="14"/>
  <c r="D160" i="14"/>
  <c r="D158" i="14"/>
  <c r="D157" i="14"/>
  <c r="D156" i="14"/>
  <c r="D155" i="14"/>
  <c r="D154" i="14"/>
  <c r="D153" i="14"/>
  <c r="D152" i="14"/>
  <c r="D151" i="14"/>
  <c r="D150" i="14"/>
  <c r="D149" i="14"/>
  <c r="D147" i="14"/>
  <c r="D146" i="14"/>
  <c r="D145" i="14"/>
  <c r="D144" i="14"/>
  <c r="D143" i="14"/>
  <c r="D142" i="14"/>
  <c r="D141" i="14"/>
  <c r="D140" i="14"/>
  <c r="D139" i="14"/>
  <c r="D138" i="14"/>
  <c r="D137" i="14"/>
  <c r="D136" i="14"/>
  <c r="D135" i="14"/>
  <c r="D133" i="14"/>
  <c r="D132" i="14"/>
  <c r="D131" i="14"/>
  <c r="D130" i="14"/>
  <c r="D129" i="14"/>
  <c r="D128" i="14"/>
  <c r="D127" i="14"/>
  <c r="D126" i="14"/>
  <c r="D125" i="14"/>
  <c r="D124" i="14"/>
  <c r="D122" i="14"/>
  <c r="F60" i="14"/>
  <c r="D60" i="14"/>
  <c r="F59" i="14"/>
  <c r="D59" i="14"/>
  <c r="F58" i="14"/>
  <c r="D58" i="14"/>
  <c r="F57" i="14"/>
  <c r="D57" i="14"/>
  <c r="F56" i="14"/>
  <c r="D56" i="14"/>
  <c r="F55" i="14"/>
  <c r="D55" i="14"/>
  <c r="F54" i="14"/>
  <c r="D54" i="14"/>
  <c r="F53" i="14"/>
  <c r="D53" i="14"/>
  <c r="F52" i="14"/>
  <c r="D52" i="14"/>
  <c r="F51" i="14"/>
  <c r="D51" i="14"/>
  <c r="F50" i="14"/>
  <c r="D50" i="14"/>
  <c r="F49" i="14"/>
  <c r="D49" i="14"/>
  <c r="F48" i="14"/>
  <c r="D48" i="14"/>
  <c r="F47" i="14"/>
  <c r="D47" i="14"/>
  <c r="F46" i="14"/>
  <c r="D46" i="14"/>
  <c r="F45" i="14"/>
  <c r="D45" i="14"/>
  <c r="F44" i="14"/>
  <c r="D44" i="14"/>
  <c r="F43" i="14"/>
  <c r="D43" i="14"/>
  <c r="F42" i="14"/>
  <c r="D42" i="14"/>
  <c r="F41" i="14"/>
  <c r="D41" i="14"/>
  <c r="F40" i="14"/>
  <c r="D40" i="14"/>
  <c r="F39" i="14"/>
  <c r="D39" i="14"/>
  <c r="G88" i="12" l="1"/>
  <c r="G87" i="12"/>
  <c r="H87" i="12"/>
  <c r="I87" i="12"/>
  <c r="J87" i="12"/>
  <c r="K87" i="12"/>
  <c r="H88" i="12"/>
  <c r="I88" i="12"/>
  <c r="J88" i="12"/>
  <c r="K88" i="12"/>
  <c r="H86" i="12"/>
  <c r="I86" i="12"/>
  <c r="J86" i="12"/>
  <c r="K86" i="12"/>
  <c r="G86" i="12"/>
  <c r="G85" i="12"/>
  <c r="G83" i="12"/>
  <c r="H85" i="12"/>
  <c r="I85" i="12"/>
  <c r="J85" i="12"/>
  <c r="K85" i="12"/>
  <c r="G84" i="12"/>
  <c r="G90" i="12" s="1"/>
  <c r="H84" i="12"/>
  <c r="H90" i="12" s="1"/>
  <c r="I84" i="12"/>
  <c r="I90" i="12" s="1"/>
  <c r="J84" i="12"/>
  <c r="J90" i="12" s="1"/>
  <c r="K84" i="12"/>
  <c r="H83" i="12"/>
  <c r="H89" i="12" s="1"/>
  <c r="I83" i="12"/>
  <c r="I89" i="12" s="1"/>
  <c r="J83" i="12"/>
  <c r="J89" i="12" s="1"/>
  <c r="K83" i="12"/>
  <c r="K89" i="12" s="1"/>
  <c r="H77" i="12"/>
  <c r="I77" i="12"/>
  <c r="J77" i="12"/>
  <c r="K77" i="12"/>
  <c r="G77" i="12"/>
  <c r="H121" i="11"/>
  <c r="H128" i="11" s="1"/>
  <c r="G121" i="11"/>
  <c r="G135" i="11" s="1"/>
  <c r="F121" i="11"/>
  <c r="E121" i="11"/>
  <c r="D121" i="11"/>
  <c r="L121" i="11"/>
  <c r="M121" i="11"/>
  <c r="M135" i="11" s="1"/>
  <c r="N121" i="11"/>
  <c r="N135" i="11" s="1"/>
  <c r="O121" i="11"/>
  <c r="O126" i="11" s="1"/>
  <c r="K121" i="11"/>
  <c r="K130" i="11" s="1"/>
  <c r="K142" i="11" s="1"/>
  <c r="O100" i="11"/>
  <c r="O104" i="11" s="1"/>
  <c r="N100" i="11"/>
  <c r="N104" i="11" s="1"/>
  <c r="M100" i="11"/>
  <c r="M104" i="11" s="1"/>
  <c r="L100" i="11"/>
  <c r="L104" i="11" s="1"/>
  <c r="K100" i="11"/>
  <c r="K104" i="11" s="1"/>
  <c r="E100" i="11"/>
  <c r="E104" i="11" s="1"/>
  <c r="F100" i="11"/>
  <c r="F104" i="11" s="1"/>
  <c r="G100" i="11"/>
  <c r="G104" i="11" s="1"/>
  <c r="H100" i="11"/>
  <c r="H104" i="11" s="1"/>
  <c r="D100" i="11"/>
  <c r="D104" i="11" s="1"/>
  <c r="O135" i="8"/>
  <c r="N135" i="8"/>
  <c r="M135" i="8"/>
  <c r="L135" i="8"/>
  <c r="K135" i="8"/>
  <c r="O134" i="8"/>
  <c r="N134" i="8"/>
  <c r="M134" i="8"/>
  <c r="L134" i="8"/>
  <c r="K134" i="8"/>
  <c r="I134" i="8"/>
  <c r="O133" i="8"/>
  <c r="N133" i="8"/>
  <c r="M133" i="8"/>
  <c r="L133" i="8"/>
  <c r="K133" i="8"/>
  <c r="I133" i="8"/>
  <c r="O132" i="8"/>
  <c r="N132" i="8"/>
  <c r="M132" i="8"/>
  <c r="L132" i="8"/>
  <c r="K132" i="8"/>
  <c r="I132" i="8"/>
  <c r="O131" i="8"/>
  <c r="N131" i="8"/>
  <c r="M131" i="8"/>
  <c r="L131" i="8"/>
  <c r="K131" i="8"/>
  <c r="O126" i="8"/>
  <c r="N126" i="8"/>
  <c r="M126" i="8"/>
  <c r="L126" i="8"/>
  <c r="K126" i="8"/>
  <c r="O125" i="8"/>
  <c r="N125" i="8"/>
  <c r="M125" i="8"/>
  <c r="L125" i="8"/>
  <c r="K125" i="8"/>
  <c r="I125" i="8"/>
  <c r="O124" i="8"/>
  <c r="N124" i="8"/>
  <c r="M124" i="8"/>
  <c r="L124" i="8"/>
  <c r="K124" i="8"/>
  <c r="I124" i="8"/>
  <c r="O123" i="8"/>
  <c r="N123" i="8"/>
  <c r="M123" i="8"/>
  <c r="L123" i="8"/>
  <c r="K123" i="8"/>
  <c r="O118" i="8"/>
  <c r="N118" i="8"/>
  <c r="M118" i="8"/>
  <c r="L118" i="8"/>
  <c r="K118" i="8"/>
  <c r="O117" i="8"/>
  <c r="N117" i="8"/>
  <c r="M117" i="8"/>
  <c r="L117" i="8"/>
  <c r="K117" i="8"/>
  <c r="I117" i="8"/>
  <c r="O116" i="8"/>
  <c r="N116" i="8"/>
  <c r="M116" i="8"/>
  <c r="L116" i="8"/>
  <c r="K116" i="8"/>
  <c r="I116" i="8"/>
  <c r="O115" i="8"/>
  <c r="N115" i="8"/>
  <c r="M115" i="8"/>
  <c r="L115" i="8"/>
  <c r="K115" i="8"/>
  <c r="I115" i="8"/>
  <c r="O114" i="8"/>
  <c r="N114" i="8"/>
  <c r="M114" i="8"/>
  <c r="L114" i="8"/>
  <c r="K114" i="8"/>
  <c r="O92" i="8"/>
  <c r="N92" i="8"/>
  <c r="M92" i="8"/>
  <c r="L92" i="8"/>
  <c r="K92" i="8"/>
  <c r="O91" i="8"/>
  <c r="N91" i="8"/>
  <c r="M91" i="8"/>
  <c r="L91" i="8"/>
  <c r="K91" i="8"/>
  <c r="I91" i="8"/>
  <c r="O90" i="8"/>
  <c r="N90" i="8"/>
  <c r="M90" i="8"/>
  <c r="L90" i="8"/>
  <c r="K90" i="8"/>
  <c r="I90" i="8"/>
  <c r="O89" i="8"/>
  <c r="N89" i="8"/>
  <c r="M89" i="8"/>
  <c r="L89" i="8"/>
  <c r="K89" i="8"/>
  <c r="I89" i="8"/>
  <c r="O88" i="8"/>
  <c r="N88" i="8"/>
  <c r="M88" i="8"/>
  <c r="L88" i="8"/>
  <c r="K88" i="8"/>
  <c r="I88" i="8"/>
  <c r="O87" i="8"/>
  <c r="O96" i="8" s="1"/>
  <c r="N87" i="8"/>
  <c r="N96" i="8" s="1"/>
  <c r="M87" i="8"/>
  <c r="M96" i="8" s="1"/>
  <c r="L87" i="8"/>
  <c r="L96" i="8" s="1"/>
  <c r="K87" i="8"/>
  <c r="K96" i="8" s="1"/>
  <c r="O82" i="8"/>
  <c r="N82" i="8"/>
  <c r="M82" i="8"/>
  <c r="L82" i="8"/>
  <c r="K82" i="8"/>
  <c r="O81" i="8"/>
  <c r="N81" i="8"/>
  <c r="M81" i="8"/>
  <c r="L81" i="8"/>
  <c r="K81" i="8"/>
  <c r="I81" i="8"/>
  <c r="O80" i="8"/>
  <c r="N80" i="8"/>
  <c r="M80" i="8"/>
  <c r="L80" i="8"/>
  <c r="K80" i="8"/>
  <c r="I80" i="8"/>
  <c r="O79" i="8"/>
  <c r="N79" i="8"/>
  <c r="M79" i="8"/>
  <c r="L79" i="8"/>
  <c r="K79" i="8"/>
  <c r="I79" i="8"/>
  <c r="O78" i="8"/>
  <c r="N78" i="8"/>
  <c r="M78" i="8"/>
  <c r="L78" i="8"/>
  <c r="K78" i="8"/>
  <c r="I78" i="8"/>
  <c r="O77" i="8"/>
  <c r="N77" i="8"/>
  <c r="M77" i="8"/>
  <c r="L77" i="8"/>
  <c r="K77" i="8"/>
  <c r="I77" i="8"/>
  <c r="O76" i="8"/>
  <c r="N76" i="8"/>
  <c r="M76" i="8"/>
  <c r="L76" i="8"/>
  <c r="K76" i="8"/>
  <c r="I76" i="8"/>
  <c r="O75" i="8"/>
  <c r="N75" i="8"/>
  <c r="M75" i="8"/>
  <c r="L75" i="8"/>
  <c r="K75" i="8"/>
  <c r="G135" i="8"/>
  <c r="F133" i="8"/>
  <c r="E135" i="8"/>
  <c r="E126" i="8"/>
  <c r="D133" i="8"/>
  <c r="C133" i="8"/>
  <c r="E133" i="8"/>
  <c r="E132" i="8"/>
  <c r="G131" i="8"/>
  <c r="F131" i="8"/>
  <c r="E131" i="8"/>
  <c r="D131" i="8"/>
  <c r="C131" i="8"/>
  <c r="C124" i="8"/>
  <c r="G123" i="8"/>
  <c r="F123" i="8"/>
  <c r="E123" i="8"/>
  <c r="D123" i="8"/>
  <c r="C123" i="8"/>
  <c r="G117" i="8"/>
  <c r="G115" i="8"/>
  <c r="F118" i="8"/>
  <c r="E118" i="8"/>
  <c r="D118" i="8"/>
  <c r="C118" i="8"/>
  <c r="F116" i="8"/>
  <c r="E116" i="8"/>
  <c r="D116" i="8"/>
  <c r="G114" i="8"/>
  <c r="F114" i="8"/>
  <c r="E114" i="8"/>
  <c r="D114" i="8"/>
  <c r="C114" i="8"/>
  <c r="G92" i="8"/>
  <c r="F92" i="8"/>
  <c r="E91" i="8"/>
  <c r="D92" i="8"/>
  <c r="C92" i="8"/>
  <c r="F90" i="8"/>
  <c r="E90" i="8"/>
  <c r="F88" i="8"/>
  <c r="G87" i="8"/>
  <c r="G96" i="8" s="1"/>
  <c r="F87" i="8"/>
  <c r="F96" i="8" s="1"/>
  <c r="E87" i="8"/>
  <c r="E96" i="8" s="1"/>
  <c r="D87" i="8"/>
  <c r="D96" i="8" s="1"/>
  <c r="C87" i="8"/>
  <c r="C96" i="8" s="1"/>
  <c r="G82" i="8"/>
  <c r="F82" i="8"/>
  <c r="E82" i="8"/>
  <c r="D82" i="8"/>
  <c r="C82" i="8"/>
  <c r="G75" i="8"/>
  <c r="F75" i="8"/>
  <c r="E75" i="8"/>
  <c r="D75" i="8"/>
  <c r="C75" i="8"/>
  <c r="W75" i="8"/>
  <c r="X75" i="8"/>
  <c r="Y75" i="8"/>
  <c r="Z75" i="8"/>
  <c r="AA75" i="8"/>
  <c r="V76" i="8"/>
  <c r="W76" i="8"/>
  <c r="X76" i="8"/>
  <c r="Y76" i="8"/>
  <c r="Z76" i="8"/>
  <c r="AA76" i="8"/>
  <c r="V77" i="8"/>
  <c r="W77" i="8"/>
  <c r="X77" i="8"/>
  <c r="Y77" i="8"/>
  <c r="Z77" i="8"/>
  <c r="AA77" i="8"/>
  <c r="V78" i="8"/>
  <c r="W78" i="8"/>
  <c r="X78" i="8"/>
  <c r="Y78" i="8"/>
  <c r="Z78" i="8"/>
  <c r="AA78" i="8"/>
  <c r="V79" i="8"/>
  <c r="W79" i="8"/>
  <c r="X79" i="8"/>
  <c r="Y79" i="8"/>
  <c r="Z79" i="8"/>
  <c r="AA79" i="8"/>
  <c r="V80" i="8"/>
  <c r="W80" i="8"/>
  <c r="X80" i="8"/>
  <c r="Y80" i="8"/>
  <c r="Z80" i="8"/>
  <c r="AA80" i="8"/>
  <c r="V81" i="8"/>
  <c r="W81" i="8"/>
  <c r="X81" i="8"/>
  <c r="Y81" i="8"/>
  <c r="Z81" i="8"/>
  <c r="AA81" i="8"/>
  <c r="W82" i="8"/>
  <c r="X82" i="8"/>
  <c r="Y82" i="8"/>
  <c r="Z82" i="8"/>
  <c r="AA82" i="8"/>
  <c r="W87" i="8"/>
  <c r="X87" i="8"/>
  <c r="X96" i="8" s="1"/>
  <c r="Y87" i="8"/>
  <c r="Y96" i="8" s="1"/>
  <c r="Z87" i="8"/>
  <c r="Z96" i="8" s="1"/>
  <c r="AA87" i="8"/>
  <c r="AA96" i="8" s="1"/>
  <c r="V88" i="8"/>
  <c r="W88" i="8"/>
  <c r="X88" i="8"/>
  <c r="Y88" i="8"/>
  <c r="Z88" i="8"/>
  <c r="AA88" i="8"/>
  <c r="V89" i="8"/>
  <c r="W89" i="8"/>
  <c r="X89" i="8"/>
  <c r="Y89" i="8"/>
  <c r="Z89" i="8"/>
  <c r="AA89" i="8"/>
  <c r="V90" i="8"/>
  <c r="W90" i="8"/>
  <c r="X90" i="8"/>
  <c r="Y90" i="8"/>
  <c r="Z90" i="8"/>
  <c r="AA90" i="8"/>
  <c r="V91" i="8"/>
  <c r="W91" i="8"/>
  <c r="X91" i="8"/>
  <c r="Y91" i="8"/>
  <c r="Z91" i="8"/>
  <c r="AA91" i="8"/>
  <c r="W92" i="8"/>
  <c r="X92" i="8"/>
  <c r="Y92" i="8"/>
  <c r="Z92" i="8"/>
  <c r="AA92" i="8"/>
  <c r="W114" i="8"/>
  <c r="X114" i="8"/>
  <c r="Y114" i="8"/>
  <c r="Z114" i="8"/>
  <c r="AA114" i="8"/>
  <c r="V115" i="8"/>
  <c r="W115" i="8"/>
  <c r="X115" i="8"/>
  <c r="Y115" i="8"/>
  <c r="Z115" i="8"/>
  <c r="AA115" i="8"/>
  <c r="V116" i="8"/>
  <c r="W116" i="8"/>
  <c r="X116" i="8"/>
  <c r="Y116" i="8"/>
  <c r="Z116" i="8"/>
  <c r="AA116" i="8"/>
  <c r="V117" i="8"/>
  <c r="W117" i="8"/>
  <c r="X117" i="8"/>
  <c r="Y117" i="8"/>
  <c r="Z117" i="8"/>
  <c r="AA117" i="8"/>
  <c r="W118" i="8"/>
  <c r="X118" i="8"/>
  <c r="Y118" i="8"/>
  <c r="Z118" i="8"/>
  <c r="AA118" i="8"/>
  <c r="W123" i="8"/>
  <c r="X123" i="8"/>
  <c r="Y123" i="8"/>
  <c r="Z123" i="8"/>
  <c r="AA123" i="8"/>
  <c r="V124" i="8"/>
  <c r="W124" i="8"/>
  <c r="X124" i="8"/>
  <c r="Y124" i="8"/>
  <c r="Z124" i="8"/>
  <c r="AA124" i="8"/>
  <c r="V125" i="8"/>
  <c r="W125" i="8"/>
  <c r="X125" i="8"/>
  <c r="Y125" i="8"/>
  <c r="Z125" i="8"/>
  <c r="AA125" i="8"/>
  <c r="W126" i="8"/>
  <c r="X126" i="8"/>
  <c r="Y126" i="8"/>
  <c r="Z126" i="8"/>
  <c r="AA126" i="8"/>
  <c r="W131" i="8"/>
  <c r="X131" i="8"/>
  <c r="Y131" i="8"/>
  <c r="Z131" i="8"/>
  <c r="AA131" i="8"/>
  <c r="V132" i="8"/>
  <c r="W132" i="8"/>
  <c r="X132" i="8"/>
  <c r="Y132" i="8"/>
  <c r="Z132" i="8"/>
  <c r="AA132" i="8"/>
  <c r="V133" i="8"/>
  <c r="W133" i="8"/>
  <c r="X133" i="8"/>
  <c r="Y133" i="8"/>
  <c r="Z133" i="8"/>
  <c r="AA133" i="8"/>
  <c r="V134" i="8"/>
  <c r="W134" i="8"/>
  <c r="X134" i="8"/>
  <c r="Y134" i="8"/>
  <c r="Z134" i="8"/>
  <c r="AA134" i="8"/>
  <c r="W135" i="8"/>
  <c r="X135" i="8"/>
  <c r="Y135" i="8"/>
  <c r="Z135" i="8"/>
  <c r="AA135" i="8"/>
  <c r="E115" i="8"/>
  <c r="F125" i="8"/>
  <c r="D89" i="8"/>
  <c r="D124" i="8"/>
  <c r="F134" i="8"/>
  <c r="F135" i="8"/>
  <c r="G91" i="8"/>
  <c r="E117" i="8"/>
  <c r="F124" i="8"/>
  <c r="F126" i="8"/>
  <c r="F132" i="8"/>
  <c r="E77" i="8"/>
  <c r="E79" i="8"/>
  <c r="E81" i="8"/>
  <c r="C88" i="8"/>
  <c r="C89" i="8"/>
  <c r="C90" i="8"/>
  <c r="C91" i="8"/>
  <c r="C116" i="8"/>
  <c r="E125" i="8"/>
  <c r="E134" i="8"/>
  <c r="E76" i="8"/>
  <c r="E78" i="8"/>
  <c r="E80" i="8"/>
  <c r="G88" i="8"/>
  <c r="E89" i="8"/>
  <c r="F115" i="8"/>
  <c r="G124" i="8"/>
  <c r="C76" i="8"/>
  <c r="C77" i="8"/>
  <c r="C78" i="8"/>
  <c r="C79" i="8"/>
  <c r="C80" i="8"/>
  <c r="C81" i="8"/>
  <c r="E92" i="8"/>
  <c r="G116" i="8"/>
  <c r="G118" i="8"/>
  <c r="G76" i="8"/>
  <c r="G77" i="8"/>
  <c r="G78" i="8"/>
  <c r="G79" i="8"/>
  <c r="G80" i="8"/>
  <c r="G81" i="8"/>
  <c r="G89" i="8"/>
  <c r="D91" i="8"/>
  <c r="C115" i="8"/>
  <c r="C117" i="8"/>
  <c r="E124" i="8"/>
  <c r="D125" i="8"/>
  <c r="G133" i="8"/>
  <c r="E88" i="8"/>
  <c r="G90" i="8"/>
  <c r="D115" i="8"/>
  <c r="D117" i="8"/>
  <c r="C135" i="8"/>
  <c r="F76" i="8"/>
  <c r="D77" i="8"/>
  <c r="F78" i="8"/>
  <c r="D79" i="8"/>
  <c r="F80" i="8"/>
  <c r="D81" i="8"/>
  <c r="D88" i="8"/>
  <c r="F89" i="8"/>
  <c r="D90" i="8"/>
  <c r="F91" i="8"/>
  <c r="F117" i="8"/>
  <c r="C125" i="8"/>
  <c r="C132" i="8"/>
  <c r="C134" i="8"/>
  <c r="D76" i="8"/>
  <c r="F77" i="8"/>
  <c r="D78" i="8"/>
  <c r="F79" i="8"/>
  <c r="D80" i="8"/>
  <c r="F81" i="8"/>
  <c r="C126" i="8"/>
  <c r="K91" i="12" l="1"/>
  <c r="K90" i="12"/>
  <c r="G89" i="12"/>
  <c r="M130" i="11"/>
  <c r="M142" i="11" s="1"/>
  <c r="N134" i="11"/>
  <c r="N146" i="11" s="1"/>
  <c r="M129" i="11"/>
  <c r="M141" i="11" s="1"/>
  <c r="K134" i="11"/>
  <c r="K146" i="11" s="1"/>
  <c r="M127" i="11"/>
  <c r="M139" i="11" s="1"/>
  <c r="I91" i="12"/>
  <c r="H91" i="12"/>
  <c r="J91" i="12"/>
  <c r="G91" i="12"/>
  <c r="L126" i="11"/>
  <c r="L138" i="11" s="1"/>
  <c r="O138" i="11"/>
  <c r="O132" i="11"/>
  <c r="O130" i="11"/>
  <c r="L130" i="11" s="1"/>
  <c r="L142" i="11" s="1"/>
  <c r="O131" i="11"/>
  <c r="O134" i="11"/>
  <c r="O133" i="11"/>
  <c r="L133" i="11" s="1"/>
  <c r="L145" i="11" s="1"/>
  <c r="H140" i="11"/>
  <c r="E128" i="11"/>
  <c r="E140" i="11" s="1"/>
  <c r="N133" i="11"/>
  <c r="N145" i="11" s="1"/>
  <c r="N130" i="11"/>
  <c r="N142" i="11" s="1"/>
  <c r="N131" i="11"/>
  <c r="N143" i="11" s="1"/>
  <c r="N128" i="11"/>
  <c r="N140" i="11" s="1"/>
  <c r="N127" i="11"/>
  <c r="N139" i="11" s="1"/>
  <c r="N129" i="11"/>
  <c r="N141" i="11" s="1"/>
  <c r="F135" i="11"/>
  <c r="F134" i="11"/>
  <c r="F146" i="11" s="1"/>
  <c r="F133" i="11"/>
  <c r="F145" i="11" s="1"/>
  <c r="F132" i="11"/>
  <c r="F144" i="11" s="1"/>
  <c r="H126" i="11"/>
  <c r="N132" i="11"/>
  <c r="N144" i="11" s="1"/>
  <c r="M126" i="11"/>
  <c r="M138" i="11" s="1"/>
  <c r="M132" i="11"/>
  <c r="M144" i="11" s="1"/>
  <c r="M131" i="11"/>
  <c r="M143" i="11" s="1"/>
  <c r="M133" i="11"/>
  <c r="M145" i="11" s="1"/>
  <c r="M134" i="11"/>
  <c r="M146" i="11" s="1"/>
  <c r="F127" i="11"/>
  <c r="F139" i="11" s="1"/>
  <c r="F129" i="11"/>
  <c r="F141" i="11" s="1"/>
  <c r="K128" i="11"/>
  <c r="K140" i="11" s="1"/>
  <c r="K135" i="11"/>
  <c r="K133" i="11"/>
  <c r="K145" i="11" s="1"/>
  <c r="K131" i="11"/>
  <c r="K143" i="11" s="1"/>
  <c r="K129" i="11"/>
  <c r="K141" i="11" s="1"/>
  <c r="K132" i="11"/>
  <c r="K144" i="11" s="1"/>
  <c r="D135" i="11"/>
  <c r="D134" i="11"/>
  <c r="D146" i="11" s="1"/>
  <c r="D133" i="11"/>
  <c r="D145" i="11" s="1"/>
  <c r="D132" i="11"/>
  <c r="D144" i="11" s="1"/>
  <c r="D131" i="11"/>
  <c r="D143" i="11" s="1"/>
  <c r="D130" i="11"/>
  <c r="D142" i="11" s="1"/>
  <c r="D129" i="11"/>
  <c r="D141" i="11" s="1"/>
  <c r="D128" i="11"/>
  <c r="D140" i="11" s="1"/>
  <c r="D127" i="11"/>
  <c r="D139" i="11" s="1"/>
  <c r="D126" i="11"/>
  <c r="D138" i="11" s="1"/>
  <c r="H135" i="11"/>
  <c r="E135" i="11" s="1"/>
  <c r="H134" i="11"/>
  <c r="H133" i="11"/>
  <c r="H132" i="11"/>
  <c r="H131" i="11"/>
  <c r="H130" i="11"/>
  <c r="H129" i="11"/>
  <c r="H127" i="11"/>
  <c r="F130" i="11"/>
  <c r="F142" i="11" s="1"/>
  <c r="N126" i="11"/>
  <c r="N138" i="11" s="1"/>
  <c r="K127" i="11"/>
  <c r="K139" i="11" s="1"/>
  <c r="O128" i="11"/>
  <c r="O135" i="11"/>
  <c r="L135" i="11" s="1"/>
  <c r="O129" i="11"/>
  <c r="O127" i="11"/>
  <c r="K126" i="11"/>
  <c r="K138" i="11" s="1"/>
  <c r="M128" i="11"/>
  <c r="M140" i="11" s="1"/>
  <c r="F126" i="11"/>
  <c r="F138" i="11" s="1"/>
  <c r="F128" i="11"/>
  <c r="F140" i="11" s="1"/>
  <c r="F131" i="11"/>
  <c r="F143" i="11" s="1"/>
  <c r="G126" i="11"/>
  <c r="G138" i="11" s="1"/>
  <c r="G127" i="11"/>
  <c r="G139" i="11" s="1"/>
  <c r="G128" i="11"/>
  <c r="G140" i="11" s="1"/>
  <c r="G129" i="11"/>
  <c r="G141" i="11" s="1"/>
  <c r="G130" i="11"/>
  <c r="G142" i="11" s="1"/>
  <c r="G131" i="11"/>
  <c r="G143" i="11" s="1"/>
  <c r="G132" i="11"/>
  <c r="G144" i="11" s="1"/>
  <c r="G133" i="11"/>
  <c r="G145" i="11" s="1"/>
  <c r="G134" i="11"/>
  <c r="G146" i="11" s="1"/>
  <c r="G134" i="8"/>
  <c r="G125" i="8"/>
  <c r="D135" i="8"/>
  <c r="G126" i="8"/>
  <c r="D134" i="8"/>
  <c r="G132" i="8"/>
  <c r="D132" i="8"/>
  <c r="D126" i="8"/>
  <c r="O142" i="11" l="1"/>
  <c r="M149" i="11"/>
  <c r="G149" i="11"/>
  <c r="K148" i="11"/>
  <c r="L132" i="11"/>
  <c r="L144" i="11" s="1"/>
  <c r="O144" i="11"/>
  <c r="F148" i="11"/>
  <c r="O145" i="11"/>
  <c r="L134" i="11"/>
  <c r="L146" i="11" s="1"/>
  <c r="O146" i="11"/>
  <c r="D149" i="11"/>
  <c r="K150" i="11"/>
  <c r="M148" i="11"/>
  <c r="F150" i="11"/>
  <c r="L131" i="11"/>
  <c r="L143" i="11" s="1"/>
  <c r="O143" i="11"/>
  <c r="L128" i="11"/>
  <c r="L140" i="11" s="1"/>
  <c r="O140" i="11"/>
  <c r="H143" i="11"/>
  <c r="E131" i="11"/>
  <c r="E143" i="11" s="1"/>
  <c r="G150" i="11"/>
  <c r="L127" i="11"/>
  <c r="L139" i="11" s="1"/>
  <c r="O139" i="11"/>
  <c r="H139" i="11"/>
  <c r="E127" i="11"/>
  <c r="E139" i="11" s="1"/>
  <c r="H144" i="11"/>
  <c r="E132" i="11"/>
  <c r="E144" i="11" s="1"/>
  <c r="D148" i="11"/>
  <c r="K149" i="11"/>
  <c r="N150" i="11"/>
  <c r="L129" i="11"/>
  <c r="L141" i="11" s="1"/>
  <c r="L149" i="11" s="1"/>
  <c r="O141" i="11"/>
  <c r="E129" i="11"/>
  <c r="E141" i="11" s="1"/>
  <c r="H141" i="11"/>
  <c r="E133" i="11"/>
  <c r="E145" i="11" s="1"/>
  <c r="H145" i="11"/>
  <c r="F149" i="11"/>
  <c r="G148" i="11"/>
  <c r="N148" i="11"/>
  <c r="E130" i="11"/>
  <c r="E142" i="11" s="1"/>
  <c r="H142" i="11"/>
  <c r="E134" i="11"/>
  <c r="E146" i="11" s="1"/>
  <c r="H146" i="11"/>
  <c r="D150" i="11"/>
  <c r="M150" i="11"/>
  <c r="E126" i="11"/>
  <c r="E138" i="11" s="1"/>
  <c r="H138" i="11"/>
  <c r="N149" i="11"/>
  <c r="O149" i="11" l="1"/>
  <c r="L150" i="11"/>
  <c r="E148" i="11"/>
  <c r="H149" i="11"/>
  <c r="L148" i="11"/>
  <c r="O150" i="11"/>
  <c r="H148" i="11"/>
  <c r="E150" i="11"/>
  <c r="O148" i="11"/>
  <c r="H150" i="11"/>
  <c r="E149" i="11"/>
</calcChain>
</file>

<file path=xl/sharedStrings.xml><?xml version="1.0" encoding="utf-8"?>
<sst xmlns="http://schemas.openxmlformats.org/spreadsheetml/2006/main" count="3932" uniqueCount="669">
  <si>
    <r>
      <rPr>
        <sz val="9"/>
        <color indexed="8"/>
        <rFont val="Arial"/>
        <family val="2"/>
      </rPr>
      <t>Couple w/ k</t>
    </r>
  </si>
  <si>
    <r>
      <rPr>
        <sz val="9"/>
        <color indexed="8"/>
        <rFont val="Arial"/>
        <family val="2"/>
      </rPr>
      <t>Single w/ k</t>
    </r>
  </si>
  <si>
    <r>
      <rPr>
        <sz val="9"/>
        <color indexed="8"/>
        <rFont val="Arial"/>
        <family val="2"/>
      </rPr>
      <t>Couple no k</t>
    </r>
  </si>
  <si>
    <r>
      <rPr>
        <sz val="9"/>
        <color indexed="8"/>
        <rFont val="Arial"/>
        <family val="2"/>
      </rPr>
      <t>Single no k</t>
    </r>
  </si>
  <si>
    <r>
      <rPr>
        <sz val="9"/>
        <color indexed="8"/>
        <rFont val="Arial"/>
        <family val="2"/>
      </rPr>
      <t>in US &lt;20 yrs</t>
    </r>
  </si>
  <si>
    <r>
      <rPr>
        <sz val="9"/>
        <color indexed="8"/>
        <rFont val="Arial"/>
        <family val="2"/>
      </rPr>
      <t>Higher income</t>
    </r>
  </si>
  <si>
    <r>
      <rPr>
        <sz val="9"/>
        <color indexed="8"/>
        <rFont val="Arial"/>
        <family val="2"/>
      </rPr>
      <t>Middle income</t>
    </r>
  </si>
  <si>
    <r>
      <rPr>
        <sz val="9"/>
        <color indexed="8"/>
        <rFont val="Arial"/>
        <family val="2"/>
      </rPr>
      <t>Lowest income</t>
    </r>
  </si>
  <si>
    <r>
      <rPr>
        <sz val="9"/>
        <color indexed="8"/>
        <rFont val="Arial"/>
        <family val="2"/>
      </rPr>
      <t>nonwkr</t>
    </r>
  </si>
  <si>
    <r>
      <rPr>
        <sz val="9"/>
        <color indexed="8"/>
        <rFont val="Arial"/>
        <family val="2"/>
      </rPr>
      <t>worker</t>
    </r>
  </si>
  <si>
    <r>
      <rPr>
        <sz val="9"/>
        <color indexed="8"/>
        <rFont val="Arial"/>
        <family val="2"/>
      </rPr>
      <t>rural</t>
    </r>
  </si>
  <si>
    <r>
      <rPr>
        <sz val="9"/>
        <color indexed="8"/>
        <rFont val="Arial"/>
        <family val="2"/>
      </rPr>
      <t>suburban</t>
    </r>
  </si>
  <si>
    <r>
      <rPr>
        <sz val="9"/>
        <color indexed="8"/>
        <rFont val="Arial"/>
        <family val="2"/>
      </rPr>
      <t>urban</t>
    </r>
  </si>
  <si>
    <r>
      <rPr>
        <sz val="9"/>
        <color indexed="8"/>
        <rFont val="Arial"/>
        <family val="2"/>
      </rPr>
      <t>Age 75 up</t>
    </r>
  </si>
  <si>
    <r>
      <rPr>
        <sz val="9"/>
        <color indexed="8"/>
        <rFont val="Arial"/>
        <family val="2"/>
      </rPr>
      <t>Age 60-74</t>
    </r>
  </si>
  <si>
    <r>
      <rPr>
        <sz val="9"/>
        <color indexed="8"/>
        <rFont val="Arial"/>
        <family val="2"/>
      </rPr>
      <t>Age 45-59</t>
    </r>
  </si>
  <si>
    <r>
      <rPr>
        <sz val="9"/>
        <color indexed="8"/>
        <rFont val="Arial"/>
        <family val="2"/>
      </rPr>
      <t>Age 30-44</t>
    </r>
  </si>
  <si>
    <r>
      <rPr>
        <sz val="9"/>
        <color indexed="8"/>
        <rFont val="Arial"/>
        <family val="2"/>
      </rPr>
      <t>Age 16-29</t>
    </r>
  </si>
  <si>
    <r>
      <rPr>
        <sz val="9"/>
        <color indexed="8"/>
        <rFont val="Arial"/>
        <family val="2"/>
      </rPr>
      <t>Age 0-15</t>
    </r>
  </si>
  <si>
    <r>
      <rPr>
        <sz val="9"/>
        <color indexed="8"/>
        <rFont val="Arial"/>
        <family val="2"/>
      </rPr>
      <t>agegroup</t>
    </r>
  </si>
  <si>
    <r>
      <rPr>
        <sz val="9"/>
        <color indexed="8"/>
        <rFont val="Arial"/>
        <family val="2"/>
      </rPr>
      <t>incomegr</t>
    </r>
  </si>
  <si>
    <r>
      <rPr>
        <sz val="9"/>
        <color indexed="8"/>
        <rFont val="Arial"/>
        <family val="2"/>
      </rPr>
      <t>workergr</t>
    </r>
  </si>
  <si>
    <r>
      <rPr>
        <sz val="9"/>
        <color indexed="8"/>
        <rFont val="Arial"/>
        <family val="2"/>
      </rPr>
      <t>areatype</t>
    </r>
  </si>
  <si>
    <r>
      <rPr>
        <sz val="9"/>
        <color indexed="8"/>
        <rFont val="Arial"/>
        <family val="2"/>
      </rPr>
      <t>Count</t>
    </r>
  </si>
  <si>
    <t>Total</t>
  </si>
  <si>
    <r>
      <rPr>
        <sz val="9"/>
        <color indexed="8"/>
        <rFont val="Arial"/>
        <family val="2"/>
      </rPr>
      <t>Total</t>
    </r>
  </si>
  <si>
    <r>
      <rPr>
        <sz val="9"/>
        <color indexed="8"/>
        <rFont val="Arial"/>
        <family val="2"/>
      </rPr>
      <t>region</t>
    </r>
  </si>
  <si>
    <r>
      <rPr>
        <b/>
        <sz val="9"/>
        <color indexed="8"/>
        <rFont val="Arial Bold"/>
      </rPr>
      <t>areatype * region Crosstabulation</t>
    </r>
  </si>
  <si>
    <r>
      <rPr>
        <b/>
        <sz val="9"/>
        <color indexed="8"/>
        <rFont val="Arial Bold"/>
      </rPr>
      <t>workergr * region Crosstabulation</t>
    </r>
  </si>
  <si>
    <r>
      <rPr>
        <b/>
        <sz val="9"/>
        <color indexed="8"/>
        <rFont val="Arial Bold"/>
      </rPr>
      <t>incomegr * region Crosstabulation</t>
    </r>
  </si>
  <si>
    <r>
      <rPr>
        <sz val="9"/>
        <color indexed="8"/>
        <rFont val="Arial"/>
        <family val="2"/>
      </rPr>
      <t>ethnicgr</t>
    </r>
  </si>
  <si>
    <r>
      <rPr>
        <b/>
        <sz val="9"/>
        <color indexed="8"/>
        <rFont val="Arial Bold"/>
      </rPr>
      <t>ethnicgr * region Crosstabulation</t>
    </r>
  </si>
  <si>
    <t>Base divorce rate / year</t>
  </si>
  <si>
    <t>Base marriage rate / year</t>
  </si>
  <si>
    <t>Return to Main Menu</t>
  </si>
  <si>
    <t>Based on NHTS 2009</t>
  </si>
  <si>
    <t>NHTS 2009 Percentages</t>
  </si>
  <si>
    <t>Atlanta</t>
  </si>
  <si>
    <t>Boston</t>
  </si>
  <si>
    <t>Detroit</t>
  </si>
  <si>
    <t>Houston</t>
  </si>
  <si>
    <t>Seattle</t>
  </si>
  <si>
    <t>Age: 0-14</t>
  </si>
  <si>
    <t>Age: 15-29</t>
  </si>
  <si>
    <t>Age: 30-44</t>
  </si>
  <si>
    <t>Age: 45-59</t>
  </si>
  <si>
    <t>Age: 60-74</t>
  </si>
  <si>
    <t>Age:75+</t>
  </si>
  <si>
    <t>Single w/o Children</t>
  </si>
  <si>
    <t>Couples w/o children</t>
  </si>
  <si>
    <t>Single w/ children</t>
  </si>
  <si>
    <t>Couple with Children</t>
  </si>
  <si>
    <t>Employed</t>
  </si>
  <si>
    <t>HH Income: 0-35K</t>
  </si>
  <si>
    <t>HH Income: 35-99K</t>
  </si>
  <si>
    <t>HH Income: 100K+</t>
  </si>
  <si>
    <t>Urban Pop</t>
  </si>
  <si>
    <t>Suburb.Pop.</t>
  </si>
  <si>
    <t>Rural Pop.</t>
  </si>
  <si>
    <t>Census 2000 Percentages</t>
  </si>
  <si>
    <t>Not employed</t>
  </si>
  <si>
    <t>Jobs Agriculture</t>
  </si>
  <si>
    <t>Jobs Mining</t>
  </si>
  <si>
    <t>Jobs Utilities</t>
  </si>
  <si>
    <t>Jobs Construction</t>
  </si>
  <si>
    <t>Jobs Manufacturing</t>
  </si>
  <si>
    <t>Jobs Wholesale_Trade</t>
  </si>
  <si>
    <t>Jobs Retail_Trade</t>
  </si>
  <si>
    <t>Jobs Transportation_Warehousing</t>
  </si>
  <si>
    <t>Jobs Information</t>
  </si>
  <si>
    <t>Jobs Finance_Insurance</t>
  </si>
  <si>
    <t>Jobs Real_Estate</t>
  </si>
  <si>
    <t>Jobs Professional</t>
  </si>
  <si>
    <t>Jobs Management</t>
  </si>
  <si>
    <t>Jobs Administration</t>
  </si>
  <si>
    <t>Jobs Education</t>
  </si>
  <si>
    <t>Jobs Health_Care</t>
  </si>
  <si>
    <t>Jobs Arts</t>
  </si>
  <si>
    <t>Jobs Accommodation</t>
  </si>
  <si>
    <t>Jobs Other_Services</t>
  </si>
  <si>
    <t>Jobs Public_Administration</t>
  </si>
  <si>
    <t>From 2000 LED data</t>
  </si>
  <si>
    <t>Employed from 2000 Census</t>
  </si>
  <si>
    <t>Jobs per worker</t>
  </si>
  <si>
    <t>From 2010 LED data</t>
  </si>
  <si>
    <t>Employed from 2010 Census</t>
  </si>
  <si>
    <t>Sector</t>
  </si>
  <si>
    <t>Retail</t>
  </si>
  <si>
    <t>Other</t>
  </si>
  <si>
    <t>Services</t>
  </si>
  <si>
    <t>Census 2010 Percentages</t>
  </si>
  <si>
    <r>
      <rPr>
        <b/>
        <sz val="9"/>
        <color indexed="8"/>
        <rFont val="Arial Bold"/>
      </rPr>
      <t>Coefficients</t>
    </r>
    <r>
      <rPr>
        <b/>
        <vertAlign val="superscript"/>
        <sz val="9"/>
        <color indexed="8"/>
        <rFont val="Arial Bold"/>
      </rPr>
      <t>a</t>
    </r>
  </si>
  <si>
    <r>
      <rPr>
        <b/>
        <sz val="9"/>
        <color indexed="8"/>
        <rFont val="Arial Bold"/>
      </rPr>
      <t>Coefficients</t>
    </r>
    <r>
      <rPr>
        <b/>
        <vertAlign val="superscript"/>
        <sz val="9"/>
        <color indexed="8"/>
        <rFont val="Arial Bold"/>
      </rPr>
      <t>a</t>
    </r>
    <r>
      <rPr>
        <b/>
        <vertAlign val="superscript"/>
        <sz val="9"/>
        <color indexed="8"/>
        <rFont val="Arial Bold"/>
      </rPr>
      <t>,b</t>
    </r>
  </si>
  <si>
    <r>
      <rPr>
        <b/>
        <sz val="9"/>
        <color indexed="8"/>
        <rFont val="Arial Bold"/>
      </rPr>
      <t>Parameter Estimates</t>
    </r>
  </si>
  <si>
    <t>no car</t>
  </si>
  <si>
    <t>Jobs-Retail</t>
  </si>
  <si>
    <t>Jobs-Service</t>
  </si>
  <si>
    <t>Jobs-Other</t>
  </si>
  <si>
    <t>Urban-Retail</t>
  </si>
  <si>
    <t>Urban-Service</t>
  </si>
  <si>
    <t>Urban-Other</t>
  </si>
  <si>
    <t>Suburb-Retail</t>
  </si>
  <si>
    <t>Suburb-Service</t>
  </si>
  <si>
    <t>Suburb-Other</t>
  </si>
  <si>
    <t>Rural-Retail</t>
  </si>
  <si>
    <t>Rural-Service</t>
  </si>
  <si>
    <t>Rural-Other</t>
  </si>
  <si>
    <t>Number of jobs</t>
  </si>
  <si>
    <t>Fraction of jobs</t>
  </si>
  <si>
    <t>copy of Seattle</t>
  </si>
  <si>
    <t>Fraction applied to total jobs</t>
  </si>
  <si>
    <t>2000 Marginals</t>
  </si>
  <si>
    <r>
      <rPr>
        <sz val="9"/>
        <color indexed="8"/>
        <rFont val="Arial"/>
        <family val="2"/>
      </rPr>
      <t>ptype</t>
    </r>
  </si>
  <si>
    <t>Housing</t>
  </si>
  <si>
    <r>
      <rPr>
        <b/>
        <sz val="9"/>
        <color indexed="8"/>
        <rFont val="Arial Bold"/>
      </rPr>
      <t>Percentiles</t>
    </r>
    <r>
      <rPr>
        <b/>
        <vertAlign val="superscript"/>
        <sz val="9"/>
        <color indexed="8"/>
        <rFont val="Arial Bold"/>
      </rPr>
      <t>a</t>
    </r>
  </si>
  <si>
    <r>
      <rPr>
        <sz val="9"/>
        <color indexed="8"/>
        <rFont val="Arial"/>
        <family val="2"/>
      </rPr>
      <t>Percentiles</t>
    </r>
  </si>
  <si>
    <r>
      <rPr>
        <sz val="9"/>
        <color indexed="8"/>
        <rFont val="Arial"/>
        <family val="2"/>
      </rPr>
      <t>Weighted Average(Definition 1)</t>
    </r>
  </si>
  <si>
    <r>
      <rPr>
        <sz val="9"/>
        <color indexed="8"/>
        <rFont val="Arial"/>
        <family val="2"/>
      </rPr>
      <t>sqftpu</t>
    </r>
  </si>
  <si>
    <t>Jobs</t>
  </si>
  <si>
    <t>Urban</t>
  </si>
  <si>
    <t>Suburban</t>
  </si>
  <si>
    <t>Rural</t>
  </si>
  <si>
    <t>Sqft/hh</t>
  </si>
  <si>
    <t>Sqft/job</t>
  </si>
  <si>
    <t>Urban-HH</t>
  </si>
  <si>
    <t>Suburban-HH</t>
  </si>
  <si>
    <t>Rural-HH</t>
  </si>
  <si>
    <t>Urban-Total</t>
  </si>
  <si>
    <t>Suburban-Total</t>
  </si>
  <si>
    <t>Rural-Total</t>
  </si>
  <si>
    <t>Urban-Sqm</t>
  </si>
  <si>
    <t>Suburban-Sqm</t>
  </si>
  <si>
    <t>Rural-Sqm</t>
  </si>
  <si>
    <t>Total HH</t>
  </si>
  <si>
    <t>Total Sqm</t>
  </si>
  <si>
    <t>Urban-Jobs</t>
  </si>
  <si>
    <t>Suburban-Jobs</t>
  </si>
  <si>
    <t>Rural-Jobs</t>
  </si>
  <si>
    <t>Urban commercial space</t>
  </si>
  <si>
    <t>Suburban commercial space</t>
  </si>
  <si>
    <t>Rural commercial space</t>
  </si>
  <si>
    <t>Urban housing space</t>
  </si>
  <si>
    <t>Suburban housing space</t>
  </si>
  <si>
    <t>Rural housing space</t>
  </si>
  <si>
    <t>Urban remaining space</t>
  </si>
  <si>
    <t>Suburban remaining space</t>
  </si>
  <si>
    <t>Rural remaining space</t>
  </si>
  <si>
    <t>Urban Freeways</t>
  </si>
  <si>
    <t>Urban Artierials</t>
  </si>
  <si>
    <t>Urban Other</t>
  </si>
  <si>
    <t>Suburban Freeways</t>
  </si>
  <si>
    <t>Suburban Arterials</t>
  </si>
  <si>
    <t>Suburban Other</t>
  </si>
  <si>
    <t>Rural Freeways</t>
  </si>
  <si>
    <t>Rural Artierials</t>
  </si>
  <si>
    <t>Rural Other</t>
  </si>
  <si>
    <t xml:space="preserve">Rail </t>
  </si>
  <si>
    <t>Non-rail</t>
  </si>
  <si>
    <r>
      <rPr>
        <b/>
        <sz val="9"/>
        <color indexed="8"/>
        <rFont val="Arial Bold"/>
      </rPr>
      <t>hhldtyp2 * region Crosstabulation</t>
    </r>
  </si>
  <si>
    <r>
      <rPr>
        <sz val="9"/>
        <color indexed="8"/>
        <rFont val="Arial"/>
        <family val="2"/>
      </rPr>
      <t>hhldtyp2</t>
    </r>
  </si>
  <si>
    <r>
      <rPr>
        <b/>
        <sz val="9"/>
        <color indexed="8"/>
        <rFont val="Arial Bold"/>
      </rPr>
      <t>hhldtyp2 * agegroup * ethnicgr * incomegr * workergr * areatype Crosstabulation</t>
    </r>
  </si>
  <si>
    <r>
      <rPr>
        <sz val="9"/>
        <color indexed="8"/>
        <rFont val="Arial"/>
        <family val="2"/>
      </rPr>
      <t>B</t>
    </r>
  </si>
  <si>
    <r>
      <rPr>
        <sz val="9"/>
        <color indexed="8"/>
        <rFont val="Arial"/>
        <family val="2"/>
      </rPr>
      <t>Std. Error</t>
    </r>
  </si>
  <si>
    <r>
      <rPr>
        <sz val="9"/>
        <color indexed="8"/>
        <rFont val="Arial"/>
        <family val="2"/>
      </rPr>
      <t>Intercept</t>
    </r>
  </si>
  <si>
    <r>
      <rPr>
        <sz val="9"/>
        <color indexed="8"/>
        <rFont val="Arial"/>
        <family val="2"/>
      </rPr>
      <t>age0015</t>
    </r>
  </si>
  <si>
    <r>
      <rPr>
        <sz val="9"/>
        <color indexed="8"/>
        <rFont val="Arial"/>
        <family val="2"/>
      </rPr>
      <t>age1629</t>
    </r>
  </si>
  <si>
    <r>
      <rPr>
        <sz val="9"/>
        <color indexed="8"/>
        <rFont val="Arial"/>
        <family val="2"/>
      </rPr>
      <t>age4559</t>
    </r>
  </si>
  <si>
    <r>
      <rPr>
        <sz val="9"/>
        <color indexed="8"/>
        <rFont val="Arial"/>
        <family val="2"/>
      </rPr>
      <t>age6074</t>
    </r>
  </si>
  <si>
    <r>
      <rPr>
        <sz val="9"/>
        <color indexed="8"/>
        <rFont val="Arial"/>
        <family val="2"/>
      </rPr>
      <t>age75up</t>
    </r>
  </si>
  <si>
    <r>
      <rPr>
        <sz val="9"/>
        <color indexed="8"/>
        <rFont val="Arial"/>
        <family val="2"/>
      </rPr>
      <t>couple</t>
    </r>
  </si>
  <si>
    <r>
      <rPr>
        <sz val="9"/>
        <color indexed="8"/>
        <rFont val="Arial"/>
        <family val="2"/>
      </rPr>
      <t>kidsinhh</t>
    </r>
  </si>
  <si>
    <r>
      <rPr>
        <sz val="9"/>
        <color indexed="8"/>
        <rFont val="Arial"/>
        <family val="2"/>
      </rPr>
      <t>singlewk</t>
    </r>
  </si>
  <si>
    <r>
      <rPr>
        <sz val="9"/>
        <color indexed="8"/>
        <rFont val="Arial"/>
        <family val="2"/>
      </rPr>
      <t>ethnic</t>
    </r>
  </si>
  <si>
    <r>
      <rPr>
        <sz val="9"/>
        <color indexed="8"/>
        <rFont val="Arial"/>
        <family val="2"/>
      </rPr>
      <t>outsideus</t>
    </r>
  </si>
  <si>
    <r>
      <rPr>
        <sz val="9"/>
        <color indexed="8"/>
        <rFont val="Arial"/>
        <family val="2"/>
      </rPr>
      <t>und20yrs</t>
    </r>
  </si>
  <si>
    <r>
      <rPr>
        <sz val="9"/>
        <color indexed="8"/>
        <rFont val="Arial"/>
        <family val="2"/>
      </rPr>
      <t>lowinc</t>
    </r>
  </si>
  <si>
    <r>
      <rPr>
        <sz val="9"/>
        <color indexed="8"/>
        <rFont val="Arial"/>
        <family val="2"/>
      </rPr>
      <t>highinc</t>
    </r>
  </si>
  <si>
    <t>T-stat</t>
  </si>
  <si>
    <t>Model</t>
  </si>
  <si>
    <r>
      <rPr>
        <sz val="9"/>
        <color indexed="8"/>
        <rFont val="Arial"/>
        <family val="2"/>
      </rPr>
      <t>Model</t>
    </r>
  </si>
  <si>
    <r>
      <rPr>
        <sz val="9"/>
        <color indexed="8"/>
        <rFont val="Arial"/>
        <family val="2"/>
      </rPr>
      <t>Unstandardized Coefficients</t>
    </r>
  </si>
  <si>
    <r>
      <rPr>
        <sz val="9"/>
        <color indexed="8"/>
        <rFont val="Arial"/>
        <family val="2"/>
      </rPr>
      <t>t</t>
    </r>
  </si>
  <si>
    <r>
      <rPr>
        <sz val="9"/>
        <color indexed="8"/>
        <rFont val="Arial"/>
        <family val="2"/>
      </rPr>
      <t>(Constant)</t>
    </r>
  </si>
  <si>
    <r>
      <rPr>
        <sz val="9"/>
        <color indexed="8"/>
        <rFont val="Arial"/>
        <family val="2"/>
      </rPr>
      <t>nocar</t>
    </r>
  </si>
  <si>
    <r>
      <rPr>
        <sz val="9"/>
        <color indexed="8"/>
        <rFont val="Arial"/>
        <family val="2"/>
      </rPr>
      <t>carcomp</t>
    </r>
  </si>
  <si>
    <r>
      <rPr>
        <sz val="9"/>
        <color indexed="8"/>
        <rFont val="Arial"/>
        <family val="2"/>
      </rPr>
      <t>mode</t>
    </r>
    <r>
      <rPr>
        <vertAlign val="superscript"/>
        <sz val="9"/>
        <color indexed="8"/>
        <rFont val="Arial"/>
        <family val="2"/>
      </rPr>
      <t>a</t>
    </r>
  </si>
  <si>
    <r>
      <rPr>
        <sz val="9"/>
        <color indexed="8"/>
        <rFont val="Arial"/>
        <family val="2"/>
      </rPr>
      <t>atlanta</t>
    </r>
  </si>
  <si>
    <r>
      <rPr>
        <sz val="9"/>
        <color indexed="8"/>
        <rFont val="Arial"/>
        <family val="2"/>
      </rPr>
      <t>boston</t>
    </r>
  </si>
  <si>
    <r>
      <rPr>
        <sz val="9"/>
        <color indexed="8"/>
        <rFont val="Arial"/>
        <family val="2"/>
      </rPr>
      <t>detroit</t>
    </r>
  </si>
  <si>
    <r>
      <rPr>
        <sz val="9"/>
        <color indexed="8"/>
        <rFont val="Arial"/>
        <family val="2"/>
      </rPr>
      <t>houston</t>
    </r>
  </si>
  <si>
    <r>
      <rPr>
        <sz val="9"/>
        <color indexed="8"/>
        <rFont val="Arial"/>
        <family val="2"/>
      </rPr>
      <t>seattle</t>
    </r>
  </si>
  <si>
    <r>
      <rPr>
        <sz val="9"/>
        <color indexed="8"/>
        <rFont val="Arial"/>
        <family val="2"/>
      </rPr>
      <t>transit</t>
    </r>
  </si>
  <si>
    <r>
      <rPr>
        <sz val="9"/>
        <color indexed="8"/>
        <rFont val="Arial"/>
        <family val="2"/>
      </rPr>
      <t>walk/bike</t>
    </r>
  </si>
  <si>
    <r>
      <rPr>
        <sz val="9"/>
        <color indexed="8"/>
        <rFont val="Arial"/>
        <family val="2"/>
      </rPr>
      <t>gasdollars</t>
    </r>
  </si>
  <si>
    <r>
      <rPr>
        <sz val="9"/>
        <color indexed="8"/>
        <rFont val="Arial"/>
        <family val="2"/>
      </rPr>
      <t>worktrip</t>
    </r>
  </si>
  <si>
    <t>0 &lt; Cars &lt; Adults</t>
  </si>
  <si>
    <t>Coef.</t>
  </si>
  <si>
    <t>0 Cars</t>
  </si>
  <si>
    <t>Non-work trips</t>
  </si>
  <si>
    <t>LN(Trips+1)</t>
  </si>
  <si>
    <t>car comp</t>
  </si>
  <si>
    <t>Work trips</t>
  </si>
  <si>
    <t>Non-work mode choice</t>
  </si>
  <si>
    <t>Car passenger</t>
  </si>
  <si>
    <t>Transit</t>
  </si>
  <si>
    <t>Walk/bike</t>
  </si>
  <si>
    <t>Work mode choice</t>
  </si>
  <si>
    <t>Children mode choice</t>
  </si>
  <si>
    <t>Constant</t>
  </si>
  <si>
    <t>work trip</t>
  </si>
  <si>
    <t>Dependent variable</t>
  </si>
  <si>
    <t>Car owner-ship</t>
  </si>
  <si>
    <t>Independent variable</t>
  </si>
  <si>
    <t>Urban developable space</t>
  </si>
  <si>
    <t>Suburban developable space</t>
  </si>
  <si>
    <t>Rural developable space</t>
  </si>
  <si>
    <t>Urban protected space</t>
  </si>
  <si>
    <t>Suburban protected space</t>
  </si>
  <si>
    <t>Rural  protected space</t>
  </si>
  <si>
    <t>Custom</t>
  </si>
  <si>
    <t>Base average household size</t>
  </si>
  <si>
    <t>Base leave nest-single rate/year</t>
  </si>
  <si>
    <t>Base leave nest-couple rate/year</t>
  </si>
  <si>
    <t>Base enter workforce rate/year</t>
  </si>
  <si>
    <t>Base leave workforce rate/year</t>
  </si>
  <si>
    <t>Base leave low income rate/year</t>
  </si>
  <si>
    <t>Base enter low income rate/yr</t>
  </si>
  <si>
    <t>Base enter high income rate/yr</t>
  </si>
  <si>
    <t>Base leave high income rate/year</t>
  </si>
  <si>
    <t>Base empty nest rate/year</t>
  </si>
  <si>
    <t>No children</t>
  </si>
  <si>
    <t>Children</t>
  </si>
  <si>
    <t xml:space="preserve">Fraction of transitions with children in resulting HH </t>
  </si>
  <si>
    <t>Leave nest-single</t>
  </si>
  <si>
    <t>Leave nest-couple</t>
  </si>
  <si>
    <t>Marry-has children</t>
  </si>
  <si>
    <t>Marry-has no children</t>
  </si>
  <si>
    <t>Divorce-has no children</t>
  </si>
  <si>
    <t>Divorce-has children</t>
  </si>
  <si>
    <t>Base = Own Car</t>
  </si>
  <si>
    <t>Share Car</t>
  </si>
  <si>
    <t>No Car</t>
  </si>
  <si>
    <t>T-stat.</t>
  </si>
  <si>
    <t>Intercept</t>
  </si>
  <si>
    <t>age0015</t>
  </si>
  <si>
    <t>age1629</t>
  </si>
  <si>
    <t>age4559</t>
  </si>
  <si>
    <t>age6074</t>
  </si>
  <si>
    <t>age75up</t>
  </si>
  <si>
    <t>couple</t>
  </si>
  <si>
    <t>kidsinhh</t>
  </si>
  <si>
    <t>singlewk</t>
  </si>
  <si>
    <t>ethnic</t>
  </si>
  <si>
    <t>outsideus</t>
  </si>
  <si>
    <t>und20yrs</t>
  </si>
  <si>
    <t>WORKER</t>
  </si>
  <si>
    <t>lowinc</t>
  </si>
  <si>
    <t>highinc</t>
  </si>
  <si>
    <t>urban</t>
  </si>
  <si>
    <t>rural</t>
  </si>
  <si>
    <t>atlanta</t>
  </si>
  <si>
    <t>boston</t>
  </si>
  <si>
    <t>detroit</t>
  </si>
  <si>
    <t>houston</t>
  </si>
  <si>
    <t>seattle</t>
  </si>
  <si>
    <t xml:space="preserve">worker </t>
  </si>
  <si>
    <t>t</t>
  </si>
  <si>
    <r>
      <rPr>
        <sz val="9"/>
        <color indexed="8"/>
        <rFont val="Arial"/>
        <family val="2"/>
      </rPr>
      <t>Subject worker status</t>
    </r>
  </si>
  <si>
    <r>
      <rPr>
        <sz val="9"/>
        <color indexed="8"/>
        <rFont val="Arial"/>
        <family val="2"/>
      </rPr>
      <t>car pax</t>
    </r>
  </si>
  <si>
    <t>Non-work mode choice- age 16+</t>
  </si>
  <si>
    <r>
      <rPr>
        <sz val="9"/>
        <color indexed="8"/>
        <rFont val="Arial"/>
        <family val="2"/>
      </rPr>
      <t>Sig.</t>
    </r>
  </si>
  <si>
    <r>
      <rPr>
        <sz val="9"/>
        <color indexed="8"/>
        <rFont val="Arial"/>
        <family val="2"/>
      </rPr>
      <t>WORKER</t>
    </r>
  </si>
  <si>
    <t>Driver log (distance + 1)</t>
  </si>
  <si>
    <r>
      <rPr>
        <sz val="9"/>
        <color indexed="8"/>
        <rFont val="Arial"/>
        <family val="2"/>
      </rPr>
      <t>Standardized Coefficients</t>
    </r>
  </si>
  <si>
    <r>
      <rPr>
        <sz val="9"/>
        <color indexed="8"/>
        <rFont val="Arial"/>
        <family val="2"/>
      </rPr>
      <t>Beta</t>
    </r>
  </si>
  <si>
    <t>Passenger log(distance + 1)</t>
  </si>
  <si>
    <t>Transit log (distance+1)</t>
  </si>
  <si>
    <t>Non-work mode choice- age &lt;16</t>
  </si>
  <si>
    <t>Work trip mode choice</t>
  </si>
  <si>
    <t xml:space="preserve">Non work trip generation </t>
  </si>
  <si>
    <t>Work trip generation</t>
  </si>
  <si>
    <t>Car driver trip distance</t>
  </si>
  <si>
    <t>LN(Dist-ance + 1)</t>
  </si>
  <si>
    <t>Car passenger trip distance</t>
  </si>
  <si>
    <t>Transit trip distance</t>
  </si>
  <si>
    <t>Household Type</t>
  </si>
  <si>
    <t>Single-No Children</t>
  </si>
  <si>
    <t>Couple-No Children</t>
  </si>
  <si>
    <t>Single &amp; Children</t>
  </si>
  <si>
    <t>Couple &amp; Children</t>
  </si>
  <si>
    <t>Base Average Residential Land Required Per Household (square feet)</t>
  </si>
  <si>
    <t>Employment Type</t>
  </si>
  <si>
    <t>Service</t>
  </si>
  <si>
    <t>Road Type</t>
  </si>
  <si>
    <t>Freeway</t>
  </si>
  <si>
    <t>Arterial</t>
  </si>
  <si>
    <t>lane miles</t>
  </si>
  <si>
    <t>route miles</t>
  </si>
  <si>
    <t>Transit Type</t>
  </si>
  <si>
    <t>Rail</t>
  </si>
  <si>
    <t>Bus</t>
  </si>
  <si>
    <t>others</t>
  </si>
  <si>
    <t>Demographic Marginals</t>
  </si>
  <si>
    <t>In Workforce</t>
  </si>
  <si>
    <t>Not in Workforce</t>
  </si>
  <si>
    <t>Based on 2000 Census</t>
  </si>
  <si>
    <t>Employment Attraction Functions</t>
  </si>
  <si>
    <t>Weights on Inputs</t>
  </si>
  <si>
    <t>Input:</t>
  </si>
  <si>
    <t>Road Mile Demand/ Supply Index</t>
  </si>
  <si>
    <t>Job Demand/ Supply Index</t>
  </si>
  <si>
    <t>Commercial Space Demand/ Supply Index</t>
  </si>
  <si>
    <t>Graphs of attractivness functions</t>
  </si>
  <si>
    <t>Value of index</t>
  </si>
  <si>
    <t>Function is multiple of current jobs as indicated employment level</t>
  </si>
  <si>
    <t>Residential Space Demand/ Supply Index</t>
  </si>
  <si>
    <t>Urban-Foreign</t>
  </si>
  <si>
    <t>Urban-Domestic</t>
  </si>
  <si>
    <t>Urban-Local</t>
  </si>
  <si>
    <t>Suburb-Foreign</t>
  </si>
  <si>
    <t>Suburb-Domestic</t>
  </si>
  <si>
    <t>Suburb-Local</t>
  </si>
  <si>
    <t>Rural-Foreign</t>
  </si>
  <si>
    <t>Rural-Domestic</t>
  </si>
  <si>
    <t>Rural-Local</t>
  </si>
  <si>
    <t>Fraction of Developable Land Allowed for Commercial, Residential (may add to more than 1.0)</t>
  </si>
  <si>
    <t>Residential</t>
  </si>
  <si>
    <t>Urban residential space</t>
  </si>
  <si>
    <t>Suburban residential space</t>
  </si>
  <si>
    <t>Rural residential space</t>
  </si>
  <si>
    <t>Migration Attraction Functions</t>
  </si>
  <si>
    <t>Base Migration Rates (fraction/year)</t>
  </si>
  <si>
    <t>Foreign Inmigration</t>
  </si>
  <si>
    <t>Foreign Outmigration</t>
  </si>
  <si>
    <t>Domestic Migration</t>
  </si>
  <si>
    <t>Regional Migration</t>
  </si>
  <si>
    <t>Development Type</t>
  </si>
  <si>
    <t>SOCIO-DEMOGRAPHIC SECTOR</t>
  </si>
  <si>
    <t>EMPLOYMENT SECTOR</t>
  </si>
  <si>
    <t>TRAVEL BEHAVIOR SUBSECTOR</t>
  </si>
  <si>
    <t>LAND USE SECTOR</t>
  </si>
  <si>
    <t>TRANSPORT SUPPLY SECTOR</t>
  </si>
  <si>
    <t>EXTERNAL INDICES FOR OTHER REGIONS OF THE US</t>
  </si>
  <si>
    <t>Base death rate / year</t>
  </si>
  <si>
    <t>Base birth rate / year</t>
  </si>
  <si>
    <t>·         If prompted by Excel, select “Enable Content” or “Enable Macros” so that the imbedded macros can run.</t>
  </si>
  <si>
    <t>·         The ‘Simulation reports’ page (and the ‘Simulation results’ page) are from simulation outputs, so are not relevant until the user performs a run.</t>
  </si>
  <si>
    <t>·    The resulting workbook will contain all of the input data and output results, plus the full macro functionality, so it can be used as the starting point for another scenario (which should be given a different name).</t>
  </si>
  <si>
    <t>Scenario: Tech Triumphs</t>
  </si>
  <si>
    <t>Scenario Variables</t>
  </si>
  <si>
    <t>children</t>
  </si>
  <si>
    <t xml:space="preserve">family </t>
  </si>
  <si>
    <t>density</t>
  </si>
  <si>
    <t>retirement</t>
  </si>
  <si>
    <t>health</t>
  </si>
  <si>
    <t>globalization</t>
  </si>
  <si>
    <t>leaving home</t>
  </si>
  <si>
    <t>infrastructure</t>
  </si>
  <si>
    <t>income</t>
  </si>
  <si>
    <t>energy</t>
  </si>
  <si>
    <t>total</t>
  </si>
  <si>
    <t>Summary</t>
  </si>
  <si>
    <t>neg</t>
  </si>
  <si>
    <t>pos</t>
  </si>
  <si>
    <t>More children as optimism about the future leads to increased household sizes</t>
  </si>
  <si>
    <t>People opting to delay marriage with “virtual” living</t>
  </si>
  <si>
    <t>More choices and flexibility in living arrangements</t>
  </si>
  <si>
    <t>Opportunities allow young people to move out</t>
  </si>
  <si>
    <t>Later retirement as people can work from home through technology</t>
  </si>
  <si>
    <t>High rate of economic growth</t>
  </si>
  <si>
    <t>Economic growth favors the educated</t>
  </si>
  <si>
    <t>neut</t>
  </si>
  <si>
    <t>Strong economy encourages infrastructure development</t>
  </si>
  <si>
    <t>Technology leads to greater transport efficiency</t>
  </si>
  <si>
    <t>Growing economy helps businesses and jobs</t>
  </si>
  <si>
    <t>Tech brings ability to work from anywhere, economic activity diffuses from population centers</t>
  </si>
  <si>
    <t>Desire to relocate to US falls as workers find jobs in their home countries</t>
  </si>
  <si>
    <t xml:space="preserve"> International migration increases with tech worker demand and open immigration policies</t>
  </si>
  <si>
    <t>Higher income leads to less car sharing</t>
  </si>
  <si>
    <t>Higher income, move to suburbs leads to more car ownership</t>
  </si>
  <si>
    <t>Inequality means that benefits of technology have little impact on lower income groups</t>
  </si>
  <si>
    <t>Inequality means that benefits of technology favor those with higher income</t>
  </si>
  <si>
    <t>Inequality means that benefits of technology are not equally shared</t>
  </si>
  <si>
    <t>Marriage Rate</t>
  </si>
  <si>
    <t>Divorce Rate</t>
  </si>
  <si>
    <t>Death Rate</t>
  </si>
  <si>
    <t>Birth Rate</t>
  </si>
  <si>
    <t>Empty Nest Rate</t>
  </si>
  <si>
    <t xml:space="preserve">Land Protection </t>
  </si>
  <si>
    <t>Gasoline Price</t>
  </si>
  <si>
    <t>Residential Space Per Household</t>
  </si>
  <si>
    <t>Scenario multipliers on base rates</t>
  </si>
  <si>
    <t>Non-Residential Space Per Job</t>
  </si>
  <si>
    <t>Job Creation Rate</t>
  </si>
  <si>
    <t>Job Loss Rate</t>
  </si>
  <si>
    <t>Job Move Rate</t>
  </si>
  <si>
    <t>Road Capacity Addition</t>
  </si>
  <si>
    <t>Transit Capacity Addition</t>
  </si>
  <si>
    <t>Foreign Inmigration Rate</t>
  </si>
  <si>
    <t>Foreign Outmigration Rate</t>
  </si>
  <si>
    <t>Domestic Migration Rate</t>
  </si>
  <si>
    <t>Intra-Regional Migration Rate</t>
  </si>
  <si>
    <t>Shared Car Fraction</t>
  </si>
  <si>
    <t>No Car Fraction</t>
  </si>
  <si>
    <t>Work Trip Rate</t>
  </si>
  <si>
    <t>Nonwork Trip Rate</t>
  </si>
  <si>
    <t>Transit Mode Share</t>
  </si>
  <si>
    <t>Car Passenger Mode Share</t>
  </si>
  <si>
    <t>Walk/Bike Mode Share</t>
  </si>
  <si>
    <t>Car Trip Distance</t>
  </si>
  <si>
    <t>Low Income- Effect On Marriage Rate</t>
  </si>
  <si>
    <t>High Income- Effect On Marriage Rate</t>
  </si>
  <si>
    <t>Low Income- Effect On Divorce Rate</t>
  </si>
  <si>
    <t>High Income- Effect On Divorce Rate</t>
  </si>
  <si>
    <t>Low Income- Effect On Death Rate</t>
  </si>
  <si>
    <t>High Income- Effect On Death Rate</t>
  </si>
  <si>
    <t>Low Income- Effect On Birth Rate</t>
  </si>
  <si>
    <t>High Income- Effect On Birth Rate</t>
  </si>
  <si>
    <t>Low Income- Effect On Empty Nest Rate</t>
  </si>
  <si>
    <t>High Income- Effect On Empty Nest Rate</t>
  </si>
  <si>
    <t>Low Income- Effect On  Space Per Household</t>
  </si>
  <si>
    <t>High Income- Effect On Space Per Household</t>
  </si>
  <si>
    <t>Scenario: Gentle Footprint</t>
  </si>
  <si>
    <t>Fewer children as environmental attitudes affect attitudes about household size</t>
  </si>
  <si>
    <t>Greater economic equality</t>
  </si>
  <si>
    <t>Greater value placed on undeveloped land</t>
  </si>
  <si>
    <t>Gasoline prices raised to encourage alternative energy sources</t>
  </si>
  <si>
    <t>Greater density</t>
  </si>
  <si>
    <t>Little investment in new road capacity</t>
  </si>
  <si>
    <t>Investment in public transit</t>
  </si>
  <si>
    <t>Car sharing is encouraged</t>
  </si>
  <si>
    <t>Better public transit systems available</t>
  </si>
  <si>
    <t>Transit generally more expensive</t>
  </si>
  <si>
    <t>Cars used more efficiently</t>
  </si>
  <si>
    <t>Higher density, improved bicycle lane network</t>
  </si>
  <si>
    <t>Less car usage</t>
  </si>
  <si>
    <t>Greater equality means that benefits of technology are more equally shared</t>
  </si>
  <si>
    <t>Job Creation Delay</t>
  </si>
  <si>
    <t>Job Loss Delay</t>
  </si>
  <si>
    <t>Job Move Delay</t>
  </si>
  <si>
    <t>Residential Space Development Delay</t>
  </si>
  <si>
    <t>Residential Space Release Delay</t>
  </si>
  <si>
    <t>Non-residential Space Development Delay</t>
  </si>
  <si>
    <t>Non-residential Space Release Delay</t>
  </si>
  <si>
    <t>Land Protection Process Delay</t>
  </si>
  <si>
    <t>Road Capacity Addition Delay</t>
  </si>
  <si>
    <t>Road Capacity Retirement Delay</t>
  </si>
  <si>
    <t>Transit Capacity Addition Delay</t>
  </si>
  <si>
    <t>Transit Capacity Retirement Delay</t>
  </si>
  <si>
    <t>Foreign Inmigration Delay</t>
  </si>
  <si>
    <t>Foreign Outmigration Delay</t>
  </si>
  <si>
    <t>Domestic Migration Delay</t>
  </si>
  <si>
    <t>External Non-Residential Space Demand/Supply Ratio</t>
  </si>
  <si>
    <t>External Job Demand/Supply Ratio</t>
  </si>
  <si>
    <t>External Residential Space Demand/Supply Ratio</t>
  </si>
  <si>
    <t>External Road Capacity Demand/Supply Ratio</t>
  </si>
  <si>
    <t>Scenario: Global Chaos</t>
  </si>
  <si>
    <t>Fewer children due to less optimism about economic conditions</t>
  </si>
  <si>
    <t>Economic chaos causes adult children to live with parents</t>
  </si>
  <si>
    <t>Positive effect due to late retirement outweighted by worse economy</t>
  </si>
  <si>
    <t>Poor economy affects lower earners</t>
  </si>
  <si>
    <t>High earners continue to prosper</t>
  </si>
  <si>
    <t>Less value put on undeveloped land</t>
  </si>
  <si>
    <t>Very little investment in new capacity</t>
  </si>
  <si>
    <t>Low economic growth</t>
  </si>
  <si>
    <t>Fewer job opportunities</t>
  </si>
  <si>
    <t>International migration decreases with border controls, deportations</t>
  </si>
  <si>
    <t>Less relocation activity as opportunities dwindle regardless of location</t>
  </si>
  <si>
    <t>More car sharing due to hard economy</t>
  </si>
  <si>
    <t>Less car ownership due to hard economy</t>
  </si>
  <si>
    <t>Less employment</t>
  </si>
  <si>
    <t>Inequality means that effects depend on income</t>
  </si>
  <si>
    <t>Workforce Change Delay</t>
  </si>
  <si>
    <t>Income Change Delay</t>
  </si>
  <si>
    <t>Regional Migration Delay</t>
  </si>
  <si>
    <t>Base Demogaphic Delays (years)</t>
  </si>
  <si>
    <t>Base Average Non-Residential Land Required Per Job (square feet)</t>
  </si>
  <si>
    <t>Non-residential</t>
  </si>
  <si>
    <t>Urban non-residential space</t>
  </si>
  <si>
    <t>Suburban non-residential space</t>
  </si>
  <si>
    <t>Rural non-residential space</t>
  </si>
  <si>
    <t>centerline miles</t>
  </si>
  <si>
    <t>Average lanes</t>
  </si>
  <si>
    <t>Leave Workforce Rate</t>
  </si>
  <si>
    <t>Enter Workforce Rate</t>
  </si>
  <si>
    <t>Scenario: Momentum</t>
  </si>
  <si>
    <t>Leave Lowest Income Group Rate</t>
  </si>
  <si>
    <t>Enter Lowest Income Group Rate</t>
  </si>
  <si>
    <t>Leave Highest Income Group Rate</t>
  </si>
  <si>
    <t>Enter Highest Income Group Rate</t>
  </si>
  <si>
    <t>Employment sector delays (years)</t>
  </si>
  <si>
    <t>Land use sector delays (years)</t>
  </si>
  <si>
    <t>Trans. supply delays (years)</t>
  </si>
  <si>
    <t>Simulation reports</t>
  </si>
  <si>
    <t>Demographic sector initial values</t>
  </si>
  <si>
    <t>Employment sector initial values</t>
  </si>
  <si>
    <t>Land use sector initial values</t>
  </si>
  <si>
    <t>Transportation supply sector initial values</t>
  </si>
  <si>
    <t>Demographic sector transition rates</t>
  </si>
  <si>
    <t>Travel behavior model parameters</t>
  </si>
  <si>
    <t>View &amp; Edit Model Data</t>
  </si>
  <si>
    <t>Scenario Settings</t>
  </si>
  <si>
    <t>A How-to Guide</t>
  </si>
  <si>
    <t>areatype</t>
  </si>
  <si>
    <t>workergr</t>
  </si>
  <si>
    <t>incomegr</t>
  </si>
  <si>
    <t>ethnicgr</t>
  </si>
  <si>
    <t>agegroup</t>
  </si>
  <si>
    <t>Age 0-15</t>
  </si>
  <si>
    <t>Age 16-29</t>
  </si>
  <si>
    <t>Age 30-44</t>
  </si>
  <si>
    <t>Age 45-59</t>
  </si>
  <si>
    <t>Age 60-74</t>
  </si>
  <si>
    <t>Age 75 up</t>
  </si>
  <si>
    <t>hhldtype</t>
  </si>
  <si>
    <t>Momentum</t>
  </si>
  <si>
    <t>Gentle Footprint</t>
  </si>
  <si>
    <t>Global Chaos</t>
  </si>
  <si>
    <t>Select</t>
  </si>
  <si>
    <t xml:space="preserve">      Scenario user inputs</t>
  </si>
  <si>
    <t>Tech Triumphs</t>
  </si>
  <si>
    <t>Net migration rates 2000</t>
  </si>
  <si>
    <r>
      <rPr>
        <sz val="9"/>
        <color indexed="8"/>
        <rFont val="Arial"/>
        <family val="2"/>
      </rPr>
      <t>Statistics=Mean</t>
    </r>
  </si>
  <si>
    <r>
      <rPr>
        <sz val="9"/>
        <color indexed="8"/>
        <rFont val="Arial"/>
        <family val="2"/>
      </rPr>
      <t>CBSA</t>
    </r>
  </si>
  <si>
    <r>
      <rPr>
        <sz val="9"/>
        <color indexed="8"/>
        <rFont val="Arial"/>
        <family val="2"/>
      </rPr>
      <t>Atlanta</t>
    </r>
  </si>
  <si>
    <r>
      <rPr>
        <sz val="9"/>
        <color indexed="8"/>
        <rFont val="Arial"/>
        <family val="2"/>
      </rPr>
      <t>Boston</t>
    </r>
  </si>
  <si>
    <r>
      <rPr>
        <sz val="9"/>
        <color indexed="8"/>
        <rFont val="Arial"/>
        <family val="2"/>
      </rPr>
      <t>Detroit</t>
    </r>
  </si>
  <si>
    <r>
      <rPr>
        <sz val="9"/>
        <color indexed="8"/>
        <rFont val="Arial"/>
        <family val="2"/>
      </rPr>
      <t>Houston</t>
    </r>
  </si>
  <si>
    <r>
      <rPr>
        <sz val="9"/>
        <color indexed="8"/>
        <rFont val="Arial"/>
        <family val="2"/>
      </rPr>
      <t>Seattle</t>
    </r>
  </si>
  <si>
    <r>
      <rPr>
        <sz val="9"/>
        <color indexed="8"/>
        <rFont val="Arial"/>
        <family val="2"/>
      </rPr>
      <t>dnet2000</t>
    </r>
  </si>
  <si>
    <r>
      <rPr>
        <sz val="9"/>
        <color indexed="8"/>
        <rFont val="Arial"/>
        <family val="2"/>
      </rPr>
      <t>inet2000</t>
    </r>
  </si>
  <si>
    <t>Net migration rates 2005</t>
  </si>
  <si>
    <r>
      <rPr>
        <sz val="9"/>
        <color indexed="8"/>
        <rFont val="Arial"/>
        <family val="2"/>
      </rPr>
      <t>dnet2005</t>
    </r>
  </si>
  <si>
    <r>
      <rPr>
        <sz val="9"/>
        <color indexed="8"/>
        <rFont val="Arial"/>
        <family val="2"/>
      </rPr>
      <t>inet2005</t>
    </r>
  </si>
  <si>
    <t>Immigration 2005</t>
  </si>
  <si>
    <t>Emigration 2005</t>
  </si>
  <si>
    <t>2010 migration rates</t>
  </si>
  <si>
    <r>
      <rPr>
        <sz val="9"/>
        <color indexed="8"/>
        <rFont val="Arial"/>
        <family val="2"/>
      </rPr>
      <t>dnet2010</t>
    </r>
  </si>
  <si>
    <r>
      <rPr>
        <sz val="9"/>
        <color indexed="8"/>
        <rFont val="Arial"/>
        <family val="2"/>
      </rPr>
      <t>inet2010</t>
    </r>
  </si>
  <si>
    <t>Immigration 2010</t>
  </si>
  <si>
    <t>Emigration 2010</t>
  </si>
  <si>
    <t>2010 simulated</t>
  </si>
  <si>
    <t>Difference</t>
  </si>
  <si>
    <t>WorkTrips</t>
  </si>
  <si>
    <t>NonWorkTrips</t>
  </si>
  <si>
    <t>Population</t>
  </si>
  <si>
    <t>Longer lifespan and better general health due to health care, good environment</t>
  </si>
  <si>
    <t>Longer lifespan and better general health due to healthier lifestyles, good environment</t>
  </si>
  <si>
    <t>Environmental tech businesses require workers, "back-to-basics" farming requires migrant labor</t>
  </si>
  <si>
    <t>Negative effect on health due to lack of health care, and poor environment</t>
  </si>
  <si>
    <t>Hispanic-Native</t>
  </si>
  <si>
    <t>Hispanic-&gt;20 yr</t>
  </si>
  <si>
    <t>Hispanic &lt;20 yr</t>
  </si>
  <si>
    <t>Black-Native</t>
  </si>
  <si>
    <t>Black-&gt;20 yr</t>
  </si>
  <si>
    <t>Black &lt;20 yr</t>
  </si>
  <si>
    <t>Asian-Native</t>
  </si>
  <si>
    <t>Asian-&gt;20 yr</t>
  </si>
  <si>
    <t>Asian &lt;20 yr</t>
  </si>
  <si>
    <t>Other-Native</t>
  </si>
  <si>
    <t>Other-&gt;20 yr</t>
  </si>
  <si>
    <t>Other &lt;20 yr</t>
  </si>
  <si>
    <r>
      <rPr>
        <sz val="9"/>
        <color indexed="8"/>
        <rFont val="Arial"/>
        <family val="2"/>
      </rPr>
      <t>Hispanic-Native</t>
    </r>
  </si>
  <si>
    <r>
      <rPr>
        <sz val="9"/>
        <color indexed="8"/>
        <rFont val="Arial"/>
        <family val="2"/>
      </rPr>
      <t>Hispanic-&gt;20 yr</t>
    </r>
  </si>
  <si>
    <r>
      <rPr>
        <sz val="9"/>
        <color indexed="8"/>
        <rFont val="Arial"/>
        <family val="2"/>
      </rPr>
      <t>Hispanic &lt;20 yr</t>
    </r>
  </si>
  <si>
    <r>
      <rPr>
        <sz val="9"/>
        <color indexed="8"/>
        <rFont val="Arial"/>
        <family val="2"/>
      </rPr>
      <t>Black-Native</t>
    </r>
  </si>
  <si>
    <r>
      <rPr>
        <sz val="9"/>
        <color indexed="8"/>
        <rFont val="Arial"/>
        <family val="2"/>
      </rPr>
      <t>Black-&gt;20 yr</t>
    </r>
  </si>
  <si>
    <r>
      <rPr>
        <sz val="9"/>
        <color indexed="8"/>
        <rFont val="Arial"/>
        <family val="2"/>
      </rPr>
      <t>Black &lt;20 yr</t>
    </r>
  </si>
  <si>
    <r>
      <rPr>
        <sz val="9"/>
        <color indexed="8"/>
        <rFont val="Arial"/>
        <family val="2"/>
      </rPr>
      <t>Asian-Native</t>
    </r>
  </si>
  <si>
    <r>
      <rPr>
        <sz val="9"/>
        <color indexed="8"/>
        <rFont val="Arial"/>
        <family val="2"/>
      </rPr>
      <t>Asian-&gt;20 yr</t>
    </r>
  </si>
  <si>
    <r>
      <rPr>
        <sz val="9"/>
        <color indexed="8"/>
        <rFont val="Arial"/>
        <family val="2"/>
      </rPr>
      <t>Asian &lt;20 yr</t>
    </r>
  </si>
  <si>
    <r>
      <rPr>
        <sz val="9"/>
        <color indexed="8"/>
        <rFont val="Arial"/>
        <family val="2"/>
      </rPr>
      <t>Other-Native</t>
    </r>
  </si>
  <si>
    <r>
      <rPr>
        <sz val="9"/>
        <color indexed="8"/>
        <rFont val="Arial"/>
        <family val="2"/>
      </rPr>
      <t>Other-&gt;20 yr</t>
    </r>
  </si>
  <si>
    <r>
      <rPr>
        <sz val="9"/>
        <color indexed="8"/>
        <rFont val="Arial"/>
        <family val="2"/>
      </rPr>
      <t>Other &lt;20 yr</t>
    </r>
  </si>
  <si>
    <r>
      <rPr>
        <sz val="9"/>
        <color indexed="8"/>
        <rFont val="Arial"/>
        <family val="2"/>
      </rPr>
      <t>others</t>
    </r>
  </si>
  <si>
    <t>Base Average Peak Hour Road Capacity  (vehicle per hour per lane)</t>
  </si>
  <si>
    <t>Travel peak hour factors (fraction peak hour/daily)</t>
  </si>
  <si>
    <t>All races, in US &lt;20 yrs</t>
  </si>
  <si>
    <t>All races, in US &gt;20 yrs</t>
  </si>
  <si>
    <t xml:space="preserve"> Hispanic, US native</t>
  </si>
  <si>
    <t xml:space="preserve"> Black, US native</t>
  </si>
  <si>
    <t xml:space="preserve"> Asian, US native</t>
  </si>
  <si>
    <t>White/Other, US native</t>
  </si>
  <si>
    <t>Fraction of trip distance on …</t>
  </si>
  <si>
    <t>Urban-Urban commute</t>
  </si>
  <si>
    <t>Suburban-Urban commute</t>
  </si>
  <si>
    <t>Rural-Urban commute</t>
  </si>
  <si>
    <t>Suburban-Suburban commute</t>
  </si>
  <si>
    <t>Rural-Suburban commute</t>
  </si>
  <si>
    <t>Rural-Rural commute</t>
  </si>
  <si>
    <t>Urban resident non-work</t>
  </si>
  <si>
    <t>Suburban resident non-work</t>
  </si>
  <si>
    <t>Rural resident non-work</t>
  </si>
  <si>
    <t>Demographic sector seed matrix</t>
  </si>
  <si>
    <t>Workers</t>
  </si>
  <si>
    <t>suburban</t>
  </si>
  <si>
    <t>Urban-Urban</t>
  </si>
  <si>
    <t>Urban-Suburban</t>
  </si>
  <si>
    <t>Suburban-Urban</t>
  </si>
  <si>
    <t>Rural-Urban</t>
  </si>
  <si>
    <t>Suburban-Suburban</t>
  </si>
  <si>
    <t>Rural-Suburban</t>
  </si>
  <si>
    <t>Urban-Rural</t>
  </si>
  <si>
    <t>Sub-Rural</t>
  </si>
  <si>
    <t>Rural-Rural</t>
  </si>
  <si>
    <t>Suburban-Rural</t>
  </si>
  <si>
    <t>Base commute patterns</t>
  </si>
  <si>
    <t>Urban-Suburban commute</t>
  </si>
  <si>
    <t>Suburban-Rural commute</t>
  </si>
  <si>
    <t>Urban-Rural commute</t>
  </si>
  <si>
    <t>CarDriverWorkTrips</t>
  </si>
  <si>
    <t>CarPassengerWorkTrips</t>
  </si>
  <si>
    <t>TransitWorkTrips</t>
  </si>
  <si>
    <t>WalkBikeWorkTrips</t>
  </si>
  <si>
    <t>CarDriverNonWorkTrips</t>
  </si>
  <si>
    <t>CarPassengerNonWorkTrips</t>
  </si>
  <si>
    <t>TransitNonWorkTrips</t>
  </si>
  <si>
    <t>WalkBikeNonWorkTrips</t>
  </si>
  <si>
    <t>View latest detailed simulation results</t>
  </si>
  <si>
    <t>View latest scenario reports</t>
  </si>
  <si>
    <t>Base Average Transit Capacity (passengers per hour per per route)</t>
  </si>
  <si>
    <t>Road Vehicle Capacity Per Lane</t>
  </si>
  <si>
    <t>Transit Passenger Capacity Per Route</t>
  </si>
  <si>
    <t>Actual Change 2000-2010</t>
  </si>
  <si>
    <t>Simul. Change 2000-2010</t>
  </si>
  <si>
    <t>Based on 2010 Census</t>
  </si>
  <si>
    <t>Calibration of Custom Results</t>
  </si>
  <si>
    <t>Difference from Actual</t>
  </si>
  <si>
    <t>Auto VMT/capita per year</t>
  </si>
  <si>
    <t>Age  0-15</t>
  </si>
  <si>
    <t>Age 75+up</t>
  </si>
  <si>
    <t>Lower Income</t>
  </si>
  <si>
    <t>Middle Income</t>
  </si>
  <si>
    <t>Upper Income</t>
  </si>
  <si>
    <t>Urban freeway</t>
  </si>
  <si>
    <t>Urban arterial</t>
  </si>
  <si>
    <t>Urban other</t>
  </si>
  <si>
    <t>Suburban freeway</t>
  </si>
  <si>
    <t>Suburban arterial</t>
  </si>
  <si>
    <t>Suburban other</t>
  </si>
  <si>
    <t>Rural freeway</t>
  </si>
  <si>
    <t>Rural artierial</t>
  </si>
  <si>
    <t>Rural      other</t>
  </si>
  <si>
    <t>The various ‘Initial values’ sheets contain the base year (2000) inputs for each sector, as well as some other sector-specific parameters that will not usually need to be changed, such as base transition rates.</t>
  </si>
  <si>
    <r>
      <rPr>
        <b/>
        <i/>
        <sz val="11"/>
        <color theme="1"/>
        <rFont val="Calibri"/>
        <family val="2"/>
        <scheme val="minor"/>
      </rPr>
      <t>Select a region</t>
    </r>
    <r>
      <rPr>
        <i/>
        <sz val="11"/>
        <color theme="1" tint="0.34998626667073579"/>
        <rFont val="Calibri"/>
        <family val="2"/>
        <scheme val="minor"/>
      </rPr>
      <t xml:space="preserve"> :</t>
    </r>
  </si>
  <si>
    <t xml:space="preserve">Select a scenario:  </t>
  </si>
  <si>
    <r>
      <rPr>
        <b/>
        <i/>
        <sz val="11"/>
        <color theme="1"/>
        <rFont val="Calibri"/>
        <family val="2"/>
        <scheme val="minor"/>
      </rPr>
      <t xml:space="preserve">secenario output file name </t>
    </r>
    <r>
      <rPr>
        <i/>
        <sz val="11"/>
        <color theme="1" tint="0.34998626667073579"/>
        <rFont val="Calibri"/>
        <family val="2"/>
        <scheme val="minor"/>
      </rPr>
      <t>:</t>
    </r>
  </si>
  <si>
    <t xml:space="preserve">·         Choose any of the View/Edit links in Part 1 above to go to the various data input sheets in the workbook. Each sheet contains a link to return to the main menu. Do not insert or delete or move any cells, as that may affect the performance of the program. </t>
  </si>
  <si>
    <t>·         The ‘Scenario user inputs’ sheets are the sheets that the user will usually change to run new scenarios, although it is possible to change other data items as well.</t>
  </si>
  <si>
    <t>·         The next box in Part 2 allows the user to select one of the 4 scenarios to run</t>
  </si>
  <si>
    <t xml:space="preserve">The third box in Part 2 askes for the name of the scenario.  This should be a unique name which will be used to rename the spreadsheet and store the new inputs and results when the simulation is run. </t>
  </si>
  <si>
    <t>·         To run the simulation, click on the 'Run Model' button.  That will (a) write out the various data sheets to files, (b) run the simulation program (.exe file), which reads in those inputs, performas the simulation and writes results to a .CSV file, and (c) copy the contents of the .CSV file to the 'Simulation results' sheet, which generates new tables and graphs on the 'Simulation reports' sheet.</t>
  </si>
  <si>
    <t xml:space="preserve">·    The workbook with any changes and simulation results will automatically be saved to 'scenario name'.xlsm, where 'scenario name' is the name you provided in Part 2.     </t>
  </si>
  <si>
    <t>2000 Marginals (square miles)</t>
  </si>
  <si>
    <t>2000 values (lane-miles)</t>
  </si>
  <si>
    <t>.         The top box in Part 2 allows the user to select one of the 5 pre-defined regions, or a "custom" region</t>
  </si>
  <si>
    <t>area</t>
  </si>
  <si>
    <t>total_emp</t>
  </si>
  <si>
    <t>other</t>
  </si>
  <si>
    <t>Work trip</t>
  </si>
  <si>
    <t>Age: 0-15</t>
  </si>
  <si>
    <t>Age: 16-29</t>
  </si>
  <si>
    <t>Total trip</t>
  </si>
  <si>
    <t>ARC2015_Momentum_Alternate_Fin</t>
  </si>
  <si>
    <t>ABM</t>
  </si>
  <si>
    <t>Global_Chaos</t>
  </si>
  <si>
    <t>Gentle_Footprint</t>
  </si>
  <si>
    <t>Tech_Triumphs</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</si>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</sst>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_(* \(#,##0.00\);_(* &quot;-&quot;??_);_(@_)"/>
    <numFmt numFmtId="164" formatCode="###0"/>
    <numFmt numFmtId="165" formatCode="0.0%"/>
    <numFmt numFmtId="166" formatCode="####.0000"/>
    <numFmt numFmtId="167" formatCode="0.000"/>
    <numFmt numFmtId="168" formatCode="####.000"/>
    <numFmt numFmtId="169" formatCode="0.0000"/>
    <numFmt numFmtId="170" formatCode="0.0"/>
    <numFmt numFmtId="171" formatCode="####.0"/>
    <numFmt numFmtId="172" formatCode="####.00"/>
    <numFmt numFmtId="173" formatCode="_(* #,##0_);_(* \(#,##0\);_(* &quot;-&quot;??_);_(@_)"/>
  </numFmts>
  <fonts count="5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
      <name val="Arial"/>
      <family val="2"/>
    </font>
    <font>
      <b/>
      <sz val="9"/>
      <color indexed="8"/>
      <name val="Arial Bold"/>
    </font>
    <font>
      <u/>
      <sz val="11"/>
      <color theme="10"/>
      <name val="Calibri"/>
      <family val="2"/>
      <scheme val="minor"/>
    </font>
    <font>
      <b/>
      <vertAlign val="superscript"/>
      <sz val="9"/>
      <color indexed="8"/>
      <name val="Arial Bold"/>
    </font>
    <font>
      <vertAlign val="superscript"/>
      <sz val="9"/>
      <color indexed="8"/>
      <name val="Arial"/>
      <family val="2"/>
    </font>
    <font>
      <sz val="9"/>
      <color indexed="8"/>
      <name val="Calibri"/>
      <family val="2"/>
      <scheme val="minor"/>
    </font>
    <font>
      <sz val="9"/>
      <color theme="1"/>
      <name val="Calibri"/>
      <family val="2"/>
      <scheme val="minor"/>
    </font>
    <font>
      <b/>
      <sz val="9"/>
      <color indexed="8"/>
      <name val="Arial"/>
      <family val="2"/>
    </font>
    <font>
      <b/>
      <i/>
      <sz val="11"/>
      <color theme="1"/>
      <name val="Calibri"/>
      <family val="2"/>
      <scheme val="minor"/>
    </font>
    <font>
      <b/>
      <sz val="16"/>
      <color theme="1"/>
      <name val="Calibri"/>
      <family val="2"/>
      <scheme val="minor"/>
    </font>
    <font>
      <sz val="11"/>
      <color rgb="FF00583C"/>
      <name val="Calibri"/>
      <family val="2"/>
      <scheme val="minor"/>
    </font>
    <font>
      <i/>
      <sz val="11"/>
      <color theme="1" tint="0.34998626667073579"/>
      <name val="Calibri"/>
      <family val="2"/>
      <scheme val="minor"/>
    </font>
    <font>
      <sz val="16"/>
      <color theme="0"/>
      <name val="Calibri"/>
      <family val="2"/>
      <scheme val="minor"/>
    </font>
    <font>
      <i/>
      <sz val="11"/>
      <color theme="0" tint="-0.499984740745262"/>
      <name val="Calibri"/>
      <family val="2"/>
      <scheme val="minor"/>
    </font>
    <font>
      <sz val="20"/>
      <color rgb="FF000000"/>
      <name val="Calibri"/>
      <family val="2"/>
    </font>
    <font>
      <b/>
      <sz val="14"/>
      <color rgb="FF00583C"/>
      <name val="Calibri"/>
      <family val="2"/>
      <scheme val="minor"/>
    </font>
    <font>
      <b/>
      <sz val="16"/>
      <color rgb="FF530802"/>
      <name val="Calibri"/>
      <family val="2"/>
      <scheme val="minor"/>
    </font>
    <font>
      <i/>
      <sz val="11"/>
      <color theme="1"/>
      <name val="Calibri"/>
      <family val="2"/>
      <scheme val="minor"/>
    </font>
    <font>
      <sz val="9"/>
      <color theme="0"/>
      <name val="Arial"/>
      <family val="2"/>
    </font>
    <font>
      <b/>
      <sz val="9"/>
      <color theme="0"/>
      <name val="Arial Bold"/>
    </font>
    <font>
      <sz val="14"/>
      <color theme="0"/>
      <name val="Calibri"/>
      <family val="2"/>
      <scheme val="minor"/>
    </font>
    <font>
      <b/>
      <i/>
      <sz val="16"/>
      <color theme="1"/>
      <name val="Calibri"/>
      <family val="2"/>
      <scheme val="minor"/>
    </font>
    <font>
      <sz val="11"/>
      <color theme="0" tint="-0.499984740745262"/>
      <name val="Calibri"/>
      <family val="2"/>
      <scheme val="minor"/>
    </font>
    <font>
      <b/>
      <sz val="12"/>
      <color rgb="FF530802"/>
      <name val="Calibri"/>
      <family val="2"/>
      <scheme val="minor"/>
    </font>
    <font>
      <i/>
      <sz val="10"/>
      <color theme="1" tint="0.499984740745262"/>
      <name val="Arial"/>
      <family val="2"/>
    </font>
    <font>
      <b/>
      <sz val="11"/>
      <color rgb="FFFF0000"/>
      <name val="Calibri"/>
      <family val="2"/>
      <scheme val="minor"/>
    </font>
    <font>
      <sz val="9"/>
      <color rgb="FFFF0000"/>
      <name val="Arial"/>
      <family val="2"/>
    </font>
    <font>
      <sz val="9"/>
      <color rgb="FFFF0000"/>
      <name val="Calibri"/>
      <family val="2"/>
      <scheme val="minor"/>
    </font>
    <font>
      <sz val="9"/>
      <name val="Arial"/>
      <family val="2"/>
    </font>
    <font>
      <sz val="9"/>
      <color theme="1"/>
      <name val="Arial"/>
      <family val="2"/>
    </font>
    <font>
      <sz val="11"/>
      <color rgb="FF00B050"/>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583C"/>
        <bgColor indexed="64"/>
      </patternFill>
    </fill>
    <fill>
      <patternFill patternType="solid">
        <fgColor rgb="FFFFC000"/>
        <bgColor indexed="64"/>
      </patternFill>
    </fill>
    <fill>
      <patternFill patternType="solid">
        <fgColor theme="1" tint="0.249977111117893"/>
        <bgColor indexed="64"/>
      </patternFill>
    </fill>
    <fill>
      <patternFill patternType="solid">
        <fgColor rgb="FFC00000"/>
        <bgColor indexed="64"/>
      </patternFill>
    </fill>
    <fill>
      <patternFill patternType="solid">
        <fgColor rgb="FF458B7C"/>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9" tint="0.59999389629810485"/>
        <bgColor indexed="64"/>
      </patternFill>
    </fill>
  </fills>
  <borders count="9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medium">
        <color indexed="8"/>
      </left>
      <right style="thin">
        <color indexed="8"/>
      </right>
      <top/>
      <bottom/>
      <diagonal/>
    </border>
    <border>
      <left/>
      <right style="medium">
        <color indexed="8"/>
      </right>
      <top/>
      <bottom/>
      <diagonal/>
    </border>
    <border>
      <left style="medium">
        <color indexed="8"/>
      </left>
      <right/>
      <top/>
      <bottom/>
      <diagonal/>
    </border>
    <border>
      <left style="thin">
        <color indexed="8"/>
      </left>
      <right style="thin">
        <color indexed="8"/>
      </right>
      <top style="thin">
        <color indexed="8"/>
      </top>
      <bottom/>
      <diagonal/>
    </border>
    <border>
      <left style="medium">
        <color indexed="8"/>
      </left>
      <right style="thin">
        <color indexed="8"/>
      </right>
      <top style="thin">
        <color indexed="8"/>
      </top>
      <bottom/>
      <diagonal/>
    </border>
    <border>
      <left/>
      <right style="medium">
        <color indexed="8"/>
      </right>
      <top style="thin">
        <color indexed="8"/>
      </top>
      <bottom/>
      <diagonal/>
    </border>
    <border>
      <left/>
      <right/>
      <top style="thin">
        <color indexed="8"/>
      </top>
      <bottom style="medium">
        <color indexed="8"/>
      </bottom>
      <diagonal/>
    </border>
    <border>
      <left/>
      <right/>
      <top style="thin">
        <color indexed="8"/>
      </top>
      <bottom style="thin">
        <color indexed="8"/>
      </bottom>
      <diagonal/>
    </border>
    <border>
      <left style="medium">
        <color indexed="8"/>
      </left>
      <right style="thin">
        <color indexed="8"/>
      </right>
      <top style="medium">
        <color indexed="8"/>
      </top>
      <bottom/>
      <diagonal/>
    </border>
    <border>
      <left style="medium">
        <color indexed="8"/>
      </left>
      <right/>
      <top style="thin">
        <color indexed="8"/>
      </top>
      <bottom style="medium">
        <color indexed="8"/>
      </bottom>
      <diagonal/>
    </border>
    <border>
      <left style="medium">
        <color indexed="8"/>
      </left>
      <right/>
      <top style="thin">
        <color indexed="8"/>
      </top>
      <bottom style="thin">
        <color indexed="8"/>
      </bottom>
      <diagonal/>
    </border>
    <border>
      <left style="thin">
        <color indexed="8"/>
      </left>
      <right style="thin">
        <color indexed="8"/>
      </right>
      <top style="medium">
        <color indexed="8"/>
      </top>
      <bottom/>
      <diagonal/>
    </border>
    <border>
      <left/>
      <right style="medium">
        <color indexed="8"/>
      </right>
      <top style="medium">
        <color indexed="8"/>
      </top>
      <bottom/>
      <diagonal/>
    </border>
    <border>
      <left/>
      <right/>
      <top style="medium">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8"/>
      </left>
      <right style="thin">
        <color indexed="8"/>
      </right>
      <top style="thin">
        <color indexed="8"/>
      </top>
      <bottom style="medium">
        <color indexed="8"/>
      </bottom>
      <diagonal/>
    </border>
    <border>
      <left/>
      <right style="medium">
        <color indexed="8"/>
      </right>
      <top/>
      <bottom style="medium">
        <color indexed="8"/>
      </bottom>
      <diagonal/>
    </border>
    <border>
      <left/>
      <right/>
      <top/>
      <bottom style="medium">
        <color indexed="8"/>
      </bottom>
      <diagonal/>
    </border>
    <border>
      <left style="medium">
        <color indexed="8"/>
      </left>
      <right/>
      <top/>
      <bottom style="medium">
        <color indexed="8"/>
      </bottom>
      <diagonal/>
    </border>
    <border>
      <left/>
      <right style="thin">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right style="medium">
        <color indexed="8"/>
      </right>
      <top style="medium">
        <color indexed="8"/>
      </top>
      <bottom style="medium">
        <color indexed="8"/>
      </bottom>
      <diagonal/>
    </border>
    <border>
      <left/>
      <right/>
      <top style="medium">
        <color indexed="8"/>
      </top>
      <bottom style="medium">
        <color indexed="8"/>
      </bottom>
      <diagonal/>
    </border>
    <border>
      <left style="medium">
        <color indexed="8"/>
      </left>
      <right/>
      <top style="medium">
        <color indexed="8"/>
      </top>
      <bottom style="medium">
        <color indexed="8"/>
      </bottom>
      <diagonal/>
    </border>
    <border>
      <left style="thin">
        <color indexed="8"/>
      </left>
      <right style="thin">
        <color indexed="8"/>
      </right>
      <top/>
      <bottom style="medium">
        <color indexed="8"/>
      </bottom>
      <diagonal/>
    </border>
    <border>
      <left style="medium">
        <color indexed="8"/>
      </left>
      <right style="thin">
        <color indexed="8"/>
      </right>
      <top/>
      <bottom style="medium">
        <color indexed="8"/>
      </bottom>
      <diagonal/>
    </border>
    <border>
      <left style="medium">
        <color indexed="8"/>
      </left>
      <right style="medium">
        <color indexed="8"/>
      </right>
      <top/>
      <bottom style="medium">
        <color indexed="8"/>
      </bottom>
      <diagonal/>
    </border>
    <border>
      <left style="thin">
        <color indexed="8"/>
      </left>
      <right style="medium">
        <color indexed="8"/>
      </right>
      <top/>
      <bottom/>
      <diagonal/>
    </border>
    <border>
      <left style="thin">
        <color indexed="8"/>
      </left>
      <right style="medium">
        <color indexed="8"/>
      </right>
      <top style="medium">
        <color indexed="8"/>
      </top>
      <bottom/>
      <diagonal/>
    </border>
    <border>
      <left style="medium">
        <color indexed="8"/>
      </left>
      <right/>
      <top style="medium">
        <color indexed="8"/>
      </top>
      <bottom/>
      <diagonal/>
    </border>
    <border>
      <left style="thin">
        <color indexed="8"/>
      </left>
      <right style="medium">
        <color indexed="8"/>
      </right>
      <top style="medium">
        <color indexed="8"/>
      </top>
      <bottom style="medium">
        <color indexed="8"/>
      </bottom>
      <diagonal/>
    </border>
    <border>
      <left style="thin">
        <color indexed="8"/>
      </left>
      <right style="medium">
        <color indexed="8"/>
      </right>
      <top style="thin">
        <color indexed="8"/>
      </top>
      <bottom/>
      <diagonal/>
    </border>
    <border>
      <left style="thin">
        <color indexed="8"/>
      </left>
      <right style="thin">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8"/>
      </left>
      <right style="medium">
        <color indexed="8"/>
      </right>
      <top style="medium">
        <color indexed="8"/>
      </top>
      <bottom style="medium">
        <color indexed="8"/>
      </bottom>
      <diagonal/>
    </border>
    <border>
      <left style="thin">
        <color indexed="8"/>
      </left>
      <right style="medium">
        <color indexed="8"/>
      </right>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top/>
      <bottom style="thin">
        <color indexed="8"/>
      </bottom>
      <diagonal/>
    </border>
    <border>
      <left/>
      <right style="medium">
        <color indexed="8"/>
      </right>
      <top/>
      <bottom style="thin">
        <color indexed="8"/>
      </bottom>
      <diagonal/>
    </border>
    <border>
      <left style="medium">
        <color indexed="8"/>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8"/>
      </bottom>
      <diagonal/>
    </border>
    <border>
      <left/>
      <right/>
      <top style="medium">
        <color indexed="8"/>
      </top>
      <bottom/>
      <diagonal/>
    </border>
    <border>
      <left style="medium">
        <color indexed="8"/>
      </left>
      <right style="medium">
        <color indexed="8"/>
      </right>
      <top style="medium">
        <color indexed="8"/>
      </top>
      <bottom/>
      <diagonal/>
    </border>
    <border>
      <left/>
      <right/>
      <top style="thin">
        <color indexed="8"/>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right style="thin">
        <color indexed="8"/>
      </right>
      <top style="medium">
        <color indexed="8"/>
      </top>
      <bottom/>
      <diagonal/>
    </border>
    <border>
      <left/>
      <right style="thin">
        <color indexed="8"/>
      </right>
      <top/>
      <bottom/>
      <diagonal/>
    </border>
    <border>
      <left/>
      <right style="thin">
        <color indexed="8"/>
      </right>
      <top style="thin">
        <color indexed="8"/>
      </top>
      <bottom/>
      <diagonal/>
    </border>
    <border>
      <left style="medium">
        <color indexed="8"/>
      </left>
      <right/>
      <top style="thin">
        <color indexed="8"/>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8"/>
      </right>
      <top/>
      <bottom style="thin">
        <color indexed="8"/>
      </bottom>
      <diagonal/>
    </border>
    <border>
      <left/>
      <right style="thin">
        <color indexed="8"/>
      </right>
      <top/>
      <bottom style="medium">
        <color indexed="8"/>
      </bottom>
      <diagonal/>
    </border>
    <border>
      <left style="thin">
        <color indexed="8"/>
      </left>
      <right style="thin">
        <color indexed="8"/>
      </right>
      <top style="medium">
        <color indexed="8"/>
      </top>
      <bottom style="thin">
        <color indexed="8"/>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ck">
        <color rgb="FF00583C"/>
      </left>
      <right style="thick">
        <color rgb="FF00583C"/>
      </right>
      <top style="thick">
        <color rgb="FF00583C"/>
      </top>
      <bottom style="thick">
        <color rgb="FF00583C"/>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8"/>
      </left>
      <right/>
      <top style="thin">
        <color indexed="8"/>
      </top>
      <bottom/>
      <diagonal/>
    </border>
    <border>
      <left style="thin">
        <color indexed="8"/>
      </left>
      <right/>
      <top/>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18" fillId="0" borderId="0"/>
    <xf numFmtId="0" fontId="18" fillId="0" borderId="0"/>
    <xf numFmtId="0" fontId="21" fillId="0" borderId="0" applyNumberFormat="0" applyFill="0" applyBorder="0" applyAlignment="0" applyProtection="0"/>
    <xf numFmtId="0" fontId="18" fillId="0" borderId="0"/>
    <xf numFmtId="0" fontId="18" fillId="0" borderId="0"/>
    <xf numFmtId="0" fontId="18" fillId="0" borderId="0"/>
    <xf numFmtId="0" fontId="18" fillId="0" borderId="0"/>
    <xf numFmtId="0" fontId="18" fillId="0" borderId="0"/>
    <xf numFmtId="43" fontId="1" fillId="0" borderId="0" applyFont="0" applyFill="0" applyBorder="0" applyAlignment="0" applyProtection="0"/>
  </cellStyleXfs>
  <cellXfs count="614">
    <xf numFmtId="0" fontId="0" fillId="0" borderId="0" xfId="0"/>
    <xf numFmtId="0" fontId="0" fillId="0" borderId="0" xfId="0" applyAlignment="1">
      <alignment horizontal="center"/>
    </xf>
    <xf numFmtId="0" fontId="0" fillId="0" borderId="0" xfId="0" applyFill="1" applyAlignment="1">
      <alignment horizontal="center"/>
    </xf>
    <xf numFmtId="165" fontId="0" fillId="0" borderId="0" xfId="42" applyNumberFormat="1" applyFont="1"/>
    <xf numFmtId="164" fontId="19" fillId="0" borderId="37" xfId="43" applyNumberFormat="1" applyFont="1" applyBorder="1" applyAlignment="1">
      <alignment horizontal="right" vertical="top"/>
    </xf>
    <xf numFmtId="164" fontId="19" fillId="0" borderId="38" xfId="43" applyNumberFormat="1" applyFont="1" applyBorder="1" applyAlignment="1">
      <alignment horizontal="right" vertical="top"/>
    </xf>
    <xf numFmtId="164" fontId="19" fillId="0" borderId="11" xfId="43" applyNumberFormat="1" applyFont="1" applyBorder="1" applyAlignment="1">
      <alignment horizontal="right" vertical="top"/>
    </xf>
    <xf numFmtId="164" fontId="19" fillId="0" borderId="12" xfId="43" applyNumberFormat="1" applyFont="1" applyBorder="1" applyAlignment="1">
      <alignment horizontal="right" vertical="top"/>
    </xf>
    <xf numFmtId="0" fontId="19" fillId="0" borderId="13" xfId="43" applyFont="1" applyBorder="1" applyAlignment="1">
      <alignment horizontal="left" vertical="top" wrapText="1"/>
    </xf>
    <xf numFmtId="164" fontId="19" fillId="0" borderId="23" xfId="43" applyNumberFormat="1" applyFont="1" applyBorder="1" applyAlignment="1">
      <alignment horizontal="right" vertical="top"/>
    </xf>
    <xf numFmtId="164" fontId="19" fillId="0" borderId="20" xfId="43" applyNumberFormat="1" applyFont="1" applyBorder="1" applyAlignment="1">
      <alignment horizontal="right" vertical="top"/>
    </xf>
    <xf numFmtId="0" fontId="19" fillId="0" borderId="24" xfId="43" applyFont="1" applyBorder="1" applyAlignment="1">
      <alignment horizontal="left" vertical="top" wrapText="1"/>
    </xf>
    <xf numFmtId="0" fontId="20" fillId="0" borderId="31" xfId="43" applyFont="1" applyBorder="1" applyAlignment="1">
      <alignment horizontal="center" vertical="center"/>
    </xf>
    <xf numFmtId="0" fontId="20" fillId="0" borderId="24" xfId="43" applyFont="1" applyBorder="1" applyAlignment="1">
      <alignment horizontal="center" vertical="center"/>
    </xf>
    <xf numFmtId="0" fontId="20" fillId="0" borderId="42" xfId="43" applyFont="1" applyBorder="1" applyAlignment="1">
      <alignment horizontal="center" vertical="center"/>
    </xf>
    <xf numFmtId="0" fontId="19" fillId="0" borderId="13" xfId="44" applyFont="1" applyBorder="1" applyAlignment="1">
      <alignment horizontal="left" vertical="top" wrapText="1"/>
    </xf>
    <xf numFmtId="0" fontId="19" fillId="0" borderId="17" xfId="44" applyFont="1" applyBorder="1" applyAlignment="1">
      <alignment horizontal="left" vertical="top" wrapText="1"/>
    </xf>
    <xf numFmtId="0" fontId="0" fillId="0" borderId="0" xfId="0" applyAlignment="1">
      <alignment wrapText="1"/>
    </xf>
    <xf numFmtId="0" fontId="16" fillId="0" borderId="0" xfId="0" applyFont="1"/>
    <xf numFmtId="0" fontId="21" fillId="0" borderId="0" xfId="45" quotePrefix="1"/>
    <xf numFmtId="1" fontId="0" fillId="0" borderId="0" xfId="0" applyNumberFormat="1"/>
    <xf numFmtId="167" fontId="0" fillId="0" borderId="0" xfId="0" applyNumberFormat="1"/>
    <xf numFmtId="0" fontId="0" fillId="0" borderId="0" xfId="0"/>
    <xf numFmtId="169" fontId="0" fillId="0" borderId="0" xfId="0" applyNumberFormat="1"/>
    <xf numFmtId="164" fontId="19" fillId="0" borderId="41" xfId="43" applyNumberFormat="1" applyFont="1" applyBorder="1" applyAlignment="1">
      <alignment horizontal="right" vertical="top"/>
    </xf>
    <xf numFmtId="164" fontId="19" fillId="0" borderId="40" xfId="43" applyNumberFormat="1" applyFont="1" applyBorder="1" applyAlignment="1">
      <alignment horizontal="right" vertical="top"/>
    </xf>
    <xf numFmtId="164" fontId="19" fillId="0" borderId="52" xfId="43" applyNumberFormat="1" applyFont="1" applyBorder="1" applyAlignment="1">
      <alignment horizontal="right" vertical="top"/>
    </xf>
    <xf numFmtId="0" fontId="18" fillId="0" borderId="0" xfId="43"/>
    <xf numFmtId="0" fontId="19" fillId="0" borderId="24" xfId="47" applyFont="1" applyBorder="1" applyAlignment="1">
      <alignment horizontal="left" vertical="top" wrapText="1"/>
    </xf>
    <xf numFmtId="0" fontId="19" fillId="0" borderId="13" xfId="47" applyFont="1" applyBorder="1" applyAlignment="1">
      <alignment horizontal="left" vertical="top" wrapText="1"/>
    </xf>
    <xf numFmtId="0" fontId="19" fillId="0" borderId="17" xfId="47" applyFont="1" applyBorder="1" applyAlignment="1">
      <alignment horizontal="left" vertical="top" wrapText="1"/>
    </xf>
    <xf numFmtId="0" fontId="0" fillId="0" borderId="67" xfId="0" applyBorder="1" applyAlignment="1">
      <alignment horizontal="center"/>
    </xf>
    <xf numFmtId="0" fontId="0" fillId="0" borderId="65" xfId="0" applyBorder="1" applyAlignment="1">
      <alignment wrapText="1"/>
    </xf>
    <xf numFmtId="0" fontId="0" fillId="0" borderId="63" xfId="0" applyBorder="1" applyAlignment="1">
      <alignment horizontal="center"/>
    </xf>
    <xf numFmtId="0" fontId="0" fillId="0" borderId="68" xfId="0" applyFill="1" applyBorder="1" applyAlignment="1">
      <alignment wrapText="1"/>
    </xf>
    <xf numFmtId="0" fontId="0" fillId="0" borderId="64" xfId="0" applyBorder="1" applyAlignment="1">
      <alignment wrapText="1"/>
    </xf>
    <xf numFmtId="0" fontId="0" fillId="0" borderId="64" xfId="0" applyBorder="1"/>
    <xf numFmtId="0" fontId="0" fillId="0" borderId="68" xfId="0" applyBorder="1" applyAlignment="1">
      <alignment wrapText="1"/>
    </xf>
    <xf numFmtId="0" fontId="0" fillId="0" borderId="65" xfId="0" applyFill="1" applyBorder="1" applyAlignment="1">
      <alignment wrapText="1"/>
    </xf>
    <xf numFmtId="0" fontId="0" fillId="0" borderId="0" xfId="0" applyBorder="1" applyAlignment="1">
      <alignment wrapText="1"/>
    </xf>
    <xf numFmtId="0" fontId="19" fillId="0" borderId="10" xfId="48" applyFont="1" applyBorder="1" applyAlignment="1">
      <alignment horizontal="left" vertical="top" wrapText="1"/>
    </xf>
    <xf numFmtId="0" fontId="19" fillId="0" borderId="63" xfId="48" applyFont="1" applyBorder="1" applyAlignment="1">
      <alignment horizontal="left" vertical="top" wrapText="1"/>
    </xf>
    <xf numFmtId="0" fontId="19" fillId="0" borderId="64" xfId="48" applyFont="1" applyBorder="1" applyAlignment="1">
      <alignment horizontal="left" vertical="top" wrapText="1"/>
    </xf>
    <xf numFmtId="0" fontId="19" fillId="0" borderId="65" xfId="48" applyFont="1" applyBorder="1" applyAlignment="1">
      <alignment horizontal="left" vertical="top" wrapText="1"/>
    </xf>
    <xf numFmtId="0" fontId="19" fillId="0" borderId="63" xfId="48" applyFont="1" applyFill="1" applyBorder="1" applyAlignment="1">
      <alignment horizontal="left" vertical="top" wrapText="1"/>
    </xf>
    <xf numFmtId="0" fontId="19" fillId="0" borderId="65" xfId="48" applyFont="1" applyFill="1" applyBorder="1" applyAlignment="1">
      <alignment horizontal="left" vertical="top" wrapText="1"/>
    </xf>
    <xf numFmtId="0" fontId="0" fillId="0" borderId="10" xfId="0" applyBorder="1" applyAlignment="1">
      <alignment wrapText="1"/>
    </xf>
    <xf numFmtId="0" fontId="20" fillId="0" borderId="29" xfId="43" applyFont="1" applyBorder="1" applyAlignment="1">
      <alignment horizontal="center" vertical="center"/>
    </xf>
    <xf numFmtId="0" fontId="0" fillId="0" borderId="74" xfId="0" applyBorder="1"/>
    <xf numFmtId="0" fontId="0" fillId="0" borderId="75" xfId="0" applyBorder="1"/>
    <xf numFmtId="0" fontId="0" fillId="0" borderId="76" xfId="0" applyBorder="1"/>
    <xf numFmtId="0" fontId="0" fillId="0" borderId="77" xfId="0" applyBorder="1"/>
    <xf numFmtId="0" fontId="0" fillId="0" borderId="78" xfId="0" applyBorder="1"/>
    <xf numFmtId="0" fontId="0" fillId="0" borderId="79" xfId="0" applyBorder="1"/>
    <xf numFmtId="0" fontId="0" fillId="0" borderId="10" xfId="0" applyBorder="1"/>
    <xf numFmtId="0" fontId="19" fillId="0" borderId="65" xfId="44" applyFont="1" applyFill="1" applyBorder="1" applyAlignment="1">
      <alignment horizontal="left" vertical="top" wrapText="1"/>
    </xf>
    <xf numFmtId="0" fontId="0" fillId="0" borderId="65" xfId="0" applyBorder="1"/>
    <xf numFmtId="0" fontId="0" fillId="0" borderId="80" xfId="0" applyBorder="1"/>
    <xf numFmtId="0" fontId="0" fillId="0" borderId="66" xfId="0" applyBorder="1"/>
    <xf numFmtId="0" fontId="18" fillId="0" borderId="0" xfId="49"/>
    <xf numFmtId="0" fontId="19" fillId="0" borderId="0" xfId="48" applyFont="1" applyFill="1" applyBorder="1" applyAlignment="1">
      <alignment horizontal="left" vertical="top" wrapText="1"/>
    </xf>
    <xf numFmtId="0" fontId="0" fillId="0" borderId="0" xfId="0" applyBorder="1"/>
    <xf numFmtId="0" fontId="24" fillId="0" borderId="10" xfId="49" applyFont="1" applyBorder="1" applyAlignment="1">
      <alignment horizontal="left" vertical="top" wrapText="1"/>
    </xf>
    <xf numFmtId="168" fontId="24" fillId="0" borderId="10" xfId="49" applyNumberFormat="1" applyFont="1" applyBorder="1" applyAlignment="1">
      <alignment horizontal="center" vertical="top"/>
    </xf>
    <xf numFmtId="170" fontId="25" fillId="0" borderId="10" xfId="0" applyNumberFormat="1" applyFont="1" applyBorder="1" applyAlignment="1">
      <alignment horizontal="center"/>
    </xf>
    <xf numFmtId="168" fontId="19" fillId="0" borderId="0" xfId="49" applyNumberFormat="1" applyFont="1" applyBorder="1" applyAlignment="1">
      <alignment horizontal="right" vertical="top"/>
    </xf>
    <xf numFmtId="168" fontId="19" fillId="0" borderId="10" xfId="49" applyNumberFormat="1" applyFont="1" applyBorder="1" applyAlignment="1">
      <alignment horizontal="center" vertical="top"/>
    </xf>
    <xf numFmtId="171" fontId="19" fillId="0" borderId="10" xfId="49" applyNumberFormat="1" applyFont="1" applyBorder="1" applyAlignment="1">
      <alignment horizontal="center" vertical="top"/>
    </xf>
    <xf numFmtId="0" fontId="19" fillId="0" borderId="60" xfId="49" applyFont="1" applyBorder="1" applyAlignment="1">
      <alignment horizontal="left" vertical="top" wrapText="1"/>
    </xf>
    <xf numFmtId="168" fontId="19" fillId="0" borderId="70" xfId="49" applyNumberFormat="1" applyFont="1" applyBorder="1" applyAlignment="1">
      <alignment horizontal="center" vertical="top"/>
    </xf>
    <xf numFmtId="0" fontId="19" fillId="0" borderId="0" xfId="49" applyFont="1" applyBorder="1" applyAlignment="1">
      <alignment horizontal="left" vertical="top" wrapText="1"/>
    </xf>
    <xf numFmtId="168" fontId="19" fillId="0" borderId="71" xfId="49" applyNumberFormat="1" applyFont="1" applyBorder="1" applyAlignment="1">
      <alignment horizontal="center" vertical="top"/>
    </xf>
    <xf numFmtId="0" fontId="19" fillId="0" borderId="59" xfId="49" applyFont="1" applyBorder="1" applyAlignment="1">
      <alignment horizontal="left" vertical="top" wrapText="1"/>
    </xf>
    <xf numFmtId="168" fontId="19" fillId="0" borderId="81" xfId="49" applyNumberFormat="1" applyFont="1" applyBorder="1" applyAlignment="1">
      <alignment horizontal="center" vertical="top"/>
    </xf>
    <xf numFmtId="0" fontId="19" fillId="0" borderId="62" xfId="49" applyFont="1" applyBorder="1" applyAlignment="1">
      <alignment horizontal="left" vertical="top" wrapText="1"/>
    </xf>
    <xf numFmtId="168" fontId="19" fillId="0" borderId="72" xfId="49" applyNumberFormat="1" applyFont="1" applyBorder="1" applyAlignment="1">
      <alignment horizontal="center" vertical="top"/>
    </xf>
    <xf numFmtId="0" fontId="19" fillId="0" borderId="30" xfId="49" applyFont="1" applyBorder="1" applyAlignment="1">
      <alignment horizontal="left" vertical="top" wrapText="1"/>
    </xf>
    <xf numFmtId="168" fontId="19" fillId="0" borderId="82" xfId="49" applyNumberFormat="1" applyFont="1" applyBorder="1" applyAlignment="1">
      <alignment horizontal="center" vertical="top"/>
    </xf>
    <xf numFmtId="0" fontId="19" fillId="0" borderId="83" xfId="49" applyFont="1" applyBorder="1" applyAlignment="1">
      <alignment horizontal="center" wrapText="1"/>
    </xf>
    <xf numFmtId="0" fontId="19" fillId="0" borderId="16" xfId="49" applyFont="1" applyBorder="1" applyAlignment="1">
      <alignment horizontal="center" wrapText="1"/>
    </xf>
    <xf numFmtId="0" fontId="19" fillId="0" borderId="15" xfId="49" applyFont="1" applyBorder="1" applyAlignment="1">
      <alignment horizontal="center" wrapText="1"/>
    </xf>
    <xf numFmtId="0" fontId="18" fillId="0" borderId="10" xfId="49" applyFont="1" applyBorder="1" applyAlignment="1">
      <alignment horizontal="center" vertical="center"/>
    </xf>
    <xf numFmtId="168" fontId="19" fillId="0" borderId="24" xfId="49" applyNumberFormat="1" applyFont="1" applyBorder="1" applyAlignment="1">
      <alignment horizontal="right" vertical="top"/>
    </xf>
    <xf numFmtId="168" fontId="19" fillId="0" borderId="13" xfId="49" applyNumberFormat="1" applyFont="1" applyBorder="1" applyAlignment="1">
      <alignment horizontal="right" vertical="top"/>
    </xf>
    <xf numFmtId="168" fontId="19" fillId="0" borderId="29" xfId="49" applyNumberFormat="1" applyFont="1" applyBorder="1" applyAlignment="1">
      <alignment horizontal="right" vertical="top"/>
    </xf>
    <xf numFmtId="0" fontId="16" fillId="0" borderId="0" xfId="0" applyFont="1" applyAlignment="1">
      <alignment wrapText="1"/>
    </xf>
    <xf numFmtId="0" fontId="16" fillId="0" borderId="10" xfId="0" applyFont="1" applyBorder="1" applyAlignment="1">
      <alignment horizontal="center" wrapText="1"/>
    </xf>
    <xf numFmtId="1" fontId="0" fillId="0" borderId="0" xfId="0" applyNumberFormat="1" applyAlignment="1">
      <alignment horizontal="center"/>
    </xf>
    <xf numFmtId="0" fontId="16" fillId="0" borderId="0" xfId="0" applyFont="1" applyAlignment="1">
      <alignment horizontal="center"/>
    </xf>
    <xf numFmtId="165" fontId="0" fillId="0" borderId="0" xfId="42" applyNumberFormat="1" applyFont="1" applyAlignment="1">
      <alignment horizontal="center"/>
    </xf>
    <xf numFmtId="0" fontId="16" fillId="0" borderId="49" xfId="0" applyFont="1" applyBorder="1"/>
    <xf numFmtId="0" fontId="26" fillId="0" borderId="28" xfId="43" applyFont="1" applyBorder="1" applyAlignment="1">
      <alignment horizontal="center" wrapText="1"/>
    </xf>
    <xf numFmtId="0" fontId="26" fillId="0" borderId="27" xfId="43" applyFont="1" applyBorder="1" applyAlignment="1">
      <alignment horizontal="center" wrapText="1"/>
    </xf>
    <xf numFmtId="0" fontId="16" fillId="0" borderId="0" xfId="0" applyFont="1" applyFill="1" applyBorder="1"/>
    <xf numFmtId="0" fontId="16" fillId="0" borderId="0" xfId="0" applyFont="1" applyAlignment="1">
      <alignment horizontal="center" wrapText="1"/>
    </xf>
    <xf numFmtId="170" fontId="0" fillId="0" borderId="80" xfId="0" applyNumberFormat="1" applyBorder="1" applyAlignment="1">
      <alignment horizontal="center"/>
    </xf>
    <xf numFmtId="0" fontId="16" fillId="0" borderId="0" xfId="0" applyFont="1" applyFill="1" applyBorder="1" applyAlignment="1">
      <alignment horizontal="center" wrapText="1"/>
    </xf>
    <xf numFmtId="0" fontId="0" fillId="0" borderId="10" xfId="0" applyFill="1" applyBorder="1"/>
    <xf numFmtId="2" fontId="0" fillId="0" borderId="68" xfId="0" applyNumberFormat="1" applyBorder="1" applyAlignment="1">
      <alignment horizontal="center"/>
    </xf>
    <xf numFmtId="0" fontId="0" fillId="0" borderId="63" xfId="0" applyBorder="1"/>
    <xf numFmtId="0" fontId="16" fillId="0" borderId="80" xfId="0" applyFont="1" applyBorder="1"/>
    <xf numFmtId="0" fontId="16" fillId="0" borderId="69" xfId="0" applyFont="1" applyBorder="1"/>
    <xf numFmtId="0" fontId="0" fillId="0" borderId="10" xfId="0" applyFill="1" applyBorder="1" applyAlignment="1">
      <alignment horizontal="center"/>
    </xf>
    <xf numFmtId="0" fontId="0" fillId="0" borderId="50" xfId="0" applyFill="1" applyBorder="1" applyAlignment="1">
      <alignment horizontal="center"/>
    </xf>
    <xf numFmtId="1" fontId="0" fillId="0" borderId="0" xfId="0" applyNumberFormat="1" applyFill="1" applyAlignment="1">
      <alignment horizontal="center"/>
    </xf>
    <xf numFmtId="0" fontId="0" fillId="36" borderId="0" xfId="0" applyFill="1"/>
    <xf numFmtId="0" fontId="21" fillId="36" borderId="0" xfId="45" applyFill="1"/>
    <xf numFmtId="0" fontId="0" fillId="36" borderId="0" xfId="0" applyFill="1" applyAlignment="1">
      <alignment horizontal="center"/>
    </xf>
    <xf numFmtId="0" fontId="0" fillId="0" borderId="0" xfId="0" applyFill="1"/>
    <xf numFmtId="0" fontId="0" fillId="37" borderId="0" xfId="0" applyFill="1"/>
    <xf numFmtId="0" fontId="29" fillId="36" borderId="0" xfId="0" applyFont="1" applyFill="1"/>
    <xf numFmtId="0" fontId="0" fillId="36" borderId="0" xfId="0" applyFill="1" applyBorder="1"/>
    <xf numFmtId="0" fontId="0" fillId="36" borderId="0" xfId="0" applyFill="1" applyBorder="1" applyAlignment="1">
      <alignment horizontal="center"/>
    </xf>
    <xf numFmtId="0" fontId="29" fillId="36" borderId="0" xfId="45" applyFont="1" applyFill="1" applyBorder="1" applyAlignment="1">
      <alignment horizontal="center"/>
    </xf>
    <xf numFmtId="0" fontId="21" fillId="36" borderId="0" xfId="45" applyFill="1" applyBorder="1"/>
    <xf numFmtId="0" fontId="29" fillId="36" borderId="0" xfId="45" quotePrefix="1" applyFont="1" applyFill="1" applyBorder="1" applyAlignment="1">
      <alignment horizontal="center"/>
    </xf>
    <xf numFmtId="0" fontId="16" fillId="36" borderId="0" xfId="0" applyFont="1" applyFill="1"/>
    <xf numFmtId="0" fontId="28" fillId="0" borderId="0" xfId="0" applyFont="1" applyFill="1" applyAlignment="1"/>
    <xf numFmtId="0" fontId="32" fillId="36" borderId="0" xfId="45" quotePrefix="1" applyFont="1" applyFill="1" applyBorder="1" applyAlignment="1">
      <alignment horizontal="center"/>
    </xf>
    <xf numFmtId="0" fontId="32" fillId="36" borderId="0" xfId="45" applyFont="1" applyFill="1" applyBorder="1" applyAlignment="1">
      <alignment horizontal="center"/>
    </xf>
    <xf numFmtId="0" fontId="34" fillId="36" borderId="0" xfId="0" applyFont="1" applyFill="1" applyBorder="1" applyAlignment="1">
      <alignment horizontal="center"/>
    </xf>
    <xf numFmtId="0" fontId="35" fillId="36" borderId="0" xfId="0" applyFont="1" applyFill="1" applyBorder="1" applyAlignment="1">
      <alignment horizontal="center"/>
    </xf>
    <xf numFmtId="0" fontId="0" fillId="41" borderId="0" xfId="0" applyFill="1"/>
    <xf numFmtId="0" fontId="13" fillId="37" borderId="0" xfId="0" applyFont="1" applyFill="1"/>
    <xf numFmtId="0" fontId="17" fillId="37" borderId="0" xfId="0" applyFont="1" applyFill="1"/>
    <xf numFmtId="0" fontId="13" fillId="37" borderId="10" xfId="0" applyFont="1" applyFill="1" applyBorder="1"/>
    <xf numFmtId="0" fontId="13" fillId="37" borderId="10" xfId="0" applyFont="1" applyFill="1" applyBorder="1" applyAlignment="1">
      <alignment horizontal="center"/>
    </xf>
    <xf numFmtId="0" fontId="31" fillId="40" borderId="0" xfId="45" quotePrefix="1" applyFont="1" applyFill="1" applyAlignment="1">
      <alignment horizontal="center" vertical="center"/>
    </xf>
    <xf numFmtId="0" fontId="20" fillId="36" borderId="0" xfId="43" applyFont="1" applyFill="1" applyBorder="1" applyAlignment="1">
      <alignment horizontal="center" vertical="center"/>
    </xf>
    <xf numFmtId="0" fontId="0" fillId="36" borderId="48" xfId="0" applyFill="1" applyBorder="1" applyAlignment="1">
      <alignment horizontal="center"/>
    </xf>
    <xf numFmtId="0" fontId="20" fillId="36" borderId="42" xfId="43" applyFont="1" applyFill="1" applyBorder="1" applyAlignment="1">
      <alignment horizontal="center" vertical="center"/>
    </xf>
    <xf numFmtId="0" fontId="20" fillId="36" borderId="24" xfId="43" applyFont="1" applyFill="1" applyBorder="1" applyAlignment="1">
      <alignment horizontal="center" vertical="center"/>
    </xf>
    <xf numFmtId="0" fontId="16" fillId="36" borderId="47" xfId="0" applyFont="1" applyFill="1" applyBorder="1"/>
    <xf numFmtId="0" fontId="16" fillId="36" borderId="49" xfId="0" applyFont="1" applyFill="1" applyBorder="1"/>
    <xf numFmtId="0" fontId="20" fillId="36" borderId="31" xfId="43" applyFont="1" applyFill="1" applyBorder="1" applyAlignment="1">
      <alignment horizontal="center" vertical="center"/>
    </xf>
    <xf numFmtId="0" fontId="20" fillId="36" borderId="29" xfId="43" applyFont="1" applyFill="1" applyBorder="1" applyAlignment="1">
      <alignment horizontal="center" vertical="center"/>
    </xf>
    <xf numFmtId="0" fontId="26" fillId="36" borderId="28" xfId="43" applyFont="1" applyFill="1" applyBorder="1" applyAlignment="1">
      <alignment horizontal="center" wrapText="1"/>
    </xf>
    <xf numFmtId="0" fontId="26" fillId="36" borderId="27" xfId="43" applyFont="1" applyFill="1" applyBorder="1" applyAlignment="1">
      <alignment horizontal="center" wrapText="1"/>
    </xf>
    <xf numFmtId="0" fontId="19" fillId="36" borderId="24" xfId="43" applyFont="1" applyFill="1" applyBorder="1" applyAlignment="1">
      <alignment horizontal="left" vertical="top" wrapText="1"/>
    </xf>
    <xf numFmtId="164" fontId="19" fillId="36" borderId="20" xfId="43" applyNumberFormat="1" applyFont="1" applyFill="1" applyBorder="1" applyAlignment="1">
      <alignment horizontal="right" vertical="top"/>
    </xf>
    <xf numFmtId="164" fontId="19" fillId="36" borderId="23" xfId="43" applyNumberFormat="1" applyFont="1" applyFill="1" applyBorder="1" applyAlignment="1">
      <alignment horizontal="right" vertical="top"/>
    </xf>
    <xf numFmtId="164" fontId="19" fillId="36" borderId="41" xfId="43" applyNumberFormat="1" applyFont="1" applyFill="1" applyBorder="1" applyAlignment="1">
      <alignment horizontal="right" vertical="top"/>
    </xf>
    <xf numFmtId="0" fontId="19" fillId="36" borderId="13" xfId="43" applyFont="1" applyFill="1" applyBorder="1" applyAlignment="1">
      <alignment horizontal="left" vertical="top" wrapText="1"/>
    </xf>
    <xf numFmtId="164" fontId="19" fillId="36" borderId="12" xfId="43" applyNumberFormat="1" applyFont="1" applyFill="1" applyBorder="1" applyAlignment="1">
      <alignment horizontal="right" vertical="top"/>
    </xf>
    <xf numFmtId="164" fontId="19" fillId="36" borderId="11" xfId="43" applyNumberFormat="1" applyFont="1" applyFill="1" applyBorder="1" applyAlignment="1">
      <alignment horizontal="right" vertical="top"/>
    </xf>
    <xf numFmtId="164" fontId="19" fillId="36" borderId="40" xfId="43" applyNumberFormat="1" applyFont="1" applyFill="1" applyBorder="1" applyAlignment="1">
      <alignment horizontal="right" vertical="top"/>
    </xf>
    <xf numFmtId="164" fontId="19" fillId="36" borderId="38" xfId="43" applyNumberFormat="1" applyFont="1" applyFill="1" applyBorder="1" applyAlignment="1">
      <alignment horizontal="right" vertical="top"/>
    </xf>
    <xf numFmtId="164" fontId="19" fillId="36" borderId="37" xfId="43" applyNumberFormat="1" applyFont="1" applyFill="1" applyBorder="1" applyAlignment="1">
      <alignment horizontal="right" vertical="top"/>
    </xf>
    <xf numFmtId="164" fontId="19" fillId="36" borderId="52" xfId="43" applyNumberFormat="1" applyFont="1" applyFill="1" applyBorder="1" applyAlignment="1">
      <alignment horizontal="right" vertical="top"/>
    </xf>
    <xf numFmtId="0" fontId="0" fillId="36" borderId="0" xfId="0" applyFill="1" applyAlignment="1">
      <alignment horizontal="right"/>
    </xf>
    <xf numFmtId="0" fontId="16" fillId="36" borderId="0" xfId="0" applyFont="1" applyFill="1" applyAlignment="1">
      <alignment horizontal="right"/>
    </xf>
    <xf numFmtId="0" fontId="16" fillId="0" borderId="0" xfId="0" applyFont="1" applyAlignment="1">
      <alignment horizontal="right"/>
    </xf>
    <xf numFmtId="0" fontId="0" fillId="0" borderId="0" xfId="0" applyAlignment="1">
      <alignment horizontal="right"/>
    </xf>
    <xf numFmtId="0" fontId="16" fillId="0" borderId="10" xfId="0" applyFont="1" applyBorder="1" applyAlignment="1">
      <alignment horizontal="right"/>
    </xf>
    <xf numFmtId="0" fontId="16" fillId="36" borderId="10" xfId="0" applyFont="1" applyFill="1" applyBorder="1" applyAlignment="1">
      <alignment horizontal="right"/>
    </xf>
    <xf numFmtId="0" fontId="16" fillId="36" borderId="49" xfId="0" applyFont="1" applyFill="1" applyBorder="1" applyAlignment="1">
      <alignment horizontal="right"/>
    </xf>
    <xf numFmtId="0" fontId="13" fillId="37" borderId="10" xfId="0" applyFont="1" applyFill="1" applyBorder="1" applyAlignment="1">
      <alignment horizontal="right"/>
    </xf>
    <xf numFmtId="0" fontId="16" fillId="0" borderId="49" xfId="0" applyFont="1" applyBorder="1" applyAlignment="1">
      <alignment horizontal="right"/>
    </xf>
    <xf numFmtId="0" fontId="17" fillId="37" borderId="10" xfId="0" applyFont="1" applyFill="1" applyBorder="1" applyAlignment="1">
      <alignment wrapText="1"/>
    </xf>
    <xf numFmtId="0" fontId="17" fillId="37" borderId="69" xfId="0" applyFont="1" applyFill="1" applyBorder="1" applyAlignment="1">
      <alignment wrapText="1"/>
    </xf>
    <xf numFmtId="0" fontId="37" fillId="37" borderId="28" xfId="47" applyFont="1" applyFill="1" applyBorder="1" applyAlignment="1">
      <alignment horizontal="center" wrapText="1"/>
    </xf>
    <xf numFmtId="0" fontId="37" fillId="37" borderId="27" xfId="47" applyFont="1" applyFill="1" applyBorder="1" applyAlignment="1">
      <alignment horizontal="center" wrapText="1"/>
    </xf>
    <xf numFmtId="0" fontId="37" fillId="37" borderId="36" xfId="44" applyFont="1" applyFill="1" applyBorder="1" applyAlignment="1">
      <alignment horizontal="left" wrapText="1"/>
    </xf>
    <xf numFmtId="0" fontId="37" fillId="37" borderId="35" xfId="44" applyFont="1" applyFill="1" applyBorder="1" applyAlignment="1">
      <alignment horizontal="left" wrapText="1"/>
    </xf>
    <xf numFmtId="0" fontId="37" fillId="37" borderId="34" xfId="44" applyFont="1" applyFill="1" applyBorder="1" applyAlignment="1">
      <alignment horizontal="left" wrapText="1"/>
    </xf>
    <xf numFmtId="0" fontId="37" fillId="37" borderId="43" xfId="44" applyFont="1" applyFill="1" applyBorder="1" applyAlignment="1">
      <alignment horizontal="center" wrapText="1"/>
    </xf>
    <xf numFmtId="0" fontId="37" fillId="37" borderId="46" xfId="44" applyFont="1" applyFill="1" applyBorder="1" applyAlignment="1">
      <alignment horizontal="center" wrapText="1"/>
    </xf>
    <xf numFmtId="0" fontId="37" fillId="37" borderId="45" xfId="44" applyFont="1" applyFill="1" applyBorder="1" applyAlignment="1">
      <alignment horizontal="center" wrapText="1"/>
    </xf>
    <xf numFmtId="166" fontId="19" fillId="38" borderId="12" xfId="44" applyNumberFormat="1" applyFont="1" applyFill="1" applyBorder="1" applyAlignment="1">
      <alignment horizontal="right" vertical="top"/>
    </xf>
    <xf numFmtId="166" fontId="19" fillId="38" borderId="16" xfId="44" applyNumberFormat="1" applyFont="1" applyFill="1" applyBorder="1" applyAlignment="1">
      <alignment horizontal="right" vertical="top"/>
    </xf>
    <xf numFmtId="0" fontId="13" fillId="37" borderId="0" xfId="0" applyFont="1" applyFill="1" applyBorder="1"/>
    <xf numFmtId="0" fontId="13" fillId="37" borderId="10" xfId="0" applyFont="1" applyFill="1" applyBorder="1" applyAlignment="1">
      <alignment horizontal="center" wrapText="1"/>
    </xf>
    <xf numFmtId="0" fontId="13" fillId="37" borderId="0" xfId="0" applyFont="1" applyFill="1" applyAlignment="1">
      <alignment horizontal="center"/>
    </xf>
    <xf numFmtId="0" fontId="13" fillId="37" borderId="0" xfId="0" applyFont="1" applyFill="1" applyAlignment="1">
      <alignment wrapText="1"/>
    </xf>
    <xf numFmtId="0" fontId="32" fillId="36" borderId="0" xfId="45" quotePrefix="1" applyFont="1" applyFill="1" applyBorder="1" applyAlignment="1">
      <alignment horizontal="left"/>
    </xf>
    <xf numFmtId="0" fontId="20" fillId="0" borderId="0" xfId="50" applyFont="1" applyBorder="1" applyAlignment="1">
      <alignment horizontal="center" vertical="center"/>
    </xf>
    <xf numFmtId="0" fontId="20" fillId="0" borderId="42" xfId="50" applyFont="1" applyBorder="1" applyAlignment="1">
      <alignment horizontal="center" vertical="center"/>
    </xf>
    <xf numFmtId="0" fontId="20" fillId="0" borderId="31" xfId="50" applyFont="1" applyBorder="1" applyAlignment="1">
      <alignment horizontal="center" vertical="center"/>
    </xf>
    <xf numFmtId="0" fontId="19" fillId="0" borderId="28" xfId="50" applyFont="1" applyBorder="1" applyAlignment="1">
      <alignment horizontal="center" wrapText="1"/>
    </xf>
    <xf numFmtId="0" fontId="19" fillId="0" borderId="27" xfId="50" applyFont="1" applyBorder="1" applyAlignment="1">
      <alignment horizontal="center" wrapText="1"/>
    </xf>
    <xf numFmtId="0" fontId="19" fillId="0" borderId="53" xfId="50" applyFont="1" applyBorder="1" applyAlignment="1">
      <alignment horizontal="center" wrapText="1"/>
    </xf>
    <xf numFmtId="0" fontId="19" fillId="0" borderId="24" xfId="50" applyFont="1" applyBorder="1" applyAlignment="1">
      <alignment horizontal="left" vertical="top" wrapText="1"/>
    </xf>
    <xf numFmtId="10" fontId="19" fillId="0" borderId="20" xfId="42" applyNumberFormat="1" applyFont="1" applyBorder="1" applyAlignment="1">
      <alignment horizontal="right" vertical="top"/>
    </xf>
    <xf numFmtId="10" fontId="19" fillId="0" borderId="23" xfId="42" applyNumberFormat="1" applyFont="1" applyBorder="1" applyAlignment="1">
      <alignment horizontal="right" vertical="top"/>
    </xf>
    <xf numFmtId="10" fontId="19" fillId="0" borderId="41" xfId="42" applyNumberFormat="1" applyFont="1" applyBorder="1" applyAlignment="1">
      <alignment horizontal="right" vertical="top"/>
    </xf>
    <xf numFmtId="0" fontId="19" fillId="0" borderId="13" xfId="50" applyFont="1" applyBorder="1" applyAlignment="1">
      <alignment horizontal="left" vertical="top" wrapText="1"/>
    </xf>
    <xf numFmtId="10" fontId="19" fillId="0" borderId="12" xfId="42" applyNumberFormat="1" applyFont="1" applyBorder="1" applyAlignment="1">
      <alignment horizontal="right" vertical="top"/>
    </xf>
    <xf numFmtId="10" fontId="19" fillId="0" borderId="11" xfId="42" applyNumberFormat="1" applyFont="1" applyBorder="1" applyAlignment="1">
      <alignment horizontal="right" vertical="top"/>
    </xf>
    <xf numFmtId="10" fontId="19" fillId="0" borderId="40" xfId="42" applyNumberFormat="1" applyFont="1" applyBorder="1" applyAlignment="1">
      <alignment horizontal="right" vertical="top"/>
    </xf>
    <xf numFmtId="0" fontId="19" fillId="0" borderId="55" xfId="50" applyFont="1" applyBorder="1" applyAlignment="1">
      <alignment horizontal="left" vertical="top" wrapText="1"/>
    </xf>
    <xf numFmtId="10" fontId="19" fillId="0" borderId="56" xfId="42" applyNumberFormat="1" applyFont="1" applyBorder="1" applyAlignment="1">
      <alignment horizontal="right" vertical="top"/>
    </xf>
    <xf numFmtId="10" fontId="19" fillId="0" borderId="57" xfId="42" applyNumberFormat="1" applyFont="1" applyBorder="1" applyAlignment="1">
      <alignment horizontal="right" vertical="top"/>
    </xf>
    <xf numFmtId="10" fontId="19" fillId="0" borderId="58" xfId="42" applyNumberFormat="1" applyFont="1" applyBorder="1" applyAlignment="1">
      <alignment horizontal="right" vertical="top"/>
    </xf>
    <xf numFmtId="0" fontId="19" fillId="0" borderId="17" xfId="50" applyFont="1" applyBorder="1" applyAlignment="1">
      <alignment horizontal="left" vertical="top" wrapText="1"/>
    </xf>
    <xf numFmtId="10" fontId="19" fillId="0" borderId="16" xfId="42" applyNumberFormat="1" applyFont="1" applyBorder="1" applyAlignment="1">
      <alignment horizontal="right" vertical="top"/>
    </xf>
    <xf numFmtId="10" fontId="19" fillId="0" borderId="15" xfId="42" applyNumberFormat="1" applyFont="1" applyBorder="1" applyAlignment="1">
      <alignment horizontal="right" vertical="top"/>
    </xf>
    <xf numFmtId="10" fontId="19" fillId="0" borderId="44" xfId="42" applyNumberFormat="1" applyFont="1" applyBorder="1" applyAlignment="1">
      <alignment horizontal="right" vertical="top"/>
    </xf>
    <xf numFmtId="0" fontId="19" fillId="0" borderId="29" xfId="50" applyFont="1" applyBorder="1" applyAlignment="1">
      <alignment horizontal="left" vertical="top" wrapText="1"/>
    </xf>
    <xf numFmtId="10" fontId="19" fillId="0" borderId="38" xfId="42" applyNumberFormat="1" applyFont="1" applyBorder="1" applyAlignment="1">
      <alignment horizontal="right" vertical="top"/>
    </xf>
    <xf numFmtId="10" fontId="19" fillId="0" borderId="37" xfId="42" applyNumberFormat="1" applyFont="1" applyBorder="1" applyAlignment="1">
      <alignment horizontal="right" vertical="top"/>
    </xf>
    <xf numFmtId="10" fontId="19" fillId="0" borderId="52" xfId="42" applyNumberFormat="1" applyFont="1" applyBorder="1" applyAlignment="1">
      <alignment horizontal="right" vertical="top"/>
    </xf>
    <xf numFmtId="10" fontId="0" fillId="0" borderId="0" xfId="42" applyNumberFormat="1" applyFont="1"/>
    <xf numFmtId="10" fontId="0" fillId="0" borderId="0" xfId="42" applyNumberFormat="1" applyFont="1" applyAlignment="1">
      <alignment horizontal="right"/>
    </xf>
    <xf numFmtId="0" fontId="18" fillId="0" borderId="0" xfId="50"/>
    <xf numFmtId="0" fontId="20" fillId="0" borderId="29" xfId="50" applyFont="1" applyBorder="1" applyAlignment="1">
      <alignment horizontal="center" vertical="center"/>
    </xf>
    <xf numFmtId="0" fontId="20" fillId="0" borderId="24" xfId="50" applyFont="1" applyBorder="1" applyAlignment="1">
      <alignment horizontal="center" vertical="center"/>
    </xf>
    <xf numFmtId="0" fontId="20" fillId="0" borderId="31" xfId="50" applyFont="1" applyBorder="1" applyAlignment="1">
      <alignment horizontal="center" vertical="center"/>
    </xf>
    <xf numFmtId="0" fontId="20" fillId="0" borderId="0" xfId="47" applyFont="1" applyBorder="1" applyAlignment="1">
      <alignment horizontal="center" vertical="center"/>
    </xf>
    <xf numFmtId="0" fontId="19" fillId="0" borderId="62" xfId="47" applyFont="1" applyBorder="1" applyAlignment="1">
      <alignment horizontal="left" vertical="top" wrapText="1"/>
    </xf>
    <xf numFmtId="164" fontId="19" fillId="0" borderId="41" xfId="47" applyNumberFormat="1" applyFont="1" applyBorder="1" applyAlignment="1">
      <alignment horizontal="right" vertical="top"/>
    </xf>
    <xf numFmtId="164" fontId="19" fillId="0" borderId="40" xfId="47" applyNumberFormat="1" applyFont="1" applyBorder="1" applyAlignment="1">
      <alignment horizontal="right" vertical="top"/>
    </xf>
    <xf numFmtId="164" fontId="19" fillId="0" borderId="58" xfId="47" applyNumberFormat="1" applyFont="1" applyBorder="1" applyAlignment="1">
      <alignment horizontal="right" vertical="top"/>
    </xf>
    <xf numFmtId="164" fontId="19" fillId="0" borderId="44" xfId="47" applyNumberFormat="1" applyFont="1" applyBorder="1" applyAlignment="1">
      <alignment horizontal="right" vertical="top"/>
    </xf>
    <xf numFmtId="164" fontId="19" fillId="0" borderId="52" xfId="47" applyNumberFormat="1" applyFont="1" applyBorder="1" applyAlignment="1">
      <alignment horizontal="right" vertical="top"/>
    </xf>
    <xf numFmtId="0" fontId="19" fillId="0" borderId="0" xfId="47" applyFont="1" applyBorder="1" applyAlignment="1">
      <alignment horizontal="left" vertical="top" wrapText="1"/>
    </xf>
    <xf numFmtId="164" fontId="19" fillId="0" borderId="20" xfId="50" applyNumberFormat="1" applyFont="1" applyBorder="1" applyAlignment="1">
      <alignment horizontal="right" vertical="top"/>
    </xf>
    <xf numFmtId="164" fontId="19" fillId="0" borderId="23" xfId="50" applyNumberFormat="1" applyFont="1" applyBorder="1" applyAlignment="1">
      <alignment horizontal="right" vertical="top"/>
    </xf>
    <xf numFmtId="164" fontId="19" fillId="0" borderId="41" xfId="50" applyNumberFormat="1" applyFont="1" applyBorder="1" applyAlignment="1">
      <alignment horizontal="right" vertical="top"/>
    </xf>
    <xf numFmtId="164" fontId="19" fillId="0" borderId="12" xfId="50" applyNumberFormat="1" applyFont="1" applyBorder="1" applyAlignment="1">
      <alignment horizontal="right" vertical="top"/>
    </xf>
    <xf numFmtId="164" fontId="19" fillId="0" borderId="11" xfId="50" applyNumberFormat="1" applyFont="1" applyBorder="1" applyAlignment="1">
      <alignment horizontal="right" vertical="top"/>
    </xf>
    <xf numFmtId="164" fontId="19" fillId="0" borderId="40" xfId="50" applyNumberFormat="1" applyFont="1" applyBorder="1" applyAlignment="1">
      <alignment horizontal="right" vertical="top"/>
    </xf>
    <xf numFmtId="164" fontId="19" fillId="0" borderId="38" xfId="50" applyNumberFormat="1" applyFont="1" applyBorder="1" applyAlignment="1">
      <alignment horizontal="right" vertical="top"/>
    </xf>
    <xf numFmtId="164" fontId="19" fillId="0" borderId="37" xfId="50" applyNumberFormat="1" applyFont="1" applyBorder="1" applyAlignment="1">
      <alignment horizontal="right" vertical="top"/>
    </xf>
    <xf numFmtId="164" fontId="19" fillId="0" borderId="52" xfId="50" applyNumberFormat="1" applyFont="1" applyBorder="1" applyAlignment="1">
      <alignment horizontal="right" vertical="top"/>
    </xf>
    <xf numFmtId="0" fontId="26" fillId="0" borderId="24" xfId="50" applyFont="1" applyBorder="1" applyAlignment="1">
      <alignment horizontal="right" vertical="top" wrapText="1"/>
    </xf>
    <xf numFmtId="0" fontId="26" fillId="0" borderId="13" xfId="50" applyFont="1" applyBorder="1" applyAlignment="1">
      <alignment horizontal="right" vertical="top" wrapText="1"/>
    </xf>
    <xf numFmtId="0" fontId="19" fillId="0" borderId="24" xfId="50" applyFont="1" applyBorder="1" applyAlignment="1">
      <alignment horizontal="right" vertical="top" wrapText="1"/>
    </xf>
    <xf numFmtId="0" fontId="19" fillId="0" borderId="13" xfId="50" applyFont="1" applyBorder="1" applyAlignment="1">
      <alignment horizontal="right" vertical="top" wrapText="1"/>
    </xf>
    <xf numFmtId="1" fontId="0" fillId="0" borderId="0" xfId="0" applyNumberFormat="1" applyAlignment="1">
      <alignment horizontal="right"/>
    </xf>
    <xf numFmtId="0" fontId="0" fillId="0" borderId="0" xfId="0" applyAlignment="1">
      <alignment horizontal="left"/>
    </xf>
    <xf numFmtId="0" fontId="41" fillId="36" borderId="0" xfId="0" applyFont="1" applyFill="1" applyBorder="1" applyAlignment="1">
      <alignment horizontal="center"/>
    </xf>
    <xf numFmtId="1" fontId="0" fillId="38" borderId="0" xfId="0" applyNumberFormat="1" applyFill="1" applyBorder="1" applyAlignment="1">
      <alignment horizontal="center"/>
    </xf>
    <xf numFmtId="2" fontId="0" fillId="0" borderId="0" xfId="0" applyNumberFormat="1" applyAlignment="1">
      <alignment horizontal="center"/>
    </xf>
    <xf numFmtId="0" fontId="16" fillId="36" borderId="0" xfId="0" applyFont="1" applyFill="1" applyAlignment="1">
      <alignment horizontal="center" wrapText="1"/>
    </xf>
    <xf numFmtId="9" fontId="0" fillId="0" borderId="0" xfId="42" applyFont="1" applyAlignment="1">
      <alignment horizontal="center"/>
    </xf>
    <xf numFmtId="0" fontId="16" fillId="36" borderId="47" xfId="0" applyFont="1" applyFill="1" applyBorder="1" applyAlignment="1">
      <alignment horizontal="left"/>
    </xf>
    <xf numFmtId="0" fontId="0" fillId="36" borderId="49" xfId="0" applyFill="1" applyBorder="1" applyAlignment="1">
      <alignment horizontal="center"/>
    </xf>
    <xf numFmtId="0" fontId="0" fillId="36" borderId="50" xfId="0" applyFill="1" applyBorder="1" applyAlignment="1">
      <alignment horizontal="center"/>
    </xf>
    <xf numFmtId="0" fontId="16" fillId="36" borderId="49" xfId="0" applyFont="1" applyFill="1" applyBorder="1" applyAlignment="1">
      <alignment horizontal="center" wrapText="1"/>
    </xf>
    <xf numFmtId="0" fontId="16" fillId="36" borderId="50" xfId="0" applyFont="1" applyFill="1" applyBorder="1" applyAlignment="1">
      <alignment horizontal="center" wrapText="1"/>
    </xf>
    <xf numFmtId="9" fontId="0" fillId="0" borderId="49" xfId="42" applyFont="1" applyBorder="1" applyAlignment="1">
      <alignment horizontal="center"/>
    </xf>
    <xf numFmtId="9" fontId="0" fillId="0" borderId="50" xfId="42" applyFont="1" applyBorder="1" applyAlignment="1">
      <alignment horizontal="center"/>
    </xf>
    <xf numFmtId="9" fontId="0" fillId="0" borderId="86" xfId="42" applyFont="1" applyBorder="1" applyAlignment="1">
      <alignment horizontal="center"/>
    </xf>
    <xf numFmtId="9" fontId="0" fillId="0" borderId="87" xfId="42" applyFont="1" applyBorder="1" applyAlignment="1">
      <alignment horizontal="center"/>
    </xf>
    <xf numFmtId="0" fontId="0" fillId="36" borderId="86" xfId="0" applyFill="1" applyBorder="1" applyAlignment="1">
      <alignment horizontal="center"/>
    </xf>
    <xf numFmtId="0" fontId="0" fillId="36" borderId="87" xfId="0" applyFill="1" applyBorder="1" applyAlignment="1">
      <alignment horizontal="center"/>
    </xf>
    <xf numFmtId="1" fontId="0" fillId="36" borderId="49" xfId="0" applyNumberFormat="1" applyFill="1" applyBorder="1" applyAlignment="1">
      <alignment horizontal="center"/>
    </xf>
    <xf numFmtId="9" fontId="0" fillId="36" borderId="50" xfId="42" applyFont="1" applyFill="1" applyBorder="1" applyAlignment="1">
      <alignment horizontal="center"/>
    </xf>
    <xf numFmtId="0" fontId="16" fillId="36" borderId="49" xfId="0" applyFont="1" applyFill="1" applyBorder="1" applyAlignment="1">
      <alignment horizontal="center"/>
    </xf>
    <xf numFmtId="0" fontId="16" fillId="36" borderId="50" xfId="0" applyFont="1" applyFill="1" applyBorder="1" applyAlignment="1">
      <alignment horizontal="center"/>
    </xf>
    <xf numFmtId="1" fontId="0" fillId="0" borderId="49" xfId="0" applyNumberFormat="1"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1" fontId="0" fillId="0" borderId="86" xfId="0" applyNumberFormat="1" applyBorder="1" applyAlignment="1">
      <alignment horizontal="center"/>
    </xf>
    <xf numFmtId="9" fontId="0" fillId="36" borderId="87" xfId="42" applyFont="1" applyFill="1" applyBorder="1" applyAlignment="1">
      <alignment horizontal="center"/>
    </xf>
    <xf numFmtId="0" fontId="16" fillId="36" borderId="47" xfId="0" applyFont="1" applyFill="1" applyBorder="1" applyAlignment="1">
      <alignment horizontal="center" wrapText="1"/>
    </xf>
    <xf numFmtId="0" fontId="16" fillId="36" borderId="48" xfId="0" applyFont="1" applyFill="1" applyBorder="1" applyAlignment="1">
      <alignment horizontal="center" wrapText="1"/>
    </xf>
    <xf numFmtId="0" fontId="0" fillId="36" borderId="0" xfId="0" applyFill="1" applyProtection="1">
      <protection locked="0"/>
    </xf>
    <xf numFmtId="0" fontId="21" fillId="36" borderId="0" xfId="45" applyFill="1" applyProtection="1">
      <protection locked="0"/>
    </xf>
    <xf numFmtId="0" fontId="0" fillId="36" borderId="63" xfId="0" applyFill="1" applyBorder="1" applyProtection="1">
      <protection locked="0"/>
    </xf>
    <xf numFmtId="0" fontId="0" fillId="36" borderId="65" xfId="0" applyFill="1" applyBorder="1" applyProtection="1">
      <protection locked="0"/>
    </xf>
    <xf numFmtId="0" fontId="42" fillId="36" borderId="85" xfId="0" applyFont="1" applyFill="1" applyBorder="1" applyAlignment="1" applyProtection="1">
      <alignment horizontal="center"/>
      <protection locked="0"/>
    </xf>
    <xf numFmtId="2" fontId="0" fillId="35" borderId="0" xfId="0" applyNumberFormat="1" applyFill="1" applyBorder="1" applyAlignment="1" applyProtection="1">
      <alignment horizontal="center"/>
      <protection locked="0"/>
    </xf>
    <xf numFmtId="2" fontId="0" fillId="35" borderId="67" xfId="0" applyNumberFormat="1" applyFill="1" applyBorder="1" applyAlignment="1" applyProtection="1">
      <alignment horizontal="center"/>
      <protection locked="0"/>
    </xf>
    <xf numFmtId="2" fontId="0" fillId="35" borderId="75" xfId="0" applyNumberFormat="1" applyFill="1" applyBorder="1" applyAlignment="1" applyProtection="1">
      <alignment horizontal="center"/>
      <protection locked="0"/>
    </xf>
    <xf numFmtId="2" fontId="0" fillId="35" borderId="77" xfId="0" applyNumberFormat="1" applyFill="1" applyBorder="1" applyAlignment="1" applyProtection="1">
      <alignment horizontal="center"/>
      <protection locked="0"/>
    </xf>
    <xf numFmtId="2" fontId="0" fillId="35" borderId="68" xfId="0" applyNumberFormat="1" applyFill="1" applyBorder="1" applyAlignment="1" applyProtection="1">
      <alignment horizontal="center"/>
      <protection locked="0"/>
    </xf>
    <xf numFmtId="2" fontId="0" fillId="35" borderId="79" xfId="0" applyNumberFormat="1" applyFill="1" applyBorder="1" applyAlignment="1" applyProtection="1">
      <alignment horizontal="center"/>
      <protection locked="0"/>
    </xf>
    <xf numFmtId="1" fontId="0" fillId="33" borderId="10" xfId="0" applyNumberFormat="1" applyFill="1" applyBorder="1" applyAlignment="1" applyProtection="1">
      <alignment horizontal="center"/>
      <protection locked="0"/>
    </xf>
    <xf numFmtId="0" fontId="0" fillId="33" borderId="10" xfId="0" applyFill="1" applyBorder="1" applyAlignment="1" applyProtection="1">
      <alignment horizontal="center"/>
      <protection locked="0"/>
    </xf>
    <xf numFmtId="2" fontId="0" fillId="38" borderId="10" xfId="0" applyNumberFormat="1" applyFill="1" applyBorder="1" applyAlignment="1" applyProtection="1">
      <alignment horizontal="center"/>
      <protection locked="0"/>
    </xf>
    <xf numFmtId="2" fontId="0" fillId="38" borderId="67" xfId="0" applyNumberFormat="1" applyFill="1" applyBorder="1" applyAlignment="1" applyProtection="1">
      <alignment horizontal="center"/>
      <protection locked="0"/>
    </xf>
    <xf numFmtId="2" fontId="0" fillId="38" borderId="0" xfId="0" applyNumberFormat="1" applyFill="1" applyBorder="1" applyAlignment="1" applyProtection="1">
      <alignment horizontal="center"/>
      <protection locked="0"/>
    </xf>
    <xf numFmtId="2" fontId="0" fillId="38" borderId="68" xfId="0" applyNumberFormat="1" applyFill="1" applyBorder="1" applyAlignment="1" applyProtection="1">
      <alignment horizontal="center"/>
      <protection locked="0"/>
    </xf>
    <xf numFmtId="0" fontId="0" fillId="38" borderId="10" xfId="0" applyFill="1" applyBorder="1" applyAlignment="1" applyProtection="1">
      <alignment horizontal="center"/>
      <protection locked="0"/>
    </xf>
    <xf numFmtId="170" fontId="0" fillId="33" borderId="10" xfId="0" applyNumberFormat="1" applyFill="1" applyBorder="1" applyAlignment="1" applyProtection="1">
      <alignment horizontal="center"/>
      <protection locked="0"/>
    </xf>
    <xf numFmtId="170" fontId="0" fillId="33" borderId="0" xfId="0" applyNumberFormat="1" applyFill="1" applyBorder="1" applyAlignment="1" applyProtection="1">
      <alignment horizontal="center"/>
      <protection locked="0"/>
    </xf>
    <xf numFmtId="0" fontId="0" fillId="0" borderId="0" xfId="0" applyProtection="1">
      <protection locked="0"/>
    </xf>
    <xf numFmtId="0" fontId="0" fillId="0" borderId="10" xfId="0" applyFill="1" applyBorder="1" applyAlignment="1" applyProtection="1">
      <alignment horizontal="center"/>
      <protection locked="0"/>
    </xf>
    <xf numFmtId="0" fontId="18" fillId="38" borderId="20" xfId="47" applyFont="1" applyFill="1" applyBorder="1" applyAlignment="1" applyProtection="1">
      <alignment horizontal="right" vertical="center"/>
      <protection locked="0"/>
    </xf>
    <xf numFmtId="164" fontId="19" fillId="38" borderId="23" xfId="47" applyNumberFormat="1" applyFont="1" applyFill="1" applyBorder="1" applyAlignment="1" applyProtection="1">
      <alignment horizontal="right" vertical="top"/>
      <protection locked="0"/>
    </xf>
    <xf numFmtId="0" fontId="18" fillId="38" borderId="12" xfId="47" applyFont="1" applyFill="1" applyBorder="1" applyAlignment="1" applyProtection="1">
      <alignment horizontal="right" vertical="center"/>
      <protection locked="0"/>
    </xf>
    <xf numFmtId="164" fontId="19" fillId="38" borderId="11" xfId="47" applyNumberFormat="1" applyFont="1" applyFill="1" applyBorder="1" applyAlignment="1" applyProtection="1">
      <alignment horizontal="right" vertical="top"/>
      <protection locked="0"/>
    </xf>
    <xf numFmtId="0" fontId="18" fillId="38" borderId="56" xfId="47" applyFont="1" applyFill="1" applyBorder="1" applyAlignment="1" applyProtection="1">
      <alignment horizontal="right" vertical="center"/>
      <protection locked="0"/>
    </xf>
    <xf numFmtId="164" fontId="19" fillId="38" borderId="57" xfId="47" applyNumberFormat="1" applyFont="1" applyFill="1" applyBorder="1" applyAlignment="1" applyProtection="1">
      <alignment horizontal="right" vertical="top"/>
      <protection locked="0"/>
    </xf>
    <xf numFmtId="0" fontId="18" fillId="38" borderId="16" xfId="47" applyFont="1" applyFill="1" applyBorder="1" applyAlignment="1" applyProtection="1">
      <alignment horizontal="right" vertical="center"/>
      <protection locked="0"/>
    </xf>
    <xf numFmtId="164" fontId="19" fillId="38" borderId="15" xfId="47" applyNumberFormat="1" applyFont="1" applyFill="1" applyBorder="1" applyAlignment="1" applyProtection="1">
      <alignment horizontal="right" vertical="top"/>
      <protection locked="0"/>
    </xf>
    <xf numFmtId="0" fontId="18" fillId="38" borderId="15" xfId="47" applyFont="1" applyFill="1" applyBorder="1" applyAlignment="1" applyProtection="1">
      <alignment horizontal="right" vertical="center"/>
      <protection locked="0"/>
    </xf>
    <xf numFmtId="0" fontId="18" fillId="38" borderId="11" xfId="47" applyFont="1" applyFill="1" applyBorder="1" applyAlignment="1" applyProtection="1">
      <alignment horizontal="right" vertical="center"/>
      <protection locked="0"/>
    </xf>
    <xf numFmtId="0" fontId="18" fillId="38" borderId="57" xfId="47" applyFont="1" applyFill="1" applyBorder="1" applyAlignment="1" applyProtection="1">
      <alignment horizontal="right" vertical="center"/>
      <protection locked="0"/>
    </xf>
    <xf numFmtId="164" fontId="19" fillId="38" borderId="16" xfId="47" applyNumberFormat="1" applyFont="1" applyFill="1" applyBorder="1" applyAlignment="1" applyProtection="1">
      <alignment horizontal="right" vertical="top"/>
      <protection locked="0"/>
    </xf>
    <xf numFmtId="164" fontId="19" fillId="38" borderId="12" xfId="47" applyNumberFormat="1" applyFont="1" applyFill="1" applyBorder="1" applyAlignment="1" applyProtection="1">
      <alignment horizontal="right" vertical="top"/>
      <protection locked="0"/>
    </xf>
    <xf numFmtId="164" fontId="19" fillId="38" borderId="56" xfId="47" applyNumberFormat="1" applyFont="1" applyFill="1" applyBorder="1" applyAlignment="1" applyProtection="1">
      <alignment horizontal="right" vertical="top"/>
      <protection locked="0"/>
    </xf>
    <xf numFmtId="164" fontId="19" fillId="38" borderId="38" xfId="47" applyNumberFormat="1" applyFont="1" applyFill="1" applyBorder="1" applyAlignment="1" applyProtection="1">
      <alignment horizontal="right" vertical="top"/>
      <protection locked="0"/>
    </xf>
    <xf numFmtId="164" fontId="19" fillId="38" borderId="37" xfId="47" applyNumberFormat="1" applyFont="1" applyFill="1" applyBorder="1" applyAlignment="1" applyProtection="1">
      <alignment horizontal="right" vertical="top"/>
      <protection locked="0"/>
    </xf>
    <xf numFmtId="168" fontId="24" fillId="38" borderId="10" xfId="49" applyNumberFormat="1" applyFont="1" applyFill="1" applyBorder="1" applyAlignment="1" applyProtection="1">
      <alignment horizontal="center" vertical="top"/>
      <protection locked="0"/>
    </xf>
    <xf numFmtId="168" fontId="19" fillId="38" borderId="10" xfId="49" applyNumberFormat="1" applyFont="1" applyFill="1" applyBorder="1" applyAlignment="1" applyProtection="1">
      <alignment horizontal="center" vertical="top"/>
      <protection locked="0"/>
    </xf>
    <xf numFmtId="168" fontId="19" fillId="38" borderId="80" xfId="48" applyNumberFormat="1" applyFont="1" applyFill="1" applyBorder="1" applyAlignment="1" applyProtection="1">
      <alignment horizontal="center" vertical="top"/>
      <protection locked="0"/>
    </xf>
    <xf numFmtId="168" fontId="19" fillId="38" borderId="10" xfId="48" applyNumberFormat="1" applyFont="1" applyFill="1" applyBorder="1" applyAlignment="1" applyProtection="1">
      <alignment horizontal="center" vertical="top"/>
      <protection locked="0"/>
    </xf>
    <xf numFmtId="168" fontId="19" fillId="38" borderId="68" xfId="48" applyNumberFormat="1" applyFont="1" applyFill="1" applyBorder="1" applyAlignment="1" applyProtection="1">
      <alignment horizontal="center" vertical="top"/>
      <protection locked="0"/>
    </xf>
    <xf numFmtId="168" fontId="19" fillId="38" borderId="64" xfId="48" applyNumberFormat="1" applyFont="1" applyFill="1" applyBorder="1" applyAlignment="1" applyProtection="1">
      <alignment horizontal="center" vertical="top"/>
      <protection locked="0"/>
    </xf>
    <xf numFmtId="168" fontId="19" fillId="38" borderId="69" xfId="48" applyNumberFormat="1" applyFont="1" applyFill="1" applyBorder="1" applyAlignment="1" applyProtection="1">
      <alignment horizontal="center" vertical="top"/>
      <protection locked="0"/>
    </xf>
    <xf numFmtId="166" fontId="19" fillId="34" borderId="11" xfId="44" applyNumberFormat="1" applyFont="1" applyFill="1" applyBorder="1" applyAlignment="1" applyProtection="1">
      <alignment horizontal="right" vertical="top"/>
      <protection locked="0"/>
    </xf>
    <xf numFmtId="172" fontId="19" fillId="34" borderId="20" xfId="44" applyNumberFormat="1" applyFont="1" applyFill="1" applyBorder="1" applyAlignment="1" applyProtection="1">
      <alignment horizontal="right" vertical="top"/>
      <protection locked="0"/>
    </xf>
    <xf numFmtId="166" fontId="19" fillId="34" borderId="20" xfId="44" applyNumberFormat="1" applyFont="1" applyFill="1" applyBorder="1" applyAlignment="1" applyProtection="1">
      <alignment horizontal="right" vertical="top"/>
      <protection locked="0"/>
    </xf>
    <xf numFmtId="166" fontId="19" fillId="34" borderId="23" xfId="44" applyNumberFormat="1" applyFont="1" applyFill="1" applyBorder="1" applyAlignment="1" applyProtection="1">
      <alignment horizontal="right" vertical="top"/>
      <protection locked="0"/>
    </xf>
    <xf numFmtId="166" fontId="19" fillId="34" borderId="41" xfId="44" applyNumberFormat="1" applyFont="1" applyFill="1" applyBorder="1" applyAlignment="1" applyProtection="1">
      <alignment horizontal="right" vertical="top"/>
      <protection locked="0"/>
    </xf>
    <xf numFmtId="172" fontId="19" fillId="34" borderId="12" xfId="44" applyNumberFormat="1" applyFont="1" applyFill="1" applyBorder="1" applyAlignment="1" applyProtection="1">
      <alignment horizontal="right" vertical="top"/>
      <protection locked="0"/>
    </xf>
    <xf numFmtId="166" fontId="19" fillId="34" borderId="12" xfId="44" applyNumberFormat="1" applyFont="1" applyFill="1" applyBorder="1" applyAlignment="1" applyProtection="1">
      <alignment horizontal="right" vertical="top"/>
      <protection locked="0"/>
    </xf>
    <xf numFmtId="166" fontId="19" fillId="34" borderId="40" xfId="44" applyNumberFormat="1" applyFont="1" applyFill="1" applyBorder="1" applyAlignment="1" applyProtection="1">
      <alignment horizontal="right" vertical="top"/>
      <protection locked="0"/>
    </xf>
    <xf numFmtId="172" fontId="19" fillId="38" borderId="40" xfId="44" applyNumberFormat="1" applyFont="1" applyFill="1" applyBorder="1" applyAlignment="1" applyProtection="1">
      <alignment horizontal="right" vertical="top"/>
      <protection locked="0"/>
    </xf>
    <xf numFmtId="166" fontId="19" fillId="38" borderId="40" xfId="44" applyNumberFormat="1" applyFont="1" applyFill="1" applyBorder="1" applyAlignment="1" applyProtection="1">
      <alignment horizontal="right" vertical="top"/>
      <protection locked="0"/>
    </xf>
    <xf numFmtId="166" fontId="19" fillId="38" borderId="11" xfId="44" applyNumberFormat="1" applyFont="1" applyFill="1" applyBorder="1" applyAlignment="1" applyProtection="1">
      <alignment horizontal="right" vertical="top"/>
      <protection locked="0"/>
    </xf>
    <xf numFmtId="172" fontId="19" fillId="34" borderId="40" xfId="44" applyNumberFormat="1" applyFont="1" applyFill="1" applyBorder="1" applyAlignment="1" applyProtection="1">
      <alignment horizontal="right" vertical="top"/>
      <protection locked="0"/>
    </xf>
    <xf numFmtId="166" fontId="19" fillId="38" borderId="12" xfId="44" applyNumberFormat="1" applyFont="1" applyFill="1" applyBorder="1" applyAlignment="1" applyProtection="1">
      <alignment horizontal="right" vertical="top"/>
      <protection locked="0"/>
    </xf>
    <xf numFmtId="166" fontId="19" fillId="34" borderId="15" xfId="44" applyNumberFormat="1" applyFont="1" applyFill="1" applyBorder="1" applyAlignment="1" applyProtection="1">
      <alignment horizontal="right" vertical="top"/>
      <protection locked="0"/>
    </xf>
    <xf numFmtId="166" fontId="19" fillId="34" borderId="16" xfId="44" applyNumberFormat="1" applyFont="1" applyFill="1" applyBorder="1" applyAlignment="1" applyProtection="1">
      <alignment horizontal="right" vertical="top"/>
      <protection locked="0"/>
    </xf>
    <xf numFmtId="166" fontId="19" fillId="34" borderId="44" xfId="44" applyNumberFormat="1" applyFont="1" applyFill="1" applyBorder="1" applyAlignment="1" applyProtection="1">
      <alignment horizontal="right" vertical="top"/>
      <protection locked="0"/>
    </xf>
    <xf numFmtId="172" fontId="19" fillId="38" borderId="41" xfId="44" applyNumberFormat="1" applyFont="1" applyFill="1" applyBorder="1" applyAlignment="1" applyProtection="1">
      <alignment horizontal="right" vertical="top"/>
      <protection locked="0"/>
    </xf>
    <xf numFmtId="166" fontId="19" fillId="38" borderId="16" xfId="44" applyNumberFormat="1" applyFont="1" applyFill="1" applyBorder="1" applyAlignment="1" applyProtection="1">
      <alignment horizontal="right" vertical="top"/>
      <protection locked="0"/>
    </xf>
    <xf numFmtId="166" fontId="19" fillId="38" borderId="15" xfId="44" applyNumberFormat="1" applyFont="1" applyFill="1" applyBorder="1" applyAlignment="1" applyProtection="1">
      <alignment horizontal="right" vertical="top"/>
      <protection locked="0"/>
    </xf>
    <xf numFmtId="166" fontId="19" fillId="38" borderId="44" xfId="44" applyNumberFormat="1" applyFont="1" applyFill="1" applyBorder="1" applyAlignment="1" applyProtection="1">
      <alignment horizontal="right" vertical="top"/>
      <protection locked="0"/>
    </xf>
    <xf numFmtId="166" fontId="19" fillId="38" borderId="23" xfId="44" applyNumberFormat="1" applyFont="1" applyFill="1" applyBorder="1" applyAlignment="1" applyProtection="1">
      <alignment horizontal="right" vertical="top"/>
      <protection locked="0"/>
    </xf>
    <xf numFmtId="2" fontId="0" fillId="38" borderId="64" xfId="0" applyNumberFormat="1" applyFill="1" applyBorder="1" applyAlignment="1" applyProtection="1">
      <alignment horizontal="center"/>
      <protection locked="0"/>
    </xf>
    <xf numFmtId="0" fontId="31" fillId="40" borderId="0" xfId="45" quotePrefix="1" applyFont="1" applyFill="1" applyAlignment="1" applyProtection="1">
      <alignment horizontal="center" vertical="center"/>
      <protection locked="0"/>
    </xf>
    <xf numFmtId="0" fontId="13" fillId="37" borderId="10" xfId="0" applyFont="1" applyFill="1" applyBorder="1" applyProtection="1">
      <protection locked="0"/>
    </xf>
    <xf numFmtId="0" fontId="13" fillId="37" borderId="10" xfId="0" applyFont="1" applyFill="1" applyBorder="1" applyAlignment="1" applyProtection="1">
      <alignment horizontal="center"/>
      <protection locked="0"/>
    </xf>
    <xf numFmtId="0" fontId="16" fillId="0" borderId="10" xfId="0" applyFont="1" applyBorder="1" applyProtection="1">
      <protection locked="0"/>
    </xf>
    <xf numFmtId="0" fontId="0" fillId="0" borderId="10" xfId="0" applyBorder="1" applyProtection="1">
      <protection locked="0"/>
    </xf>
    <xf numFmtId="0" fontId="13" fillId="37" borderId="0" xfId="0" applyFont="1" applyFill="1" applyBorder="1" applyProtection="1">
      <protection locked="0"/>
    </xf>
    <xf numFmtId="0" fontId="17" fillId="37" borderId="0" xfId="0" applyFont="1" applyFill="1" applyProtection="1">
      <protection locked="0"/>
    </xf>
    <xf numFmtId="0" fontId="0" fillId="0" borderId="63" xfId="0" applyBorder="1" applyProtection="1">
      <protection locked="0"/>
    </xf>
    <xf numFmtId="0" fontId="0" fillId="0" borderId="64" xfId="0" applyBorder="1" applyProtection="1">
      <protection locked="0"/>
    </xf>
    <xf numFmtId="0" fontId="0" fillId="0" borderId="65" xfId="0" applyBorder="1" applyProtection="1">
      <protection locked="0"/>
    </xf>
    <xf numFmtId="0" fontId="13" fillId="37" borderId="0" xfId="0" applyFont="1" applyFill="1" applyProtection="1">
      <protection locked="0"/>
    </xf>
    <xf numFmtId="0" fontId="16" fillId="0" borderId="10" xfId="0" applyFont="1" applyBorder="1" applyAlignment="1" applyProtection="1">
      <alignment wrapText="1"/>
      <protection locked="0"/>
    </xf>
    <xf numFmtId="0" fontId="16" fillId="0" borderId="10" xfId="0" applyFont="1" applyBorder="1" applyAlignment="1" applyProtection="1">
      <alignment horizontal="center" wrapText="1"/>
      <protection locked="0"/>
    </xf>
    <xf numFmtId="0" fontId="16" fillId="0" borderId="0" xfId="0" applyFont="1" applyProtection="1">
      <protection locked="0"/>
    </xf>
    <xf numFmtId="0" fontId="13" fillId="37" borderId="0" xfId="0" applyFont="1" applyFill="1" applyAlignment="1" applyProtection="1">
      <alignment horizontal="center"/>
      <protection locked="0"/>
    </xf>
    <xf numFmtId="0" fontId="13" fillId="37" borderId="0" xfId="0" applyFont="1" applyFill="1" applyAlignment="1" applyProtection="1">
      <alignment wrapText="1"/>
      <protection locked="0"/>
    </xf>
    <xf numFmtId="0" fontId="13" fillId="37" borderId="10" xfId="0" applyFont="1" applyFill="1" applyBorder="1" applyAlignment="1" applyProtection="1">
      <alignment horizontal="center" wrapText="1"/>
      <protection locked="0"/>
    </xf>
    <xf numFmtId="0" fontId="0" fillId="0" borderId="80" xfId="0" applyBorder="1" applyProtection="1">
      <protection locked="0"/>
    </xf>
    <xf numFmtId="2" fontId="0" fillId="0" borderId="0" xfId="0" applyNumberFormat="1" applyProtection="1">
      <protection locked="0"/>
    </xf>
    <xf numFmtId="170" fontId="0" fillId="33" borderId="10" xfId="0" applyNumberFormat="1" applyFill="1" applyBorder="1" applyAlignment="1" applyProtection="1">
      <alignment horizontal="center"/>
    </xf>
    <xf numFmtId="0" fontId="16" fillId="36" borderId="0" xfId="0" applyFont="1" applyFill="1" applyProtection="1">
      <protection locked="0"/>
    </xf>
    <xf numFmtId="0" fontId="16" fillId="36" borderId="0" xfId="0" applyFont="1" applyFill="1" applyAlignment="1" applyProtection="1">
      <alignment wrapText="1"/>
      <protection locked="0"/>
    </xf>
    <xf numFmtId="0" fontId="16" fillId="0" borderId="0" xfId="0" applyFont="1" applyAlignment="1" applyProtection="1">
      <alignment wrapText="1"/>
      <protection locked="0"/>
    </xf>
    <xf numFmtId="0" fontId="18" fillId="36" borderId="0" xfId="46" applyFill="1" applyProtection="1">
      <protection locked="0"/>
    </xf>
    <xf numFmtId="0" fontId="22" fillId="36" borderId="42" xfId="46" applyFont="1" applyFill="1" applyBorder="1" applyAlignment="1" applyProtection="1">
      <alignment horizontal="center" vertical="center"/>
      <protection locked="0"/>
    </xf>
    <xf numFmtId="0" fontId="22" fillId="36" borderId="60" xfId="46" applyFont="1" applyFill="1" applyBorder="1" applyAlignment="1" applyProtection="1">
      <alignment horizontal="center" vertical="center"/>
      <protection locked="0"/>
    </xf>
    <xf numFmtId="0" fontId="22" fillId="36" borderId="31" xfId="46" applyFont="1" applyFill="1" applyBorder="1" applyAlignment="1" applyProtection="1">
      <alignment horizontal="center" vertical="center"/>
      <protection locked="0"/>
    </xf>
    <xf numFmtId="0" fontId="22" fillId="36" borderId="30" xfId="46" applyFont="1" applyFill="1" applyBorder="1" applyAlignment="1" applyProtection="1">
      <alignment horizontal="center" vertical="center"/>
      <protection locked="0"/>
    </xf>
    <xf numFmtId="0" fontId="19" fillId="36" borderId="28" xfId="46" applyFont="1" applyFill="1" applyBorder="1" applyAlignment="1" applyProtection="1">
      <alignment horizontal="center" wrapText="1"/>
      <protection locked="0"/>
    </xf>
    <xf numFmtId="0" fontId="19" fillId="36" borderId="27" xfId="46" applyFont="1" applyFill="1" applyBorder="1" applyAlignment="1" applyProtection="1">
      <alignment horizontal="center" wrapText="1"/>
      <protection locked="0"/>
    </xf>
    <xf numFmtId="0" fontId="19" fillId="36" borderId="53" xfId="46" applyFont="1" applyFill="1" applyBorder="1" applyAlignment="1" applyProtection="1">
      <alignment horizontal="center" wrapText="1"/>
      <protection locked="0"/>
    </xf>
    <xf numFmtId="0" fontId="19" fillId="36" borderId="24" xfId="46" applyFont="1" applyFill="1" applyBorder="1" applyAlignment="1" applyProtection="1">
      <alignment horizontal="left" vertical="top" wrapText="1"/>
      <protection locked="0"/>
    </xf>
    <xf numFmtId="166" fontId="19" fillId="36" borderId="20" xfId="46" applyNumberFormat="1" applyFont="1" applyFill="1" applyBorder="1" applyAlignment="1" applyProtection="1">
      <alignment horizontal="right" vertical="top"/>
      <protection locked="0"/>
    </xf>
    <xf numFmtId="166" fontId="19" fillId="36" borderId="23" xfId="46" applyNumberFormat="1" applyFont="1" applyFill="1" applyBorder="1" applyAlignment="1" applyProtection="1">
      <alignment horizontal="right" vertical="top"/>
      <protection locked="0"/>
    </xf>
    <xf numFmtId="166" fontId="19" fillId="36" borderId="41" xfId="46" applyNumberFormat="1" applyFont="1" applyFill="1" applyBorder="1" applyAlignment="1" applyProtection="1">
      <alignment horizontal="right" vertical="top"/>
      <protection locked="0"/>
    </xf>
    <xf numFmtId="0" fontId="19" fillId="36" borderId="55" xfId="46" applyFont="1" applyFill="1" applyBorder="1" applyAlignment="1" applyProtection="1">
      <alignment horizontal="left" vertical="top" wrapText="1"/>
      <protection locked="0"/>
    </xf>
    <xf numFmtId="166" fontId="19" fillId="36" borderId="56" xfId="46" applyNumberFormat="1" applyFont="1" applyFill="1" applyBorder="1" applyAlignment="1" applyProtection="1">
      <alignment horizontal="right" vertical="top"/>
      <protection locked="0"/>
    </xf>
    <xf numFmtId="166" fontId="19" fillId="36" borderId="57" xfId="46" applyNumberFormat="1" applyFont="1" applyFill="1" applyBorder="1" applyAlignment="1" applyProtection="1">
      <alignment horizontal="right" vertical="top"/>
      <protection locked="0"/>
    </xf>
    <xf numFmtId="166" fontId="19" fillId="36" borderId="58" xfId="46" applyNumberFormat="1" applyFont="1" applyFill="1" applyBorder="1" applyAlignment="1" applyProtection="1">
      <alignment horizontal="right" vertical="top"/>
      <protection locked="0"/>
    </xf>
    <xf numFmtId="1" fontId="0" fillId="36" borderId="0" xfId="0" applyNumberFormat="1" applyFill="1" applyProtection="1">
      <protection locked="0"/>
    </xf>
    <xf numFmtId="0" fontId="13" fillId="37" borderId="10" xfId="0" applyFont="1" applyFill="1" applyBorder="1" applyProtection="1"/>
    <xf numFmtId="0" fontId="13" fillId="37" borderId="10" xfId="0" applyFont="1" applyFill="1" applyBorder="1" applyAlignment="1" applyProtection="1">
      <alignment horizontal="center"/>
    </xf>
    <xf numFmtId="0" fontId="0" fillId="0" borderId="10" xfId="0" applyBorder="1" applyProtection="1"/>
    <xf numFmtId="0" fontId="0" fillId="36" borderId="0" xfId="0" applyFill="1" applyProtection="1"/>
    <xf numFmtId="0" fontId="13" fillId="37" borderId="0" xfId="0" applyFont="1" applyFill="1" applyBorder="1" applyProtection="1"/>
    <xf numFmtId="0" fontId="0" fillId="0" borderId="63" xfId="0" applyBorder="1" applyProtection="1"/>
    <xf numFmtId="0" fontId="0" fillId="0" borderId="64" xfId="0" applyBorder="1" applyProtection="1"/>
    <xf numFmtId="0" fontId="0" fillId="0" borderId="65" xfId="0" applyBorder="1" applyProtection="1"/>
    <xf numFmtId="0" fontId="0" fillId="0" borderId="0" xfId="0" applyProtection="1"/>
    <xf numFmtId="0" fontId="13" fillId="37" borderId="0" xfId="0" applyFont="1" applyFill="1" applyProtection="1"/>
    <xf numFmtId="0" fontId="13" fillId="37" borderId="10" xfId="0" applyFont="1" applyFill="1" applyBorder="1" applyAlignment="1" applyProtection="1">
      <alignment wrapText="1"/>
    </xf>
    <xf numFmtId="0" fontId="13" fillId="37" borderId="10" xfId="0" applyFont="1" applyFill="1" applyBorder="1" applyAlignment="1" applyProtection="1">
      <alignment horizontal="center" wrapText="1"/>
    </xf>
    <xf numFmtId="0" fontId="40" fillId="36" borderId="0" xfId="0" applyFont="1" applyFill="1" applyAlignment="1" applyProtection="1">
      <alignment horizontal="left" vertical="center" indent="1"/>
      <protection locked="0"/>
    </xf>
    <xf numFmtId="0" fontId="13" fillId="37" borderId="69" xfId="0" applyFont="1" applyFill="1" applyBorder="1" applyAlignment="1" applyProtection="1">
      <alignment horizontal="center"/>
      <protection locked="0"/>
    </xf>
    <xf numFmtId="0" fontId="13" fillId="37" borderId="66" xfId="0" applyFont="1" applyFill="1" applyBorder="1" applyAlignment="1" applyProtection="1">
      <alignment horizontal="center"/>
      <protection locked="0"/>
    </xf>
    <xf numFmtId="0" fontId="13" fillId="37" borderId="67" xfId="0" applyFont="1" applyFill="1" applyBorder="1" applyAlignment="1" applyProtection="1">
      <alignment horizontal="center"/>
      <protection locked="0"/>
    </xf>
    <xf numFmtId="0" fontId="13" fillId="37" borderId="75" xfId="0" applyFont="1" applyFill="1" applyBorder="1" applyAlignment="1" applyProtection="1">
      <alignment horizontal="center"/>
      <protection locked="0"/>
    </xf>
    <xf numFmtId="2" fontId="0" fillId="36" borderId="0" xfId="0" applyNumberFormat="1" applyFill="1" applyBorder="1" applyAlignment="1" applyProtection="1">
      <alignment horizontal="center"/>
      <protection locked="0"/>
    </xf>
    <xf numFmtId="2" fontId="17" fillId="37" borderId="0" xfId="0" applyNumberFormat="1" applyFont="1" applyFill="1" applyBorder="1" applyAlignment="1" applyProtection="1">
      <alignment horizontal="center"/>
      <protection locked="0"/>
    </xf>
    <xf numFmtId="0" fontId="0" fillId="36" borderId="0" xfId="0" applyFill="1" applyAlignment="1" applyProtection="1">
      <alignment horizontal="center"/>
      <protection locked="0"/>
    </xf>
    <xf numFmtId="170" fontId="0" fillId="36" borderId="0" xfId="0" applyNumberFormat="1" applyFill="1" applyAlignment="1" applyProtection="1">
      <alignment horizontal="center"/>
      <protection locked="0"/>
    </xf>
    <xf numFmtId="0" fontId="36" fillId="0" borderId="0" xfId="0" applyFont="1" applyProtection="1">
      <protection locked="0"/>
    </xf>
    <xf numFmtId="0" fontId="0" fillId="0" borderId="0" xfId="0" applyFont="1" applyProtection="1">
      <protection locked="0"/>
    </xf>
    <xf numFmtId="49" fontId="0" fillId="0" borderId="0" xfId="0" applyNumberFormat="1" applyProtection="1">
      <protection locked="0"/>
    </xf>
    <xf numFmtId="49" fontId="0" fillId="0" borderId="0" xfId="0" applyNumberFormat="1" applyFont="1" applyProtection="1">
      <protection locked="0"/>
    </xf>
    <xf numFmtId="0" fontId="0" fillId="0" borderId="0" xfId="0" applyAlignment="1" applyProtection="1">
      <alignment horizontal="center"/>
      <protection locked="0"/>
    </xf>
    <xf numFmtId="170" fontId="0" fillId="0" borderId="0" xfId="0" applyNumberFormat="1" applyAlignment="1" applyProtection="1">
      <alignment horizontal="center"/>
      <protection locked="0"/>
    </xf>
    <xf numFmtId="0" fontId="40" fillId="0" borderId="0" xfId="0" applyFont="1" applyAlignment="1" applyProtection="1">
      <alignment horizontal="left" vertical="center" indent="1"/>
      <protection locked="0"/>
    </xf>
    <xf numFmtId="0" fontId="39" fillId="40" borderId="0" xfId="45" quotePrefix="1" applyFont="1" applyFill="1" applyAlignment="1" applyProtection="1">
      <alignment horizontal="left" vertical="center"/>
    </xf>
    <xf numFmtId="0" fontId="27" fillId="36" borderId="0" xfId="0" applyFont="1" applyFill="1" applyProtection="1"/>
    <xf numFmtId="0" fontId="13" fillId="37" borderId="63" xfId="0" applyFont="1" applyFill="1" applyBorder="1" applyProtection="1"/>
    <xf numFmtId="0" fontId="0" fillId="36" borderId="63" xfId="0" applyFill="1" applyBorder="1" applyProtection="1"/>
    <xf numFmtId="0" fontId="0" fillId="36" borderId="64" xfId="0" applyFill="1" applyBorder="1" applyProtection="1"/>
    <xf numFmtId="0" fontId="0" fillId="36" borderId="65" xfId="0" applyFill="1" applyBorder="1" applyProtection="1"/>
    <xf numFmtId="0" fontId="13" fillId="37" borderId="64" xfId="0" applyFont="1" applyFill="1" applyBorder="1" applyProtection="1"/>
    <xf numFmtId="0" fontId="27" fillId="0" borderId="0" xfId="0" applyFont="1" applyProtection="1"/>
    <xf numFmtId="0" fontId="44" fillId="37" borderId="10" xfId="0" applyFont="1" applyFill="1" applyBorder="1" applyAlignment="1">
      <alignment horizontal="center"/>
    </xf>
    <xf numFmtId="0" fontId="14" fillId="33" borderId="10" xfId="0" applyFont="1" applyFill="1" applyBorder="1" applyAlignment="1" applyProtection="1">
      <alignment horizontal="center"/>
      <protection locked="0"/>
    </xf>
    <xf numFmtId="1" fontId="14" fillId="33" borderId="10" xfId="0" applyNumberFormat="1" applyFont="1" applyFill="1" applyBorder="1" applyAlignment="1" applyProtection="1">
      <alignment horizontal="center"/>
      <protection locked="0"/>
    </xf>
    <xf numFmtId="0" fontId="44" fillId="37" borderId="10" xfId="0" applyFont="1" applyFill="1" applyBorder="1" applyAlignment="1" applyProtection="1">
      <alignment horizontal="center"/>
    </xf>
    <xf numFmtId="0" fontId="44" fillId="37" borderId="10" xfId="0" applyFont="1" applyFill="1" applyBorder="1" applyAlignment="1" applyProtection="1">
      <alignment horizontal="right"/>
      <protection locked="0"/>
    </xf>
    <xf numFmtId="170" fontId="14" fillId="33" borderId="10" xfId="0" applyNumberFormat="1" applyFont="1" applyFill="1" applyBorder="1" applyAlignment="1" applyProtection="1">
      <alignment horizontal="right"/>
      <protection locked="0"/>
    </xf>
    <xf numFmtId="0" fontId="14" fillId="33" borderId="10" xfId="0" applyFont="1" applyFill="1" applyBorder="1" applyAlignment="1" applyProtection="1">
      <alignment horizontal="right"/>
      <protection locked="0"/>
    </xf>
    <xf numFmtId="0" fontId="14" fillId="0" borderId="0" xfId="0" applyFont="1" applyAlignment="1" applyProtection="1">
      <alignment horizontal="right"/>
      <protection locked="0"/>
    </xf>
    <xf numFmtId="1" fontId="14" fillId="33" borderId="10" xfId="0" applyNumberFormat="1" applyFont="1" applyFill="1" applyBorder="1" applyAlignment="1" applyProtection="1">
      <alignment horizontal="right"/>
      <protection locked="0"/>
    </xf>
    <xf numFmtId="0" fontId="14" fillId="36" borderId="0" xfId="0" applyFont="1" applyFill="1" applyAlignment="1" applyProtection="1">
      <alignment horizontal="right"/>
      <protection locked="0"/>
    </xf>
    <xf numFmtId="0" fontId="44" fillId="37" borderId="10" xfId="0" applyFont="1" applyFill="1" applyBorder="1" applyAlignment="1">
      <alignment horizontal="right"/>
    </xf>
    <xf numFmtId="1" fontId="14" fillId="0" borderId="0" xfId="0" applyNumberFormat="1" applyFont="1" applyAlignment="1">
      <alignment horizontal="right"/>
    </xf>
    <xf numFmtId="0" fontId="13" fillId="37" borderId="76" xfId="0" applyFont="1" applyFill="1" applyBorder="1" applyAlignment="1">
      <alignment horizontal="center"/>
    </xf>
    <xf numFmtId="1" fontId="0" fillId="0" borderId="0" xfId="0" applyNumberFormat="1" applyFill="1" applyBorder="1" applyAlignment="1" applyProtection="1">
      <alignment horizontal="right"/>
      <protection locked="0"/>
    </xf>
    <xf numFmtId="1" fontId="0" fillId="0" borderId="0" xfId="0" applyNumberFormat="1" applyFill="1" applyAlignment="1">
      <alignment horizontal="right"/>
    </xf>
    <xf numFmtId="9" fontId="0" fillId="0" borderId="0" xfId="42" applyNumberFormat="1" applyFont="1"/>
    <xf numFmtId="2" fontId="14" fillId="38" borderId="10" xfId="0" applyNumberFormat="1" applyFont="1" applyFill="1" applyBorder="1" applyAlignment="1" applyProtection="1">
      <alignment horizontal="center"/>
      <protection locked="0"/>
    </xf>
    <xf numFmtId="0" fontId="44" fillId="0" borderId="0" xfId="0" applyFont="1"/>
    <xf numFmtId="1" fontId="14" fillId="0" borderId="0" xfId="0" applyNumberFormat="1" applyFont="1"/>
    <xf numFmtId="0" fontId="14" fillId="0" borderId="0" xfId="0" applyFont="1"/>
    <xf numFmtId="2" fontId="0" fillId="0" borderId="0" xfId="0" applyNumberFormat="1"/>
    <xf numFmtId="2" fontId="14" fillId="38" borderId="67" xfId="0" applyNumberFormat="1" applyFont="1" applyFill="1" applyBorder="1" applyAlignment="1" applyProtection="1">
      <alignment horizontal="center"/>
      <protection locked="0"/>
    </xf>
    <xf numFmtId="2" fontId="14" fillId="38" borderId="0" xfId="0" applyNumberFormat="1" applyFont="1" applyFill="1" applyBorder="1" applyAlignment="1" applyProtection="1">
      <alignment horizontal="center"/>
      <protection locked="0"/>
    </xf>
    <xf numFmtId="2" fontId="14" fillId="38" borderId="68" xfId="0" applyNumberFormat="1" applyFont="1" applyFill="1" applyBorder="1" applyAlignment="1" applyProtection="1">
      <alignment horizontal="center"/>
      <protection locked="0"/>
    </xf>
    <xf numFmtId="173" fontId="14" fillId="33" borderId="10" xfId="51" applyNumberFormat="1" applyFont="1" applyFill="1" applyBorder="1" applyAlignment="1" applyProtection="1">
      <alignment horizontal="right"/>
      <protection locked="0"/>
    </xf>
    <xf numFmtId="173" fontId="0" fillId="33" borderId="10" xfId="51" applyNumberFormat="1" applyFont="1" applyFill="1" applyBorder="1" applyAlignment="1" applyProtection="1">
      <alignment horizontal="center"/>
      <protection locked="0"/>
    </xf>
    <xf numFmtId="2" fontId="14" fillId="38" borderId="67" xfId="0" applyNumberFormat="1" applyFont="1" applyFill="1" applyBorder="1" applyAlignment="1" applyProtection="1">
      <alignment horizontal="right"/>
      <protection locked="0"/>
    </xf>
    <xf numFmtId="2" fontId="14" fillId="38" borderId="0" xfId="0" applyNumberFormat="1" applyFont="1" applyFill="1" applyBorder="1" applyAlignment="1" applyProtection="1">
      <alignment horizontal="right"/>
      <protection locked="0"/>
    </xf>
    <xf numFmtId="2" fontId="14" fillId="38" borderId="68" xfId="0" applyNumberFormat="1" applyFont="1" applyFill="1" applyBorder="1" applyAlignment="1" applyProtection="1">
      <alignment horizontal="right"/>
      <protection locked="0"/>
    </xf>
    <xf numFmtId="0" fontId="45" fillId="0" borderId="64" xfId="48" applyFont="1" applyBorder="1" applyAlignment="1">
      <alignment horizontal="left" vertical="top" wrapText="1"/>
    </xf>
    <xf numFmtId="168" fontId="46" fillId="38" borderId="10" xfId="49" applyNumberFormat="1" applyFont="1" applyFill="1" applyBorder="1" applyAlignment="1" applyProtection="1">
      <alignment horizontal="center" vertical="top"/>
      <protection locked="0"/>
    </xf>
    <xf numFmtId="168" fontId="45" fillId="38" borderId="10" xfId="49" applyNumberFormat="1" applyFont="1" applyFill="1" applyBorder="1" applyAlignment="1" applyProtection="1">
      <alignment horizontal="center" vertical="top"/>
      <protection locked="0"/>
    </xf>
    <xf numFmtId="168" fontId="48" fillId="38" borderId="10" xfId="49" applyNumberFormat="1" applyFont="1" applyFill="1" applyBorder="1" applyAlignment="1" applyProtection="1">
      <alignment horizontal="center" vertical="top"/>
      <protection locked="0"/>
    </xf>
    <xf numFmtId="168" fontId="25" fillId="38" borderId="10" xfId="49" applyNumberFormat="1" applyFont="1" applyFill="1" applyBorder="1" applyAlignment="1" applyProtection="1">
      <alignment horizontal="center" vertical="top"/>
      <protection locked="0"/>
    </xf>
    <xf numFmtId="166" fontId="45" fillId="38" borderId="11" xfId="44" applyNumberFormat="1" applyFont="1" applyFill="1" applyBorder="1" applyAlignment="1" applyProtection="1">
      <alignment horizontal="right" vertical="top"/>
      <protection locked="0"/>
    </xf>
    <xf numFmtId="166" fontId="45" fillId="38" borderId="15" xfId="44" applyNumberFormat="1" applyFont="1" applyFill="1" applyBorder="1" applyAlignment="1" applyProtection="1">
      <alignment horizontal="right" vertical="top"/>
      <protection locked="0"/>
    </xf>
    <xf numFmtId="166" fontId="47" fillId="38" borderId="15" xfId="44" applyNumberFormat="1" applyFont="1" applyFill="1" applyBorder="1" applyAlignment="1" applyProtection="1">
      <alignment horizontal="right" vertical="top"/>
      <protection locked="0"/>
    </xf>
    <xf numFmtId="166" fontId="47" fillId="38" borderId="11" xfId="44" applyNumberFormat="1" applyFont="1" applyFill="1" applyBorder="1" applyAlignment="1" applyProtection="1">
      <alignment horizontal="right" vertical="top"/>
      <protection locked="0"/>
    </xf>
    <xf numFmtId="2" fontId="14" fillId="38" borderId="63" xfId="0" applyNumberFormat="1" applyFont="1" applyFill="1" applyBorder="1" applyAlignment="1" applyProtection="1">
      <alignment horizontal="center"/>
      <protection locked="0"/>
    </xf>
    <xf numFmtId="2" fontId="14" fillId="38" borderId="64" xfId="0" applyNumberFormat="1" applyFont="1" applyFill="1" applyBorder="1" applyAlignment="1" applyProtection="1">
      <alignment horizontal="center"/>
      <protection locked="0"/>
    </xf>
    <xf numFmtId="2" fontId="14" fillId="38" borderId="65" xfId="0" applyNumberFormat="1" applyFont="1" applyFill="1" applyBorder="1" applyAlignment="1" applyProtection="1">
      <alignment horizontal="center"/>
      <protection locked="0"/>
    </xf>
    <xf numFmtId="173" fontId="0" fillId="0" borderId="0" xfId="51" applyNumberFormat="1" applyFont="1"/>
    <xf numFmtId="166" fontId="45" fillId="38" borderId="44" xfId="44" applyNumberFormat="1" applyFont="1" applyFill="1" applyBorder="1" applyAlignment="1" applyProtection="1">
      <alignment horizontal="right" vertical="top"/>
      <protection locked="0"/>
    </xf>
    <xf numFmtId="166" fontId="19" fillId="34" borderId="88" xfId="44" applyNumberFormat="1" applyFont="1" applyFill="1" applyBorder="1" applyAlignment="1" applyProtection="1">
      <alignment horizontal="right" vertical="top"/>
      <protection locked="0"/>
    </xf>
    <xf numFmtId="166" fontId="19" fillId="34" borderId="89" xfId="44" applyNumberFormat="1" applyFont="1" applyFill="1" applyBorder="1" applyAlignment="1" applyProtection="1">
      <alignment horizontal="right" vertical="top"/>
      <protection locked="0"/>
    </xf>
    <xf numFmtId="166" fontId="19" fillId="38" borderId="89" xfId="44" applyNumberFormat="1" applyFont="1" applyFill="1" applyBorder="1" applyAlignment="1" applyProtection="1">
      <alignment horizontal="right" vertical="top"/>
      <protection locked="0"/>
    </xf>
    <xf numFmtId="166" fontId="45" fillId="38" borderId="72" xfId="44" applyNumberFormat="1" applyFont="1" applyFill="1" applyBorder="1" applyAlignment="1" applyProtection="1">
      <alignment horizontal="right" vertical="top"/>
      <protection locked="0"/>
    </xf>
    <xf numFmtId="166" fontId="45" fillId="38" borderId="71" xfId="44" applyNumberFormat="1" applyFont="1" applyFill="1" applyBorder="1" applyAlignment="1" applyProtection="1">
      <alignment horizontal="right" vertical="top"/>
      <protection locked="0"/>
    </xf>
    <xf numFmtId="166" fontId="48" fillId="38" borderId="11" xfId="44" applyNumberFormat="1" applyFont="1" applyFill="1" applyBorder="1" applyAlignment="1" applyProtection="1">
      <alignment horizontal="right" vertical="top"/>
      <protection locked="0"/>
    </xf>
    <xf numFmtId="2" fontId="0" fillId="0" borderId="0" xfId="42" applyNumberFormat="1" applyFont="1"/>
    <xf numFmtId="166" fontId="45" fillId="38" borderId="16" xfId="44" applyNumberFormat="1" applyFont="1" applyFill="1" applyBorder="1" applyAlignment="1" applyProtection="1">
      <alignment horizontal="right" vertical="top"/>
      <protection locked="0"/>
    </xf>
    <xf numFmtId="166" fontId="45" fillId="38" borderId="88" xfId="44" applyNumberFormat="1" applyFont="1" applyFill="1" applyBorder="1" applyAlignment="1" applyProtection="1">
      <alignment horizontal="right" vertical="top"/>
      <protection locked="0"/>
    </xf>
    <xf numFmtId="168" fontId="45" fillId="38" borderId="41" xfId="44" applyNumberFormat="1" applyFont="1" applyFill="1" applyBorder="1" applyAlignment="1" applyProtection="1">
      <alignment horizontal="right" vertical="top"/>
      <protection locked="0"/>
    </xf>
    <xf numFmtId="166" fontId="45" fillId="38" borderId="12" xfId="44" applyNumberFormat="1" applyFont="1" applyFill="1" applyBorder="1" applyAlignment="1" applyProtection="1">
      <alignment horizontal="right" vertical="top"/>
      <protection locked="0"/>
    </xf>
    <xf numFmtId="166" fontId="48" fillId="38" borderId="16" xfId="44" applyNumberFormat="1" applyFont="1" applyFill="1" applyBorder="1" applyAlignment="1" applyProtection="1">
      <alignment horizontal="right" vertical="top"/>
      <protection locked="0"/>
    </xf>
    <xf numFmtId="0" fontId="0" fillId="36" borderId="68" xfId="0" applyFill="1" applyBorder="1" applyAlignment="1">
      <alignment wrapText="1"/>
    </xf>
    <xf numFmtId="0" fontId="0" fillId="36" borderId="65" xfId="0" applyFill="1" applyBorder="1" applyAlignment="1">
      <alignment wrapText="1"/>
    </xf>
    <xf numFmtId="0" fontId="0" fillId="44" borderId="65" xfId="0" applyFill="1" applyBorder="1" applyAlignment="1">
      <alignment wrapText="1"/>
    </xf>
    <xf numFmtId="0" fontId="0" fillId="44" borderId="68" xfId="0" applyFill="1" applyBorder="1" applyAlignment="1">
      <alignment wrapText="1"/>
    </xf>
    <xf numFmtId="2" fontId="16" fillId="35" borderId="0" xfId="0" applyNumberFormat="1" applyFont="1" applyFill="1" applyBorder="1" applyAlignment="1" applyProtection="1">
      <alignment horizontal="center"/>
      <protection locked="0"/>
    </xf>
    <xf numFmtId="2" fontId="16" fillId="35" borderId="68" xfId="0" applyNumberFormat="1" applyFont="1" applyFill="1" applyBorder="1" applyAlignment="1" applyProtection="1">
      <alignment horizontal="center"/>
      <protection locked="0"/>
    </xf>
    <xf numFmtId="2" fontId="16" fillId="35" borderId="67" xfId="0" applyNumberFormat="1" applyFont="1" applyFill="1" applyBorder="1" applyAlignment="1" applyProtection="1">
      <alignment horizontal="center"/>
      <protection locked="0"/>
    </xf>
    <xf numFmtId="2" fontId="16" fillId="36" borderId="0" xfId="0" applyNumberFormat="1" applyFont="1" applyFill="1" applyBorder="1" applyAlignment="1" applyProtection="1">
      <alignment horizontal="center"/>
      <protection locked="0"/>
    </xf>
    <xf numFmtId="2" fontId="13" fillId="37" borderId="0" xfId="0" applyNumberFormat="1" applyFont="1" applyFill="1" applyBorder="1" applyAlignment="1" applyProtection="1">
      <alignment horizontal="center"/>
      <protection locked="0"/>
    </xf>
    <xf numFmtId="2" fontId="0" fillId="35" borderId="78" xfId="0" applyNumberFormat="1" applyFill="1" applyBorder="1" applyAlignment="1" applyProtection="1">
      <alignment horizontal="center"/>
      <protection locked="0"/>
    </xf>
    <xf numFmtId="0" fontId="13" fillId="37" borderId="0" xfId="0" applyFont="1" applyFill="1" applyBorder="1" applyAlignment="1" applyProtection="1">
      <alignment horizontal="center"/>
      <protection locked="0"/>
    </xf>
    <xf numFmtId="3" fontId="0" fillId="0" borderId="0" xfId="0" applyNumberFormat="1"/>
    <xf numFmtId="0" fontId="0" fillId="45" borderId="0" xfId="0" applyFill="1"/>
    <xf numFmtId="3" fontId="0" fillId="45" borderId="0" xfId="0" applyNumberFormat="1" applyFill="1"/>
    <xf numFmtId="173" fontId="0" fillId="45" borderId="0" xfId="51" applyNumberFormat="1" applyFont="1" applyFill="1"/>
    <xf numFmtId="0" fontId="49" fillId="42" borderId="0" xfId="0" applyFont="1" applyFill="1"/>
    <xf numFmtId="0" fontId="0" fillId="43" borderId="10" xfId="0" applyFill="1" applyBorder="1"/>
    <xf numFmtId="0" fontId="0" fillId="46" borderId="10" xfId="0" applyFill="1" applyBorder="1"/>
    <xf numFmtId="0" fontId="34" fillId="36" borderId="0" xfId="0" applyFont="1" applyFill="1" applyBorder="1" applyAlignment="1">
      <alignment horizontal="center"/>
    </xf>
    <xf numFmtId="0" fontId="43" fillId="36" borderId="84" xfId="0" applyFont="1" applyFill="1" applyBorder="1" applyAlignment="1">
      <alignment horizontal="left" vertical="center" wrapText="1"/>
    </xf>
    <xf numFmtId="0" fontId="31" fillId="39" borderId="84" xfId="0" applyFont="1" applyFill="1" applyBorder="1" applyAlignment="1">
      <alignment horizontal="center"/>
    </xf>
    <xf numFmtId="0" fontId="30" fillId="36" borderId="0" xfId="0" applyFont="1" applyFill="1" applyBorder="1" applyAlignment="1">
      <alignment horizontal="right" wrapText="1"/>
    </xf>
    <xf numFmtId="0" fontId="27" fillId="36" borderId="0" xfId="0" applyFont="1" applyFill="1" applyBorder="1" applyAlignment="1">
      <alignment horizontal="right" wrapText="1"/>
    </xf>
    <xf numFmtId="0" fontId="16" fillId="0" borderId="0" xfId="0" applyFont="1" applyAlignment="1" applyProtection="1">
      <alignment horizontal="center"/>
      <protection locked="0"/>
    </xf>
    <xf numFmtId="0" fontId="19" fillId="0" borderId="39" xfId="43" applyFont="1" applyBorder="1" applyAlignment="1">
      <alignment horizontal="left" vertical="top" wrapText="1"/>
    </xf>
    <xf numFmtId="0" fontId="20" fillId="0" borderId="29" xfId="43" applyFont="1" applyBorder="1" applyAlignment="1">
      <alignment horizontal="center" vertical="center"/>
    </xf>
    <xf numFmtId="0" fontId="19" fillId="0" borderId="42" xfId="43" applyFont="1" applyBorder="1" applyAlignment="1">
      <alignment horizontal="left" vertical="top" wrapText="1"/>
    </xf>
    <xf numFmtId="0" fontId="20" fillId="0" borderId="14" xfId="43" applyFont="1" applyBorder="1" applyAlignment="1">
      <alignment horizontal="center" vertical="center"/>
    </xf>
    <xf numFmtId="0" fontId="19" fillId="36" borderId="39" xfId="43" applyFont="1" applyFill="1" applyBorder="1" applyAlignment="1">
      <alignment horizontal="left" vertical="top" wrapText="1"/>
    </xf>
    <xf numFmtId="0" fontId="20" fillId="36" borderId="29" xfId="43" applyFont="1" applyFill="1" applyBorder="1" applyAlignment="1">
      <alignment horizontal="center" vertical="center"/>
    </xf>
    <xf numFmtId="0" fontId="20" fillId="36" borderId="0" xfId="43" applyFont="1" applyFill="1" applyBorder="1" applyAlignment="1">
      <alignment horizontal="center" vertical="center" wrapText="1"/>
    </xf>
    <xf numFmtId="0" fontId="20" fillId="36" borderId="0" xfId="43" applyFont="1" applyFill="1" applyBorder="1" applyAlignment="1">
      <alignment horizontal="center" vertical="center"/>
    </xf>
    <xf numFmtId="0" fontId="19" fillId="36" borderId="42" xfId="43" applyFont="1" applyFill="1" applyBorder="1" applyAlignment="1">
      <alignment horizontal="left" vertical="top" wrapText="1"/>
    </xf>
    <xf numFmtId="0" fontId="20" fillId="36" borderId="14" xfId="43" applyFont="1" applyFill="1" applyBorder="1" applyAlignment="1">
      <alignment horizontal="center" vertical="center"/>
    </xf>
    <xf numFmtId="0" fontId="19" fillId="0" borderId="0" xfId="43" applyFont="1" applyBorder="1" applyAlignment="1">
      <alignment horizontal="left"/>
    </xf>
    <xf numFmtId="0" fontId="20" fillId="0" borderId="0" xfId="43" applyFont="1" applyBorder="1" applyAlignment="1">
      <alignment horizontal="center" vertical="center"/>
    </xf>
    <xf numFmtId="0" fontId="19" fillId="36" borderId="0" xfId="43" applyFont="1" applyFill="1" applyBorder="1" applyAlignment="1">
      <alignment horizontal="left"/>
    </xf>
    <xf numFmtId="0" fontId="19" fillId="36" borderId="33" xfId="43" applyFont="1" applyFill="1" applyBorder="1" applyAlignment="1">
      <alignment horizontal="center" wrapText="1"/>
    </xf>
    <xf numFmtId="0" fontId="20" fillId="36" borderId="25" xfId="43" applyFont="1" applyFill="1" applyBorder="1" applyAlignment="1">
      <alignment horizontal="center" vertical="center"/>
    </xf>
    <xf numFmtId="0" fontId="20" fillId="36" borderId="32" xfId="43" applyFont="1" applyFill="1" applyBorder="1" applyAlignment="1">
      <alignment horizontal="center" vertical="center"/>
    </xf>
    <xf numFmtId="0" fontId="19" fillId="36" borderId="43" xfId="43" applyFont="1" applyFill="1" applyBorder="1" applyAlignment="1">
      <alignment horizontal="center" wrapText="1"/>
    </xf>
    <xf numFmtId="0" fontId="20" fillId="36" borderId="52" xfId="43" applyFont="1" applyFill="1" applyBorder="1" applyAlignment="1">
      <alignment horizontal="center" vertical="center"/>
    </xf>
    <xf numFmtId="0" fontId="20" fillId="0" borderId="0" xfId="43" applyFont="1" applyBorder="1" applyAlignment="1">
      <alignment horizontal="center" vertical="center" wrapText="1"/>
    </xf>
    <xf numFmtId="0" fontId="19" fillId="0" borderId="33" xfId="43" applyFont="1" applyBorder="1" applyAlignment="1">
      <alignment horizontal="center" wrapText="1"/>
    </xf>
    <xf numFmtId="0" fontId="20" fillId="0" borderId="25" xfId="43" applyFont="1" applyBorder="1" applyAlignment="1">
      <alignment horizontal="center" vertical="center"/>
    </xf>
    <xf numFmtId="0" fontId="20" fillId="0" borderId="32" xfId="43" applyFont="1" applyBorder="1" applyAlignment="1">
      <alignment horizontal="center" vertical="center"/>
    </xf>
    <xf numFmtId="0" fontId="19" fillId="0" borderId="43" xfId="43" applyFont="1" applyBorder="1" applyAlignment="1">
      <alignment horizontal="center" wrapText="1"/>
    </xf>
    <xf numFmtId="0" fontId="20" fillId="0" borderId="52" xfId="43" applyFont="1" applyBorder="1" applyAlignment="1">
      <alignment horizontal="center" vertical="center"/>
    </xf>
    <xf numFmtId="0" fontId="19" fillId="0" borderId="39" xfId="50" applyFont="1" applyBorder="1" applyAlignment="1">
      <alignment horizontal="left" vertical="top" wrapText="1"/>
    </xf>
    <xf numFmtId="0" fontId="20" fillId="0" borderId="29" xfId="50" applyFont="1" applyBorder="1" applyAlignment="1">
      <alignment horizontal="center" vertical="center"/>
    </xf>
    <xf numFmtId="0" fontId="20" fillId="0" borderId="0" xfId="50" applyFont="1" applyBorder="1" applyAlignment="1">
      <alignment horizontal="center" vertical="center" wrapText="1"/>
    </xf>
    <xf numFmtId="0" fontId="20" fillId="0" borderId="0" xfId="50" applyFont="1" applyBorder="1" applyAlignment="1">
      <alignment horizontal="center" vertical="center"/>
    </xf>
    <xf numFmtId="0" fontId="19" fillId="0" borderId="0" xfId="50" applyFont="1" applyBorder="1" applyAlignment="1">
      <alignment horizontal="left"/>
    </xf>
    <xf numFmtId="0" fontId="19" fillId="0" borderId="33" xfId="50" applyFont="1" applyBorder="1" applyAlignment="1">
      <alignment horizontal="center" wrapText="1"/>
    </xf>
    <xf numFmtId="0" fontId="20" fillId="0" borderId="25" xfId="50" applyFont="1" applyBorder="1" applyAlignment="1">
      <alignment horizontal="center" vertical="center"/>
    </xf>
    <xf numFmtId="0" fontId="20" fillId="0" borderId="32" xfId="50" applyFont="1" applyBorder="1" applyAlignment="1">
      <alignment horizontal="center" vertical="center"/>
    </xf>
    <xf numFmtId="0" fontId="19" fillId="0" borderId="43" xfId="50" applyFont="1" applyBorder="1" applyAlignment="1">
      <alignment horizontal="center" wrapText="1"/>
    </xf>
    <xf numFmtId="0" fontId="20" fillId="0" borderId="52" xfId="50" applyFont="1" applyBorder="1" applyAlignment="1">
      <alignment horizontal="center" vertical="center"/>
    </xf>
    <xf numFmtId="0" fontId="19" fillId="0" borderId="42" xfId="50" applyFont="1" applyBorder="1" applyAlignment="1">
      <alignment horizontal="left" vertical="top" wrapText="1"/>
    </xf>
    <xf numFmtId="0" fontId="20" fillId="0" borderId="14" xfId="50" applyFont="1" applyBorder="1" applyAlignment="1">
      <alignment horizontal="center" vertical="center"/>
    </xf>
    <xf numFmtId="0" fontId="19" fillId="36" borderId="25" xfId="46" applyFont="1" applyFill="1" applyBorder="1" applyAlignment="1" applyProtection="1">
      <alignment horizontal="left" vertical="top" wrapText="1"/>
      <protection locked="0"/>
    </xf>
    <xf numFmtId="0" fontId="22" fillId="36" borderId="59" xfId="46" applyFont="1" applyFill="1" applyBorder="1" applyAlignment="1" applyProtection="1">
      <alignment horizontal="center" vertical="center"/>
      <protection locked="0"/>
    </xf>
    <xf numFmtId="0" fontId="22" fillId="36" borderId="0" xfId="46" applyFont="1" applyFill="1" applyBorder="1" applyAlignment="1" applyProtection="1">
      <alignment horizontal="center" vertical="center" wrapText="1"/>
      <protection locked="0"/>
    </xf>
    <xf numFmtId="0" fontId="22" fillId="36" borderId="0" xfId="46" applyFont="1" applyFill="1" applyBorder="1" applyAlignment="1" applyProtection="1">
      <alignment horizontal="center" vertical="center"/>
      <protection locked="0"/>
    </xf>
    <xf numFmtId="0" fontId="19" fillId="36" borderId="34" xfId="46" applyFont="1" applyFill="1" applyBorder="1" applyAlignment="1" applyProtection="1">
      <alignment horizontal="left" wrapText="1"/>
      <protection locked="0"/>
    </xf>
    <xf numFmtId="0" fontId="22" fillId="36" borderId="29" xfId="46" applyFont="1" applyFill="1" applyBorder="1" applyAlignment="1" applyProtection="1">
      <alignment horizontal="center" vertical="center"/>
      <protection locked="0"/>
    </xf>
    <xf numFmtId="0" fontId="19" fillId="36" borderId="61" xfId="46" applyFont="1" applyFill="1" applyBorder="1" applyAlignment="1" applyProtection="1">
      <alignment horizontal="center" wrapText="1"/>
      <protection locked="0"/>
    </xf>
    <xf numFmtId="0" fontId="22" fillId="36" borderId="60" xfId="46" applyFont="1" applyFill="1" applyBorder="1" applyAlignment="1" applyProtection="1">
      <alignment horizontal="center" vertical="center"/>
      <protection locked="0"/>
    </xf>
    <xf numFmtId="0" fontId="22" fillId="36" borderId="24" xfId="46" applyFont="1" applyFill="1" applyBorder="1" applyAlignment="1" applyProtection="1">
      <alignment horizontal="center" vertical="center"/>
      <protection locked="0"/>
    </xf>
    <xf numFmtId="0" fontId="19" fillId="36" borderId="26" xfId="46" applyFont="1" applyFill="1" applyBorder="1" applyAlignment="1" applyProtection="1">
      <alignment horizontal="left" vertical="top" wrapText="1"/>
      <protection locked="0"/>
    </xf>
    <xf numFmtId="0" fontId="22" fillId="36" borderId="54" xfId="46" applyFont="1" applyFill="1" applyBorder="1" applyAlignment="1" applyProtection="1">
      <alignment horizontal="center" vertical="center"/>
      <protection locked="0"/>
    </xf>
    <xf numFmtId="0" fontId="19" fillId="0" borderId="0" xfId="50" applyFont="1" applyBorder="1" applyAlignment="1">
      <alignment horizontal="left" wrapText="1"/>
    </xf>
    <xf numFmtId="0" fontId="19" fillId="0" borderId="34" xfId="50" applyFont="1" applyBorder="1" applyAlignment="1">
      <alignment horizontal="left" wrapText="1"/>
    </xf>
    <xf numFmtId="0" fontId="19" fillId="0" borderId="61" xfId="50" applyFont="1" applyBorder="1" applyAlignment="1">
      <alignment horizontal="center" wrapText="1"/>
    </xf>
    <xf numFmtId="0" fontId="20" fillId="0" borderId="60" xfId="50" applyFont="1" applyBorder="1" applyAlignment="1">
      <alignment horizontal="center" vertical="center"/>
    </xf>
    <xf numFmtId="0" fontId="20" fillId="0" borderId="24" xfId="50" applyFont="1" applyBorder="1" applyAlignment="1">
      <alignment horizontal="center" vertical="center"/>
    </xf>
    <xf numFmtId="0" fontId="19" fillId="0" borderId="26" xfId="50" applyFont="1" applyBorder="1" applyAlignment="1">
      <alignment horizontal="left" vertical="top" wrapText="1"/>
    </xf>
    <xf numFmtId="0" fontId="20" fillId="0" borderId="54" xfId="50" applyFont="1" applyBorder="1" applyAlignment="1">
      <alignment horizontal="center" vertical="center"/>
    </xf>
    <xf numFmtId="0" fontId="19" fillId="0" borderId="21" xfId="50" applyFont="1" applyBorder="1" applyAlignment="1">
      <alignment horizontal="left" vertical="top" wrapText="1"/>
    </xf>
    <xf numFmtId="0" fontId="20" fillId="0" borderId="31" xfId="50" applyFont="1" applyBorder="1" applyAlignment="1">
      <alignment horizontal="center" vertical="center"/>
    </xf>
    <xf numFmtId="0" fontId="18" fillId="0" borderId="0" xfId="50"/>
    <xf numFmtId="0" fontId="19" fillId="0" borderId="73" xfId="44" applyFont="1" applyBorder="1" applyAlignment="1">
      <alignment horizontal="left" vertical="top" wrapText="1"/>
    </xf>
    <xf numFmtId="0" fontId="19" fillId="0" borderId="14" xfId="44" applyFont="1" applyBorder="1" applyAlignment="1">
      <alignment horizontal="left" vertical="top" wrapText="1"/>
    </xf>
    <xf numFmtId="0" fontId="19" fillId="0" borderId="54" xfId="44" applyFont="1" applyBorder="1" applyAlignment="1">
      <alignment horizontal="left" vertical="top" wrapText="1"/>
    </xf>
    <xf numFmtId="0" fontId="19" fillId="0" borderId="62" xfId="44" applyFont="1" applyBorder="1" applyAlignment="1">
      <alignment horizontal="left" vertical="top" wrapText="1"/>
    </xf>
    <xf numFmtId="0" fontId="19" fillId="0" borderId="0" xfId="44" applyFont="1" applyBorder="1" applyAlignment="1">
      <alignment horizontal="left" vertical="top" wrapText="1"/>
    </xf>
    <xf numFmtId="0" fontId="19" fillId="0" borderId="59" xfId="44" applyFont="1" applyBorder="1" applyAlignment="1">
      <alignment horizontal="left" vertical="top" wrapText="1"/>
    </xf>
    <xf numFmtId="0" fontId="19" fillId="0" borderId="60" xfId="44" applyFont="1" applyBorder="1" applyAlignment="1">
      <alignment horizontal="left" vertical="top" wrapText="1"/>
    </xf>
    <xf numFmtId="0" fontId="19" fillId="0" borderId="42" xfId="44" applyFont="1" applyBorder="1" applyAlignment="1">
      <alignment horizontal="left" vertical="top" wrapText="1"/>
    </xf>
    <xf numFmtId="0" fontId="19" fillId="0" borderId="30" xfId="44" applyFont="1" applyBorder="1" applyAlignment="1">
      <alignment horizontal="left" vertical="top" wrapText="1"/>
    </xf>
    <xf numFmtId="0" fontId="19" fillId="0" borderId="19" xfId="47" applyFont="1" applyBorder="1" applyAlignment="1">
      <alignment horizontal="left" vertical="top" wrapText="1"/>
    </xf>
    <xf numFmtId="0" fontId="20" fillId="0" borderId="0" xfId="47" applyFont="1" applyBorder="1" applyAlignment="1">
      <alignment horizontal="center" vertical="center"/>
    </xf>
    <xf numFmtId="0" fontId="20" fillId="0" borderId="59" xfId="47" applyFont="1" applyBorder="1" applyAlignment="1">
      <alignment horizontal="center" vertical="center"/>
    </xf>
    <xf numFmtId="0" fontId="19" fillId="0" borderId="62" xfId="47" applyFont="1" applyBorder="1" applyAlignment="1">
      <alignment horizontal="left" vertical="top" wrapText="1"/>
    </xf>
    <xf numFmtId="0" fontId="19" fillId="0" borderId="55" xfId="47" applyFont="1" applyBorder="1" applyAlignment="1">
      <alignment horizontal="left" vertical="top" wrapText="1"/>
    </xf>
    <xf numFmtId="0" fontId="20" fillId="0" borderId="55" xfId="47" applyFont="1" applyBorder="1" applyAlignment="1">
      <alignment horizontal="center" vertical="center"/>
    </xf>
    <xf numFmtId="0" fontId="20" fillId="0" borderId="0" xfId="47" applyFont="1" applyBorder="1" applyAlignment="1">
      <alignment horizontal="center" vertical="center" wrapText="1"/>
    </xf>
    <xf numFmtId="0" fontId="19" fillId="0" borderId="0" xfId="47" applyFont="1" applyBorder="1" applyAlignment="1">
      <alignment horizontal="left"/>
    </xf>
    <xf numFmtId="0" fontId="37" fillId="37" borderId="36" xfId="47" applyFont="1" applyFill="1" applyBorder="1" applyAlignment="1">
      <alignment horizontal="left" wrapText="1"/>
    </xf>
    <xf numFmtId="0" fontId="38" fillId="37" borderId="31" xfId="47" applyFont="1" applyFill="1" applyBorder="1" applyAlignment="1">
      <alignment horizontal="center" vertical="center"/>
    </xf>
    <xf numFmtId="0" fontId="37" fillId="37" borderId="35" xfId="47" applyFont="1" applyFill="1" applyBorder="1" applyAlignment="1">
      <alignment horizontal="left" wrapText="1"/>
    </xf>
    <xf numFmtId="0" fontId="38" fillId="37" borderId="30" xfId="47" applyFont="1" applyFill="1" applyBorder="1" applyAlignment="1">
      <alignment horizontal="center" vertical="center"/>
    </xf>
    <xf numFmtId="0" fontId="37" fillId="37" borderId="34" xfId="47" applyFont="1" applyFill="1" applyBorder="1" applyAlignment="1">
      <alignment horizontal="left" wrapText="1"/>
    </xf>
    <xf numFmtId="0" fontId="38" fillId="37" borderId="60" xfId="47" applyFont="1" applyFill="1" applyBorder="1" applyAlignment="1">
      <alignment horizontal="center" vertical="center"/>
    </xf>
    <xf numFmtId="0" fontId="38" fillId="37" borderId="24" xfId="47" applyFont="1" applyFill="1" applyBorder="1" applyAlignment="1">
      <alignment horizontal="center" vertical="center"/>
    </xf>
    <xf numFmtId="0" fontId="38" fillId="37" borderId="29" xfId="47" applyFont="1" applyFill="1" applyBorder="1" applyAlignment="1">
      <alignment horizontal="center" vertical="center"/>
    </xf>
    <xf numFmtId="0" fontId="37" fillId="37" borderId="33" xfId="47" applyFont="1" applyFill="1" applyBorder="1" applyAlignment="1">
      <alignment horizontal="center" wrapText="1"/>
    </xf>
    <xf numFmtId="0" fontId="38" fillId="37" borderId="25" xfId="47" applyFont="1" applyFill="1" applyBorder="1" applyAlignment="1">
      <alignment horizontal="center" vertical="center"/>
    </xf>
    <xf numFmtId="0" fontId="38" fillId="37" borderId="32" xfId="47" applyFont="1" applyFill="1" applyBorder="1" applyAlignment="1">
      <alignment horizontal="center" vertical="center"/>
    </xf>
    <xf numFmtId="0" fontId="37" fillId="37" borderId="43" xfId="47" applyFont="1" applyFill="1" applyBorder="1" applyAlignment="1">
      <alignment horizontal="center" wrapText="1"/>
    </xf>
    <xf numFmtId="0" fontId="38" fillId="37" borderId="52" xfId="47" applyFont="1" applyFill="1" applyBorder="1" applyAlignment="1">
      <alignment horizontal="center" vertical="center"/>
    </xf>
    <xf numFmtId="0" fontId="19" fillId="0" borderId="26" xfId="47" applyFont="1" applyBorder="1" applyAlignment="1">
      <alignment horizontal="left" vertical="top" wrapText="1"/>
    </xf>
    <xf numFmtId="0" fontId="20" fillId="0" borderId="14" xfId="47" applyFont="1" applyBorder="1" applyAlignment="1">
      <alignment horizontal="center" vertical="center"/>
    </xf>
    <xf numFmtId="0" fontId="20" fillId="0" borderId="54" xfId="47" applyFont="1" applyBorder="1" applyAlignment="1">
      <alignment horizontal="center" vertical="center"/>
    </xf>
    <xf numFmtId="0" fontId="19" fillId="0" borderId="25" xfId="47" applyFont="1" applyBorder="1" applyAlignment="1">
      <alignment horizontal="left" vertical="top" wrapText="1"/>
    </xf>
    <xf numFmtId="0" fontId="19" fillId="0" borderId="60" xfId="47" applyFont="1" applyBorder="1" applyAlignment="1">
      <alignment horizontal="left" vertical="top" wrapText="1"/>
    </xf>
    <xf numFmtId="0" fontId="19" fillId="0" borderId="0" xfId="47" applyFont="1" applyBorder="1" applyAlignment="1">
      <alignment horizontal="left" vertical="top" wrapText="1"/>
    </xf>
    <xf numFmtId="0" fontId="19" fillId="0" borderId="22" xfId="47" applyFont="1" applyBorder="1" applyAlignment="1">
      <alignment horizontal="left" vertical="top" wrapText="1"/>
    </xf>
    <xf numFmtId="0" fontId="19" fillId="0" borderId="21" xfId="47" applyFont="1" applyBorder="1" applyAlignment="1">
      <alignment horizontal="left" vertical="top" wrapText="1"/>
    </xf>
    <xf numFmtId="0" fontId="20" fillId="0" borderId="31" xfId="47" applyFont="1" applyBorder="1" applyAlignment="1">
      <alignment horizontal="center" vertical="center"/>
    </xf>
    <xf numFmtId="0" fontId="19" fillId="0" borderId="18" xfId="47" applyFont="1" applyBorder="1" applyAlignment="1">
      <alignment horizontal="left" vertical="top" wrapText="1"/>
    </xf>
    <xf numFmtId="0" fontId="20" fillId="0" borderId="30" xfId="47" applyFont="1" applyBorder="1" applyAlignment="1">
      <alignment horizontal="center" vertical="center"/>
    </xf>
    <xf numFmtId="0" fontId="19" fillId="0" borderId="59" xfId="47" applyFont="1" applyBorder="1" applyAlignment="1">
      <alignment horizontal="left" vertical="top" wrapText="1"/>
    </xf>
    <xf numFmtId="0" fontId="19" fillId="0" borderId="29" xfId="47" applyFont="1" applyBorder="1" applyAlignment="1">
      <alignment horizontal="left" vertical="top" wrapText="1"/>
    </xf>
    <xf numFmtId="0" fontId="20" fillId="0" borderId="29" xfId="47" applyFont="1" applyBorder="1" applyAlignment="1">
      <alignment horizontal="center" vertical="center"/>
    </xf>
    <xf numFmtId="0" fontId="19" fillId="0" borderId="45" xfId="49" applyFont="1" applyBorder="1" applyAlignment="1">
      <alignment horizontal="center" wrapText="1"/>
    </xf>
    <xf numFmtId="0" fontId="22" fillId="0" borderId="11" xfId="49" applyFont="1" applyBorder="1" applyAlignment="1">
      <alignment horizontal="center" vertical="center"/>
    </xf>
    <xf numFmtId="0" fontId="19" fillId="0" borderId="36" xfId="49" applyFont="1" applyBorder="1" applyAlignment="1">
      <alignment horizontal="left" vertical="top" wrapText="1"/>
    </xf>
    <xf numFmtId="0" fontId="22" fillId="0" borderId="14" xfId="49" applyFont="1" applyBorder="1" applyAlignment="1">
      <alignment horizontal="center" vertical="center"/>
    </xf>
    <xf numFmtId="0" fontId="22" fillId="0" borderId="31" xfId="49" applyFont="1" applyBorder="1" applyAlignment="1">
      <alignment horizontal="center" vertical="center"/>
    </xf>
    <xf numFmtId="0" fontId="22" fillId="0" borderId="0" xfId="49" applyFont="1" applyBorder="1" applyAlignment="1">
      <alignment horizontal="center" vertical="center" wrapText="1"/>
    </xf>
    <xf numFmtId="0" fontId="22" fillId="0" borderId="0" xfId="49" applyFont="1" applyBorder="1" applyAlignment="1">
      <alignment horizontal="center" vertical="center"/>
    </xf>
    <xf numFmtId="0" fontId="19" fillId="0" borderId="51" xfId="49" applyFont="1" applyBorder="1" applyAlignment="1">
      <alignment horizontal="left" wrapText="1"/>
    </xf>
    <xf numFmtId="0" fontId="22" fillId="0" borderId="24" xfId="49" applyFont="1" applyBorder="1" applyAlignment="1">
      <alignment horizontal="center" vertical="center"/>
    </xf>
    <xf numFmtId="0" fontId="22" fillId="0" borderId="29" xfId="49" applyFont="1" applyBorder="1" applyAlignment="1">
      <alignment horizontal="center" vertical="center"/>
    </xf>
    <xf numFmtId="0" fontId="19" fillId="0" borderId="33" xfId="49" applyFont="1" applyBorder="1" applyAlignment="1">
      <alignment horizontal="center" wrapText="1"/>
    </xf>
    <xf numFmtId="0" fontId="22" fillId="0" borderId="32" xfId="49" applyFont="1" applyBorder="1" applyAlignment="1">
      <alignment horizontal="center" vertical="center"/>
    </xf>
    <xf numFmtId="0" fontId="19" fillId="0" borderId="45" xfId="49" quotePrefix="1" applyFont="1" applyBorder="1" applyAlignment="1">
      <alignment horizontal="center" wrapText="1"/>
    </xf>
    <xf numFmtId="0" fontId="19" fillId="0" borderId="26" xfId="49" applyFont="1" applyBorder="1" applyAlignment="1">
      <alignment horizontal="left" vertical="top" wrapText="1"/>
    </xf>
    <xf numFmtId="0" fontId="19" fillId="0" borderId="14" xfId="49" applyFont="1" applyBorder="1" applyAlignment="1">
      <alignment horizontal="left" vertical="top" wrapText="1"/>
    </xf>
    <xf numFmtId="0" fontId="20" fillId="0" borderId="14" xfId="49" applyFont="1" applyBorder="1" applyAlignment="1">
      <alignment horizontal="center" vertical="center"/>
    </xf>
    <xf numFmtId="0" fontId="20" fillId="0" borderId="54" xfId="49" applyFont="1" applyBorder="1" applyAlignment="1">
      <alignment horizontal="center" vertical="center"/>
    </xf>
    <xf numFmtId="0" fontId="19" fillId="0" borderId="22" xfId="49" applyFont="1" applyBorder="1" applyAlignment="1">
      <alignment horizontal="left" vertical="top" wrapText="1"/>
    </xf>
    <xf numFmtId="0" fontId="19" fillId="0" borderId="21" xfId="49" applyFont="1" applyBorder="1" applyAlignment="1">
      <alignment horizontal="left" vertical="top" wrapText="1"/>
    </xf>
    <xf numFmtId="0" fontId="20" fillId="0" borderId="31" xfId="49" applyFont="1" applyBorder="1" applyAlignment="1">
      <alignment horizontal="center" vertical="center"/>
    </xf>
    <xf numFmtId="0" fontId="20" fillId="0" borderId="0" xfId="49" applyFont="1" applyBorder="1" applyAlignment="1">
      <alignment horizontal="center" vertical="center" wrapText="1"/>
    </xf>
    <xf numFmtId="0" fontId="20" fillId="0" borderId="0" xfId="49" applyFont="1" applyBorder="1" applyAlignment="1">
      <alignment horizontal="center" vertical="center"/>
    </xf>
    <xf numFmtId="0" fontId="23" fillId="0" borderId="0" xfId="49" applyFont="1" applyBorder="1" applyAlignment="1">
      <alignment horizontal="left" wrapText="1"/>
    </xf>
    <xf numFmtId="0" fontId="19" fillId="0" borderId="0" xfId="49" applyFont="1" applyBorder="1" applyAlignment="1">
      <alignment horizontal="center" wrapText="1"/>
    </xf>
    <xf numFmtId="0" fontId="19" fillId="0" borderId="0" xfId="49" applyFont="1" applyBorder="1" applyAlignment="1">
      <alignment horizontal="left" vertical="top" wrapText="1"/>
    </xf>
    <xf numFmtId="0" fontId="23" fillId="0" borderId="51" xfId="49" applyFont="1" applyBorder="1" applyAlignment="1">
      <alignment horizontal="left" wrapText="1"/>
    </xf>
    <xf numFmtId="0" fontId="20" fillId="0" borderId="24" xfId="49" applyFont="1" applyBorder="1" applyAlignment="1">
      <alignment horizontal="center" vertical="center"/>
    </xf>
    <xf numFmtId="0" fontId="20" fillId="0" borderId="29" xfId="49" applyFont="1" applyBorder="1" applyAlignment="1">
      <alignment horizontal="center" vertical="center"/>
    </xf>
    <xf numFmtId="0" fontId="19" fillId="0" borderId="46" xfId="49" applyFont="1" applyBorder="1" applyAlignment="1">
      <alignment horizontal="center" wrapText="1"/>
    </xf>
    <xf numFmtId="0" fontId="20" fillId="0" borderId="12" xfId="49" applyFont="1" applyBorder="1" applyAlignment="1">
      <alignment horizontal="center" vertical="center"/>
    </xf>
    <xf numFmtId="0" fontId="20" fillId="0" borderId="11" xfId="49" applyFont="1" applyBorder="1" applyAlignment="1">
      <alignment horizontal="center" vertical="center"/>
    </xf>
    <xf numFmtId="0" fontId="20" fillId="0" borderId="37" xfId="49" applyFont="1" applyBorder="1" applyAlignment="1">
      <alignment horizontal="center" vertical="center"/>
    </xf>
    <xf numFmtId="0" fontId="19" fillId="0" borderId="43" xfId="49" applyFont="1" applyBorder="1" applyAlignment="1">
      <alignment horizontal="center" wrapText="1"/>
    </xf>
    <xf numFmtId="0" fontId="22" fillId="0" borderId="52" xfId="49" applyFont="1" applyBorder="1" applyAlignment="1">
      <alignment horizontal="center" vertical="center"/>
    </xf>
  </cellXfs>
  <cellStyles count="5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51"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_Demographic initial values" xfId="50"/>
    <cellStyle name="Normal_Demographic marginals" xfId="43"/>
    <cellStyle name="Normal_Demographic seed matrix" xfId="47"/>
    <cellStyle name="Normal_Land use marginals" xfId="46"/>
    <cellStyle name="Normal_Sheet3_1" xfId="44"/>
    <cellStyle name="Normal_Travel behavior models" xfId="49"/>
    <cellStyle name="Normal_Travel behavior rates_1" xfId="48"/>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458B7C"/>
      <color rgb="FF009265"/>
      <color rgb="FF00583C"/>
      <color rgb="FFFFCC00"/>
      <color rgb="FF530802"/>
      <color rgb="FF0E6E8B"/>
      <color rgb="FF04748E"/>
      <color rgb="FF651E19"/>
      <color rgb="FF650E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'Employment initial values'!$B$44</c:f>
              <c:strCache>
                <c:ptCount val="1"/>
                <c:pt idx="0">
                  <c:v>Job Demand/ Supply Index</c:v>
                </c:pt>
              </c:strCache>
            </c:strRef>
          </c:tx>
          <c:marker>
            <c:symbol val="none"/>
          </c:marker>
          <c:cat>
            <c:numRef>
              <c:f>'Employment initial values'!$A$45:$A$65</c:f>
              <c:numCache>
                <c:formatCode>0.0</c:formatCode>
                <c:ptCount val="2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numCache>
            </c:numRef>
          </c:cat>
          <c:val>
            <c:numRef>
              <c:f>'Employment initial values'!$B$45:$B$65</c:f>
              <c:numCache>
                <c:formatCode>0.00</c:formatCode>
                <c:ptCount val="21"/>
                <c:pt idx="0">
                  <c:v>0.25</c:v>
                </c:pt>
                <c:pt idx="1">
                  <c:v>0.25</c:v>
                </c:pt>
                <c:pt idx="2">
                  <c:v>0.25</c:v>
                </c:pt>
                <c:pt idx="3">
                  <c:v>0.26</c:v>
                </c:pt>
                <c:pt idx="4">
                  <c:v>0.27</c:v>
                </c:pt>
                <c:pt idx="5">
                  <c:v>0.28000000000000003</c:v>
                </c:pt>
                <c:pt idx="6">
                  <c:v>0.3</c:v>
                </c:pt>
                <c:pt idx="7">
                  <c:v>0.4</c:v>
                </c:pt>
                <c:pt idx="8">
                  <c:v>0.55000000000000004</c:v>
                </c:pt>
                <c:pt idx="9" formatCode="General">
                  <c:v>0.75</c:v>
                </c:pt>
                <c:pt idx="10">
                  <c:v>1</c:v>
                </c:pt>
                <c:pt idx="11">
                  <c:v>1.25</c:v>
                </c:pt>
                <c:pt idx="12">
                  <c:v>1.45</c:v>
                </c:pt>
                <c:pt idx="13">
                  <c:v>1.6</c:v>
                </c:pt>
                <c:pt idx="14">
                  <c:v>1.7</c:v>
                </c:pt>
                <c:pt idx="15">
                  <c:v>1.72</c:v>
                </c:pt>
                <c:pt idx="16">
                  <c:v>1.73</c:v>
                </c:pt>
                <c:pt idx="17">
                  <c:v>1.74</c:v>
                </c:pt>
                <c:pt idx="18">
                  <c:v>1.75</c:v>
                </c:pt>
                <c:pt idx="19">
                  <c:v>1.75</c:v>
                </c:pt>
                <c:pt idx="20">
                  <c:v>1.75</c:v>
                </c:pt>
              </c:numCache>
            </c:numRef>
          </c:val>
          <c:smooth val="0"/>
          <c:extLst>
            <c:ext xmlns:c16="http://schemas.microsoft.com/office/drawing/2014/chart" uri="{C3380CC4-5D6E-409C-BE32-E72D297353CC}">
              <c16:uniqueId val="{00000000-8051-4621-890A-963141DFC91D}"/>
            </c:ext>
          </c:extLst>
        </c:ser>
        <c:ser>
          <c:idx val="1"/>
          <c:order val="1"/>
          <c:tx>
            <c:strRef>
              <c:f>'Employment initial values'!$C$44</c:f>
              <c:strCache>
                <c:ptCount val="1"/>
                <c:pt idx="0">
                  <c:v>Commercial Space Demand/ Supply Index</c:v>
                </c:pt>
              </c:strCache>
            </c:strRef>
          </c:tx>
          <c:marker>
            <c:symbol val="none"/>
          </c:marker>
          <c:cat>
            <c:numRef>
              <c:f>'Employment initial values'!$A$45:$A$65</c:f>
              <c:numCache>
                <c:formatCode>0.0</c:formatCode>
                <c:ptCount val="2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numCache>
            </c:numRef>
          </c:cat>
          <c:val>
            <c:numRef>
              <c:f>'Employment initial values'!$C$45:$C$65</c:f>
              <c:numCache>
                <c:formatCode>0.00</c:formatCode>
                <c:ptCount val="21"/>
                <c:pt idx="0">
                  <c:v>1.5</c:v>
                </c:pt>
                <c:pt idx="1">
                  <c:v>1.5</c:v>
                </c:pt>
                <c:pt idx="2">
                  <c:v>1.49</c:v>
                </c:pt>
                <c:pt idx="3">
                  <c:v>1.48</c:v>
                </c:pt>
                <c:pt idx="4">
                  <c:v>1.47</c:v>
                </c:pt>
                <c:pt idx="5">
                  <c:v>1.45</c:v>
                </c:pt>
                <c:pt idx="6">
                  <c:v>1.43</c:v>
                </c:pt>
                <c:pt idx="7">
                  <c:v>1.4</c:v>
                </c:pt>
                <c:pt idx="8">
                  <c:v>1.35</c:v>
                </c:pt>
                <c:pt idx="9" formatCode="General">
                  <c:v>1.25</c:v>
                </c:pt>
                <c:pt idx="10">
                  <c:v>1</c:v>
                </c:pt>
                <c:pt idx="11" formatCode="General">
                  <c:v>0.75</c:v>
                </c:pt>
                <c:pt idx="12" formatCode="General">
                  <c:v>0.65</c:v>
                </c:pt>
                <c:pt idx="13">
                  <c:v>0.6</c:v>
                </c:pt>
                <c:pt idx="14">
                  <c:v>0.56999999999999995</c:v>
                </c:pt>
                <c:pt idx="15">
                  <c:v>0.55000000000000004</c:v>
                </c:pt>
                <c:pt idx="16">
                  <c:v>0.53</c:v>
                </c:pt>
                <c:pt idx="17">
                  <c:v>0.52</c:v>
                </c:pt>
                <c:pt idx="18">
                  <c:v>0.51</c:v>
                </c:pt>
                <c:pt idx="19">
                  <c:v>0.5</c:v>
                </c:pt>
                <c:pt idx="20">
                  <c:v>0.5</c:v>
                </c:pt>
              </c:numCache>
            </c:numRef>
          </c:val>
          <c:smooth val="0"/>
          <c:extLst>
            <c:ext xmlns:c16="http://schemas.microsoft.com/office/drawing/2014/chart" uri="{C3380CC4-5D6E-409C-BE32-E72D297353CC}">
              <c16:uniqueId val="{00000001-8051-4621-890A-963141DFC91D}"/>
            </c:ext>
          </c:extLst>
        </c:ser>
        <c:ser>
          <c:idx val="2"/>
          <c:order val="2"/>
          <c:tx>
            <c:strRef>
              <c:f>'Employment initial values'!$D$44</c:f>
              <c:strCache>
                <c:ptCount val="1"/>
                <c:pt idx="0">
                  <c:v>Road Mile Demand/ Supply Index</c:v>
                </c:pt>
              </c:strCache>
            </c:strRef>
          </c:tx>
          <c:marker>
            <c:symbol val="none"/>
          </c:marker>
          <c:cat>
            <c:numRef>
              <c:f>'Employment initial values'!$A$45:$A$65</c:f>
              <c:numCache>
                <c:formatCode>0.0</c:formatCode>
                <c:ptCount val="2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numCache>
            </c:numRef>
          </c:cat>
          <c:val>
            <c:numRef>
              <c:f>'Employment initial values'!$D$45:$D$65</c:f>
              <c:numCache>
                <c:formatCode>0.00</c:formatCode>
                <c:ptCount val="21"/>
                <c:pt idx="0">
                  <c:v>1.25</c:v>
                </c:pt>
                <c:pt idx="1">
                  <c:v>1.25</c:v>
                </c:pt>
                <c:pt idx="2">
                  <c:v>1.25</c:v>
                </c:pt>
                <c:pt idx="3">
                  <c:v>1.25</c:v>
                </c:pt>
                <c:pt idx="4">
                  <c:v>1.25</c:v>
                </c:pt>
                <c:pt idx="5">
                  <c:v>1.24</c:v>
                </c:pt>
                <c:pt idx="6">
                  <c:v>1.23</c:v>
                </c:pt>
                <c:pt idx="7">
                  <c:v>1.22</c:v>
                </c:pt>
                <c:pt idx="8">
                  <c:v>1.2</c:v>
                </c:pt>
                <c:pt idx="9" formatCode="General">
                  <c:v>1.1499999999999999</c:v>
                </c:pt>
                <c:pt idx="10">
                  <c:v>1</c:v>
                </c:pt>
                <c:pt idx="11">
                  <c:v>0.8</c:v>
                </c:pt>
                <c:pt idx="12">
                  <c:v>0.7</c:v>
                </c:pt>
                <c:pt idx="13">
                  <c:v>0.65</c:v>
                </c:pt>
                <c:pt idx="14">
                  <c:v>0.62</c:v>
                </c:pt>
                <c:pt idx="15">
                  <c:v>0.61</c:v>
                </c:pt>
                <c:pt idx="16">
                  <c:v>0.6</c:v>
                </c:pt>
                <c:pt idx="17">
                  <c:v>0.6</c:v>
                </c:pt>
                <c:pt idx="18">
                  <c:v>0.6</c:v>
                </c:pt>
                <c:pt idx="19">
                  <c:v>0.6</c:v>
                </c:pt>
                <c:pt idx="20">
                  <c:v>0.6</c:v>
                </c:pt>
              </c:numCache>
            </c:numRef>
          </c:val>
          <c:smooth val="0"/>
          <c:extLst>
            <c:ext xmlns:c16="http://schemas.microsoft.com/office/drawing/2014/chart" uri="{C3380CC4-5D6E-409C-BE32-E72D297353CC}">
              <c16:uniqueId val="{00000002-8051-4621-890A-963141DFC91D}"/>
            </c:ext>
          </c:extLst>
        </c:ser>
        <c:dLbls>
          <c:showLegendKey val="0"/>
          <c:showVal val="0"/>
          <c:showCatName val="0"/>
          <c:showSerName val="0"/>
          <c:showPercent val="0"/>
          <c:showBubbleSize val="0"/>
        </c:dLbls>
        <c:smooth val="0"/>
        <c:axId val="-1512440704"/>
        <c:axId val="-1512432000"/>
      </c:lineChart>
      <c:catAx>
        <c:axId val="-1512440704"/>
        <c:scaling>
          <c:orientation val="minMax"/>
        </c:scaling>
        <c:delete val="0"/>
        <c:axPos val="b"/>
        <c:numFmt formatCode="0.0" sourceLinked="1"/>
        <c:majorTickMark val="out"/>
        <c:minorTickMark val="none"/>
        <c:tickLblPos val="nextTo"/>
        <c:crossAx val="-1512432000"/>
        <c:crosses val="autoZero"/>
        <c:auto val="1"/>
        <c:lblAlgn val="ctr"/>
        <c:lblOffset val="100"/>
        <c:noMultiLvlLbl val="0"/>
      </c:catAx>
      <c:valAx>
        <c:axId val="-1512432000"/>
        <c:scaling>
          <c:orientation val="minMax"/>
        </c:scaling>
        <c:delete val="0"/>
        <c:axPos val="l"/>
        <c:majorGridlines/>
        <c:numFmt formatCode="0.00" sourceLinked="1"/>
        <c:majorTickMark val="out"/>
        <c:minorTickMark val="none"/>
        <c:tickLblPos val="nextTo"/>
        <c:crossAx val="-15124407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'Demographic transition rates'!$B$188</c:f>
              <c:strCache>
                <c:ptCount val="1"/>
                <c:pt idx="0">
                  <c:v>Job Demand/ Supply Index</c:v>
                </c:pt>
              </c:strCache>
            </c:strRef>
          </c:tx>
          <c:marker>
            <c:symbol val="none"/>
          </c:marker>
          <c:cat>
            <c:numRef>
              <c:f>'Demographic transition rates'!$A$189:$A$209</c:f>
              <c:numCache>
                <c:formatCode>0.0</c:formatCode>
                <c:ptCount val="2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numCache>
            </c:numRef>
          </c:cat>
          <c:val>
            <c:numRef>
              <c:f>'Demographic transition rates'!$B$189:$B$209</c:f>
              <c:numCache>
                <c:formatCode>0.00</c:formatCode>
                <c:ptCount val="21"/>
                <c:pt idx="0">
                  <c:v>1.25</c:v>
                </c:pt>
                <c:pt idx="1">
                  <c:v>1.25</c:v>
                </c:pt>
                <c:pt idx="2">
                  <c:v>1.25</c:v>
                </c:pt>
                <c:pt idx="3">
                  <c:v>1.2466666666666668</c:v>
                </c:pt>
                <c:pt idx="4">
                  <c:v>1.2433333333333334</c:v>
                </c:pt>
                <c:pt idx="5">
                  <c:v>1.24</c:v>
                </c:pt>
                <c:pt idx="6">
                  <c:v>1.2333333333333334</c:v>
                </c:pt>
                <c:pt idx="7">
                  <c:v>1.2</c:v>
                </c:pt>
                <c:pt idx="8">
                  <c:v>1.1500000000000001</c:v>
                </c:pt>
                <c:pt idx="9">
                  <c:v>1.0833333333333333</c:v>
                </c:pt>
                <c:pt idx="10">
                  <c:v>1</c:v>
                </c:pt>
                <c:pt idx="11">
                  <c:v>0.91666666666666663</c:v>
                </c:pt>
                <c:pt idx="12">
                  <c:v>0.85</c:v>
                </c:pt>
                <c:pt idx="13">
                  <c:v>0.79999999999999993</c:v>
                </c:pt>
                <c:pt idx="14">
                  <c:v>0.76666666666666661</c:v>
                </c:pt>
                <c:pt idx="15">
                  <c:v>0.76000000000000012</c:v>
                </c:pt>
                <c:pt idx="16">
                  <c:v>0.75666666666666671</c:v>
                </c:pt>
                <c:pt idx="17">
                  <c:v>0.7533333333333333</c:v>
                </c:pt>
                <c:pt idx="18">
                  <c:v>0.75</c:v>
                </c:pt>
                <c:pt idx="19">
                  <c:v>0.75</c:v>
                </c:pt>
                <c:pt idx="20">
                  <c:v>0.75</c:v>
                </c:pt>
              </c:numCache>
            </c:numRef>
          </c:val>
          <c:smooth val="0"/>
          <c:extLst>
            <c:ext xmlns:c16="http://schemas.microsoft.com/office/drawing/2014/chart" uri="{C3380CC4-5D6E-409C-BE32-E72D297353CC}">
              <c16:uniqueId val="{00000000-DA53-4199-851E-6809FD85BBCD}"/>
            </c:ext>
          </c:extLst>
        </c:ser>
        <c:ser>
          <c:idx val="1"/>
          <c:order val="1"/>
          <c:tx>
            <c:strRef>
              <c:f>'Demographic transition rates'!$C$188</c:f>
              <c:strCache>
                <c:ptCount val="1"/>
                <c:pt idx="0">
                  <c:v>Residential Space Demand/ Supply Index</c:v>
                </c:pt>
              </c:strCache>
            </c:strRef>
          </c:tx>
          <c:marker>
            <c:symbol val="none"/>
          </c:marker>
          <c:cat>
            <c:numRef>
              <c:f>'Demographic transition rates'!$A$189:$A$209</c:f>
              <c:numCache>
                <c:formatCode>0.0</c:formatCode>
                <c:ptCount val="2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numCache>
            </c:numRef>
          </c:cat>
          <c:val>
            <c:numRef>
              <c:f>'Demographic transition rates'!$C$189:$C$209</c:f>
              <c:numCache>
                <c:formatCode>0.00</c:formatCode>
                <c:ptCount val="21"/>
                <c:pt idx="0">
                  <c:v>1.1666666666666667</c:v>
                </c:pt>
                <c:pt idx="1">
                  <c:v>1.1666666666666667</c:v>
                </c:pt>
                <c:pt idx="2">
                  <c:v>1.1633333333333333</c:v>
                </c:pt>
                <c:pt idx="3">
                  <c:v>1.1599999999999999</c:v>
                </c:pt>
                <c:pt idx="4">
                  <c:v>1.1566666666666665</c:v>
                </c:pt>
                <c:pt idx="5">
                  <c:v>1.1500000000000001</c:v>
                </c:pt>
                <c:pt idx="6">
                  <c:v>1.1433333333333333</c:v>
                </c:pt>
                <c:pt idx="7">
                  <c:v>1.1333333333333333</c:v>
                </c:pt>
                <c:pt idx="8">
                  <c:v>1.1166666666666667</c:v>
                </c:pt>
                <c:pt idx="9">
                  <c:v>1.0833333333333333</c:v>
                </c:pt>
                <c:pt idx="10">
                  <c:v>1</c:v>
                </c:pt>
                <c:pt idx="11">
                  <c:v>0.91666666666666663</c:v>
                </c:pt>
                <c:pt idx="12">
                  <c:v>0.8833333333333333</c:v>
                </c:pt>
                <c:pt idx="13">
                  <c:v>0.8666666666666667</c:v>
                </c:pt>
                <c:pt idx="14">
                  <c:v>0.85666666666666658</c:v>
                </c:pt>
                <c:pt idx="15">
                  <c:v>0.85</c:v>
                </c:pt>
                <c:pt idx="16">
                  <c:v>0.84333333333333338</c:v>
                </c:pt>
                <c:pt idx="17">
                  <c:v>0.84</c:v>
                </c:pt>
                <c:pt idx="18">
                  <c:v>0.83666666666666656</c:v>
                </c:pt>
                <c:pt idx="19">
                  <c:v>0.83333333333333337</c:v>
                </c:pt>
                <c:pt idx="20">
                  <c:v>0.83333333333333337</c:v>
                </c:pt>
              </c:numCache>
            </c:numRef>
          </c:val>
          <c:smooth val="0"/>
          <c:extLst>
            <c:ext xmlns:c16="http://schemas.microsoft.com/office/drawing/2014/chart" uri="{C3380CC4-5D6E-409C-BE32-E72D297353CC}">
              <c16:uniqueId val="{00000001-DA53-4199-851E-6809FD85BBCD}"/>
            </c:ext>
          </c:extLst>
        </c:ser>
        <c:ser>
          <c:idx val="2"/>
          <c:order val="2"/>
          <c:tx>
            <c:strRef>
              <c:f>'Demographic transition rates'!$D$188</c:f>
              <c:strCache>
                <c:ptCount val="1"/>
                <c:pt idx="0">
                  <c:v>Road Mile Demand/ Supply Index</c:v>
                </c:pt>
              </c:strCache>
            </c:strRef>
          </c:tx>
          <c:marker>
            <c:symbol val="none"/>
          </c:marker>
          <c:cat>
            <c:numRef>
              <c:f>'Demographic transition rates'!$A$189:$A$209</c:f>
              <c:numCache>
                <c:formatCode>0.0</c:formatCode>
                <c:ptCount val="2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numCache>
            </c:numRef>
          </c:cat>
          <c:val>
            <c:numRef>
              <c:f>'Demographic transition rates'!$D$189:$D$209</c:f>
              <c:numCache>
                <c:formatCode>0.00</c:formatCode>
                <c:ptCount val="21"/>
                <c:pt idx="0">
                  <c:v>1.0833333333333333</c:v>
                </c:pt>
                <c:pt idx="1">
                  <c:v>1.0833333333333333</c:v>
                </c:pt>
                <c:pt idx="2">
                  <c:v>1.0833333333333333</c:v>
                </c:pt>
                <c:pt idx="3">
                  <c:v>1.0833333333333333</c:v>
                </c:pt>
                <c:pt idx="4">
                  <c:v>1.0833333333333333</c:v>
                </c:pt>
                <c:pt idx="5">
                  <c:v>1.08</c:v>
                </c:pt>
                <c:pt idx="6">
                  <c:v>1.0766666666666667</c:v>
                </c:pt>
                <c:pt idx="7">
                  <c:v>1.0733333333333333</c:v>
                </c:pt>
                <c:pt idx="8">
                  <c:v>1.0666666666666667</c:v>
                </c:pt>
                <c:pt idx="9">
                  <c:v>1.05</c:v>
                </c:pt>
                <c:pt idx="10">
                  <c:v>1</c:v>
                </c:pt>
                <c:pt idx="11">
                  <c:v>0.93333333333333324</c:v>
                </c:pt>
                <c:pt idx="12">
                  <c:v>0.9</c:v>
                </c:pt>
                <c:pt idx="13">
                  <c:v>0.8833333333333333</c:v>
                </c:pt>
                <c:pt idx="14">
                  <c:v>0.87333333333333341</c:v>
                </c:pt>
                <c:pt idx="15">
                  <c:v>0.87</c:v>
                </c:pt>
                <c:pt idx="16">
                  <c:v>0.8666666666666667</c:v>
                </c:pt>
                <c:pt idx="17">
                  <c:v>0.8666666666666667</c:v>
                </c:pt>
                <c:pt idx="18">
                  <c:v>0.8666666666666667</c:v>
                </c:pt>
                <c:pt idx="19">
                  <c:v>0.8666666666666667</c:v>
                </c:pt>
                <c:pt idx="20">
                  <c:v>0.8666666666666667</c:v>
                </c:pt>
              </c:numCache>
            </c:numRef>
          </c:val>
          <c:smooth val="0"/>
          <c:extLst>
            <c:ext xmlns:c16="http://schemas.microsoft.com/office/drawing/2014/chart" uri="{C3380CC4-5D6E-409C-BE32-E72D297353CC}">
              <c16:uniqueId val="{00000002-DA53-4199-851E-6809FD85BBCD}"/>
            </c:ext>
          </c:extLst>
        </c:ser>
        <c:dLbls>
          <c:showLegendKey val="0"/>
          <c:showVal val="0"/>
          <c:showCatName val="0"/>
          <c:showSerName val="0"/>
          <c:showPercent val="0"/>
          <c:showBubbleSize val="0"/>
        </c:dLbls>
        <c:smooth val="0"/>
        <c:axId val="-1512431456"/>
        <c:axId val="-1512435264"/>
      </c:lineChart>
      <c:catAx>
        <c:axId val="-1512431456"/>
        <c:scaling>
          <c:orientation val="minMax"/>
        </c:scaling>
        <c:delete val="0"/>
        <c:axPos val="b"/>
        <c:numFmt formatCode="0.0" sourceLinked="1"/>
        <c:majorTickMark val="out"/>
        <c:minorTickMark val="none"/>
        <c:tickLblPos val="nextTo"/>
        <c:crossAx val="-1512435264"/>
        <c:crosses val="autoZero"/>
        <c:auto val="1"/>
        <c:lblAlgn val="ctr"/>
        <c:lblOffset val="100"/>
        <c:noMultiLvlLbl val="0"/>
      </c:catAx>
      <c:valAx>
        <c:axId val="-1512435264"/>
        <c:scaling>
          <c:orientation val="minMax"/>
        </c:scaling>
        <c:delete val="0"/>
        <c:axPos val="l"/>
        <c:majorGridlines/>
        <c:numFmt formatCode="0.00" sourceLinked="1"/>
        <c:majorTickMark val="out"/>
        <c:minorTickMark val="none"/>
        <c:tickLblPos val="nextTo"/>
        <c:crossAx val="-15124314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Total Population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Outputs!$AA$2</c:f>
              <c:strCache>
                <c:ptCount val="1"/>
                <c:pt idx="0">
                  <c:v>Population</c:v>
                </c:pt>
              </c:strCache>
            </c:strRef>
          </c:tx>
          <c:spPr>
            <a:solidFill>
              <a:schemeClr val="accent1"/>
            </a:solidFill>
            <a:ln>
              <a:noFill/>
            </a:ln>
            <a:effectLst/>
          </c:spPr>
          <c:invertIfNegative val="0"/>
          <c:dPt>
            <c:idx val="4"/>
            <c:invertIfNegative val="0"/>
            <c:bubble3D val="0"/>
            <c:spPr>
              <a:solidFill>
                <a:srgbClr val="FFC000"/>
              </a:solidFill>
              <a:ln>
                <a:noFill/>
              </a:ln>
              <a:effectLst/>
            </c:spPr>
            <c:extLst>
              <c:ext xmlns:c16="http://schemas.microsoft.com/office/drawing/2014/chart" uri="{C3380CC4-5D6E-409C-BE32-E72D297353CC}">
                <c16:uniqueId val="{00000001-2E5C-4592-8BB7-6DDF43BAFE8C}"/>
              </c:ext>
            </c:extLst>
          </c:dPt>
          <c:dPt>
            <c:idx val="9"/>
            <c:invertIfNegative val="0"/>
            <c:bubble3D val="0"/>
            <c:spPr>
              <a:solidFill>
                <a:srgbClr val="FFC000"/>
              </a:solidFill>
              <a:ln>
                <a:noFill/>
              </a:ln>
              <a:effectLst/>
            </c:spPr>
            <c:extLst>
              <c:ext xmlns:c16="http://schemas.microsoft.com/office/drawing/2014/chart" uri="{C3380CC4-5D6E-409C-BE32-E72D297353CC}">
                <c16:uniqueId val="{00000003-2E5C-4592-8BB7-6DDF43BAFE8C}"/>
              </c:ext>
            </c:extLst>
          </c:dPt>
          <c:dPt>
            <c:idx val="14"/>
            <c:invertIfNegative val="0"/>
            <c:bubble3D val="0"/>
            <c:spPr>
              <a:solidFill>
                <a:srgbClr val="FFC000"/>
              </a:solidFill>
              <a:ln>
                <a:noFill/>
              </a:ln>
              <a:effectLst/>
            </c:spPr>
            <c:extLst>
              <c:ext xmlns:c16="http://schemas.microsoft.com/office/drawing/2014/chart" uri="{C3380CC4-5D6E-409C-BE32-E72D297353CC}">
                <c16:uniqueId val="{00000005-2E5C-4592-8BB7-6DDF43BAFE8C}"/>
              </c:ext>
            </c:extLst>
          </c:dPt>
          <c:dPt>
            <c:idx val="19"/>
            <c:invertIfNegative val="0"/>
            <c:bubble3D val="0"/>
            <c:spPr>
              <a:solidFill>
                <a:srgbClr val="FFC000"/>
              </a:solidFill>
              <a:ln>
                <a:noFill/>
              </a:ln>
              <a:effectLst/>
            </c:spPr>
            <c:extLst>
              <c:ext xmlns:c16="http://schemas.microsoft.com/office/drawing/2014/chart" uri="{C3380CC4-5D6E-409C-BE32-E72D297353CC}">
                <c16:uniqueId val="{00000007-2E5C-4592-8BB7-6DDF43BAFE8C}"/>
              </c:ext>
            </c:extLst>
          </c:dPt>
          <c:dPt>
            <c:idx val="24"/>
            <c:invertIfNegative val="0"/>
            <c:bubble3D val="0"/>
            <c:spPr>
              <a:solidFill>
                <a:srgbClr val="FFC000"/>
              </a:solidFill>
              <a:ln>
                <a:noFill/>
              </a:ln>
              <a:effectLst/>
            </c:spPr>
            <c:extLst>
              <c:ext xmlns:c16="http://schemas.microsoft.com/office/drawing/2014/chart" uri="{C3380CC4-5D6E-409C-BE32-E72D297353CC}">
                <c16:uniqueId val="{00000009-2E5C-4592-8BB7-6DDF43BAFE8C}"/>
              </c:ext>
            </c:extLst>
          </c:dPt>
          <c:dPt>
            <c:idx val="29"/>
            <c:invertIfNegative val="0"/>
            <c:bubble3D val="0"/>
            <c:spPr>
              <a:solidFill>
                <a:srgbClr val="FFC000"/>
              </a:solidFill>
              <a:ln>
                <a:noFill/>
              </a:ln>
              <a:effectLst/>
            </c:spPr>
            <c:extLst>
              <c:ext xmlns:c16="http://schemas.microsoft.com/office/drawing/2014/chart" uri="{C3380CC4-5D6E-409C-BE32-E72D297353CC}">
                <c16:uniqueId val="{0000000B-2E5C-4592-8BB7-6DDF43BAFE8C}"/>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Outputs!$AA$3:$AA$37</c:f>
              <c:numCache>
                <c:formatCode>#,##0</c:formatCode>
                <c:ptCount val="35"/>
                <c:pt idx="0">
                  <c:v>5509112</c:v>
                </c:pt>
                <c:pt idx="1">
                  <c:v>5509112</c:v>
                </c:pt>
                <c:pt idx="2">
                  <c:v>5509112</c:v>
                </c:pt>
                <c:pt idx="3">
                  <c:v>5509112</c:v>
                </c:pt>
                <c:pt idx="4">
                  <c:v>5509112</c:v>
                </c:pt>
                <c:pt idx="5">
                  <c:v>5791578.25</c:v>
                </c:pt>
                <c:pt idx="6">
                  <c:v>5791578.25</c:v>
                </c:pt>
                <c:pt idx="7">
                  <c:v>5791578.25</c:v>
                </c:pt>
                <c:pt idx="8">
                  <c:v>5791578.25</c:v>
                </c:pt>
                <c:pt idx="9">
                  <c:v>5683695</c:v>
                </c:pt>
                <c:pt idx="10">
                  <c:v>6163167.25</c:v>
                </c:pt>
                <c:pt idx="11">
                  <c:v>6163167.25</c:v>
                </c:pt>
                <c:pt idx="12">
                  <c:v>6163167.25</c:v>
                </c:pt>
                <c:pt idx="13">
                  <c:v>6163167.25</c:v>
                </c:pt>
                <c:pt idx="14">
                  <c:v>5956505</c:v>
                </c:pt>
                <c:pt idx="15">
                  <c:v>6595866.75</c:v>
                </c:pt>
                <c:pt idx="16">
                  <c:v>6595866.75</c:v>
                </c:pt>
                <c:pt idx="17">
                  <c:v>6595866.75</c:v>
                </c:pt>
                <c:pt idx="18">
                  <c:v>6595866.75</c:v>
                </c:pt>
                <c:pt idx="19">
                  <c:v>6359598</c:v>
                </c:pt>
                <c:pt idx="20">
                  <c:v>7154725.75</c:v>
                </c:pt>
                <c:pt idx="21">
                  <c:v>7162869.75</c:v>
                </c:pt>
                <c:pt idx="22">
                  <c:v>7108956.25</c:v>
                </c:pt>
                <c:pt idx="23">
                  <c:v>7155780</c:v>
                </c:pt>
                <c:pt idx="24">
                  <c:v>6961273</c:v>
                </c:pt>
                <c:pt idx="25">
                  <c:v>7917350.75</c:v>
                </c:pt>
                <c:pt idx="26">
                  <c:v>7908517</c:v>
                </c:pt>
                <c:pt idx="27">
                  <c:v>7571399.75</c:v>
                </c:pt>
                <c:pt idx="28">
                  <c:v>7892748.5</c:v>
                </c:pt>
                <c:pt idx="29">
                  <c:v>7937566</c:v>
                </c:pt>
                <c:pt idx="30">
                  <c:v>8461658.75</c:v>
                </c:pt>
                <c:pt idx="31">
                  <c:v>8372846.75</c:v>
                </c:pt>
                <c:pt idx="32">
                  <c:v>7584507.5</c:v>
                </c:pt>
                <c:pt idx="33">
                  <c:v>8401853.5</c:v>
                </c:pt>
                <c:pt idx="34" formatCode="_(* #,##0_);_(* \(#,##0\);_(* &quot;-&quot;??_);_(@_)">
                  <c:v>0</c:v>
                </c:pt>
              </c:numCache>
            </c:numRef>
          </c:val>
          <c:extLst>
            <c:ext xmlns:c16="http://schemas.microsoft.com/office/drawing/2014/chart" uri="{C3380CC4-5D6E-409C-BE32-E72D297353CC}">
              <c16:uniqueId val="{0000000C-2E5C-4592-8BB7-6DDF43BAFE8C}"/>
            </c:ext>
          </c:extLst>
        </c:ser>
        <c:dLbls>
          <c:showLegendKey val="0"/>
          <c:showVal val="0"/>
          <c:showCatName val="0"/>
          <c:showSerName val="0"/>
          <c:showPercent val="0"/>
          <c:showBubbleSize val="0"/>
        </c:dLbls>
        <c:gapWidth val="40"/>
        <c:axId val="-22129168"/>
        <c:axId val="-22128624"/>
      </c:barChart>
      <c:catAx>
        <c:axId val="-221291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28624"/>
        <c:crosses val="autoZero"/>
        <c:auto val="1"/>
        <c:lblAlgn val="ctr"/>
        <c:lblOffset val="100"/>
        <c:noMultiLvlLbl val="0"/>
      </c:catAx>
      <c:valAx>
        <c:axId val="-22128624"/>
        <c:scaling>
          <c:orientation val="minMax"/>
          <c:max val="12000000"/>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29168"/>
        <c:crossesAt val="1"/>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Trips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Outputs!$E$2</c:f>
              <c:strCache>
                <c:ptCount val="1"/>
                <c:pt idx="0">
                  <c:v>WorkTrips</c:v>
                </c:pt>
              </c:strCache>
            </c:strRef>
          </c:tx>
          <c:spPr>
            <a:solidFill>
              <a:schemeClr val="accent1"/>
            </a:solidFill>
            <a:ln>
              <a:noFill/>
            </a:ln>
            <a:effectLst/>
          </c:spPr>
          <c:invertIfNegative val="0"/>
          <c:dPt>
            <c:idx val="4"/>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1-6502-4585-8F2B-693928E9731D}"/>
              </c:ext>
            </c:extLst>
          </c:dPt>
          <c:dPt>
            <c:idx val="9"/>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3-6502-4585-8F2B-693928E9731D}"/>
              </c:ext>
            </c:extLst>
          </c:dPt>
          <c:dPt>
            <c:idx val="14"/>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5-6502-4585-8F2B-693928E9731D}"/>
              </c:ext>
            </c:extLst>
          </c:dPt>
          <c:dPt>
            <c:idx val="19"/>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7-6502-4585-8F2B-693928E9731D}"/>
              </c:ext>
            </c:extLst>
          </c:dPt>
          <c:dPt>
            <c:idx val="24"/>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9-6502-4585-8F2B-693928E9731D}"/>
              </c:ext>
            </c:extLst>
          </c:dPt>
          <c:dPt>
            <c:idx val="29"/>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B-6502-4585-8F2B-693928E9731D}"/>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Outputs!$E$3:$E$37</c:f>
              <c:numCache>
                <c:formatCode>_(* #,##0_);_(* \(#,##0\);_(* "-"??_);_(@_)</c:formatCode>
                <c:ptCount val="35"/>
                <c:pt idx="0">
                  <c:v>6854209</c:v>
                </c:pt>
                <c:pt idx="1">
                  <c:v>6854209</c:v>
                </c:pt>
                <c:pt idx="2">
                  <c:v>6854209</c:v>
                </c:pt>
                <c:pt idx="3">
                  <c:v>6854209</c:v>
                </c:pt>
                <c:pt idx="4">
                  <c:v>6719973</c:v>
                </c:pt>
                <c:pt idx="5">
                  <c:v>7076207.5</c:v>
                </c:pt>
                <c:pt idx="6">
                  <c:v>7076207.5</c:v>
                </c:pt>
                <c:pt idx="7">
                  <c:v>7076207.5</c:v>
                </c:pt>
                <c:pt idx="8">
                  <c:v>7076207.5</c:v>
                </c:pt>
                <c:pt idx="9">
                  <c:v>7085410</c:v>
                </c:pt>
                <c:pt idx="10">
                  <c:v>7448595.5</c:v>
                </c:pt>
                <c:pt idx="11">
                  <c:v>7448595.5</c:v>
                </c:pt>
                <c:pt idx="12">
                  <c:v>7448595.5</c:v>
                </c:pt>
                <c:pt idx="13">
                  <c:v>7448595.5</c:v>
                </c:pt>
                <c:pt idx="14">
                  <c:v>7404117</c:v>
                </c:pt>
                <c:pt idx="15">
                  <c:v>7782911</c:v>
                </c:pt>
                <c:pt idx="16">
                  <c:v>7782911</c:v>
                </c:pt>
                <c:pt idx="17">
                  <c:v>7782911</c:v>
                </c:pt>
                <c:pt idx="18">
                  <c:v>7782911</c:v>
                </c:pt>
                <c:pt idx="19">
                  <c:v>7747679</c:v>
                </c:pt>
                <c:pt idx="20">
                  <c:v>8338208.5</c:v>
                </c:pt>
                <c:pt idx="21">
                  <c:v>8410662</c:v>
                </c:pt>
                <c:pt idx="22">
                  <c:v>7853889.5</c:v>
                </c:pt>
                <c:pt idx="23">
                  <c:v>7918685.5</c:v>
                </c:pt>
                <c:pt idx="24">
                  <c:v>8269462</c:v>
                </c:pt>
                <c:pt idx="25">
                  <c:v>7667298</c:v>
                </c:pt>
                <c:pt idx="26">
                  <c:v>7999028.5</c:v>
                </c:pt>
                <c:pt idx="27">
                  <c:v>7809834.5</c:v>
                </c:pt>
                <c:pt idx="28">
                  <c:v>7616045.5</c:v>
                </c:pt>
                <c:pt idx="29">
                  <c:v>9034207</c:v>
                </c:pt>
                <c:pt idx="30">
                  <c:v>7017839.5</c:v>
                </c:pt>
                <c:pt idx="31">
                  <c:v>7658685.5</c:v>
                </c:pt>
                <c:pt idx="32">
                  <c:v>7798055</c:v>
                </c:pt>
                <c:pt idx="33">
                  <c:v>6883173.5</c:v>
                </c:pt>
                <c:pt idx="34">
                  <c:v>0</c:v>
                </c:pt>
              </c:numCache>
            </c:numRef>
          </c:val>
          <c:extLst>
            <c:ext xmlns:c16="http://schemas.microsoft.com/office/drawing/2014/chart" uri="{C3380CC4-5D6E-409C-BE32-E72D297353CC}">
              <c16:uniqueId val="{0000000C-6502-4585-8F2B-693928E9731D}"/>
            </c:ext>
          </c:extLst>
        </c:ser>
        <c:ser>
          <c:idx val="1"/>
          <c:order val="1"/>
          <c:tx>
            <c:strRef>
              <c:f>Outputs!$F$2</c:f>
              <c:strCache>
                <c:ptCount val="1"/>
                <c:pt idx="0">
                  <c:v>NonWorkTrips</c:v>
                </c:pt>
              </c:strCache>
            </c:strRef>
          </c:tx>
          <c:spPr>
            <a:solidFill>
              <a:schemeClr val="accent2"/>
            </a:solidFill>
            <a:ln>
              <a:noFill/>
            </a:ln>
            <a:effectLst/>
          </c:spPr>
          <c:invertIfNegative val="0"/>
          <c:dPt>
            <c:idx val="4"/>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E-6502-4585-8F2B-693928E9731D}"/>
              </c:ext>
            </c:extLst>
          </c:dPt>
          <c:dPt>
            <c:idx val="9"/>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0-6502-4585-8F2B-693928E9731D}"/>
              </c:ext>
            </c:extLst>
          </c:dPt>
          <c:dPt>
            <c:idx val="14"/>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2-6502-4585-8F2B-693928E9731D}"/>
              </c:ext>
            </c:extLst>
          </c:dPt>
          <c:dPt>
            <c:idx val="19"/>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4-6502-4585-8F2B-693928E9731D}"/>
              </c:ext>
            </c:extLst>
          </c:dPt>
          <c:dPt>
            <c:idx val="24"/>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6-6502-4585-8F2B-693928E9731D}"/>
              </c:ext>
            </c:extLst>
          </c:dPt>
          <c:dPt>
            <c:idx val="29"/>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8-6502-4585-8F2B-693928E9731D}"/>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Outputs!$F$3:$F$37</c:f>
              <c:numCache>
                <c:formatCode>_(* #,##0_);_(* \(#,##0\);_(* "-"??_);_(@_)</c:formatCode>
                <c:ptCount val="35"/>
                <c:pt idx="0">
                  <c:v>12108041</c:v>
                </c:pt>
                <c:pt idx="1">
                  <c:v>12108041</c:v>
                </c:pt>
                <c:pt idx="2">
                  <c:v>12108041</c:v>
                </c:pt>
                <c:pt idx="3">
                  <c:v>12108041</c:v>
                </c:pt>
                <c:pt idx="4">
                  <c:v>12517561</c:v>
                </c:pt>
                <c:pt idx="5">
                  <c:v>12574511</c:v>
                </c:pt>
                <c:pt idx="6">
                  <c:v>12574511</c:v>
                </c:pt>
                <c:pt idx="7">
                  <c:v>12574511</c:v>
                </c:pt>
                <c:pt idx="8">
                  <c:v>12108041</c:v>
                </c:pt>
                <c:pt idx="9">
                  <c:v>12780796</c:v>
                </c:pt>
                <c:pt idx="10">
                  <c:v>13432439</c:v>
                </c:pt>
                <c:pt idx="11">
                  <c:v>13432439</c:v>
                </c:pt>
                <c:pt idx="12">
                  <c:v>13432439</c:v>
                </c:pt>
                <c:pt idx="13">
                  <c:v>13432439</c:v>
                </c:pt>
                <c:pt idx="14">
                  <c:v>13287174</c:v>
                </c:pt>
                <c:pt idx="15">
                  <c:v>14470249</c:v>
                </c:pt>
                <c:pt idx="16">
                  <c:v>14470249</c:v>
                </c:pt>
                <c:pt idx="17">
                  <c:v>14470249</c:v>
                </c:pt>
                <c:pt idx="18">
                  <c:v>14470249</c:v>
                </c:pt>
                <c:pt idx="19">
                  <c:v>14163775</c:v>
                </c:pt>
                <c:pt idx="20">
                  <c:v>15054934</c:v>
                </c:pt>
                <c:pt idx="21">
                  <c:v>16623991</c:v>
                </c:pt>
                <c:pt idx="22">
                  <c:v>14983331</c:v>
                </c:pt>
                <c:pt idx="23">
                  <c:v>15061492</c:v>
                </c:pt>
                <c:pt idx="24">
                  <c:v>15550811</c:v>
                </c:pt>
                <c:pt idx="25">
                  <c:v>16877196</c:v>
                </c:pt>
                <c:pt idx="26">
                  <c:v>20153306</c:v>
                </c:pt>
                <c:pt idx="27">
                  <c:v>14469737</c:v>
                </c:pt>
                <c:pt idx="28">
                  <c:v>16854726</c:v>
                </c:pt>
                <c:pt idx="29">
                  <c:v>17795642</c:v>
                </c:pt>
                <c:pt idx="30">
                  <c:v>17233956</c:v>
                </c:pt>
                <c:pt idx="31">
                  <c:v>23042494</c:v>
                </c:pt>
                <c:pt idx="32">
                  <c:v>12856261</c:v>
                </c:pt>
                <c:pt idx="33">
                  <c:v>17201938</c:v>
                </c:pt>
                <c:pt idx="34">
                  <c:v>0</c:v>
                </c:pt>
              </c:numCache>
            </c:numRef>
          </c:val>
          <c:extLst>
            <c:ext xmlns:c16="http://schemas.microsoft.com/office/drawing/2014/chart" uri="{C3380CC4-5D6E-409C-BE32-E72D297353CC}">
              <c16:uniqueId val="{00000019-6502-4585-8F2B-693928E9731D}"/>
            </c:ext>
          </c:extLst>
        </c:ser>
        <c:dLbls>
          <c:showLegendKey val="0"/>
          <c:showVal val="0"/>
          <c:showCatName val="0"/>
          <c:showSerName val="0"/>
          <c:showPercent val="0"/>
          <c:showBubbleSize val="0"/>
        </c:dLbls>
        <c:gapWidth val="40"/>
        <c:overlap val="100"/>
        <c:axId val="-22137328"/>
        <c:axId val="-22117744"/>
      </c:barChart>
      <c:catAx>
        <c:axId val="-22137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17744"/>
        <c:crosses val="autoZero"/>
        <c:auto val="1"/>
        <c:lblAlgn val="ctr"/>
        <c:lblOffset val="100"/>
        <c:tickLblSkip val="1"/>
        <c:noMultiLvlLbl val="0"/>
      </c:catAx>
      <c:valAx>
        <c:axId val="-22117744"/>
        <c:scaling>
          <c:orientation val="minMax"/>
          <c:max val="35000000"/>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37328"/>
        <c:crossesAt val="1"/>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Work Trips by Mode - Alt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Outputs!$G$2</c:f>
              <c:strCache>
                <c:ptCount val="1"/>
                <c:pt idx="0">
                  <c:v>CarDriverWorkTrips</c:v>
                </c:pt>
              </c:strCache>
            </c:strRef>
          </c:tx>
          <c:spPr>
            <a:solidFill>
              <a:schemeClr val="accent1"/>
            </a:solidFill>
            <a:ln>
              <a:noFill/>
            </a:ln>
            <a:effectLst/>
          </c:spPr>
          <c:invertIfNegative val="0"/>
          <c:dPt>
            <c:idx val="4"/>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1-4D23-4A48-8E83-3AE4029C510B}"/>
              </c:ext>
            </c:extLst>
          </c:dPt>
          <c:dPt>
            <c:idx val="9"/>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3-4D23-4A48-8E83-3AE4029C510B}"/>
              </c:ext>
            </c:extLst>
          </c:dPt>
          <c:dPt>
            <c:idx val="14"/>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5-4D23-4A48-8E83-3AE4029C510B}"/>
              </c:ext>
            </c:extLst>
          </c:dPt>
          <c:dPt>
            <c:idx val="19"/>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7-4D23-4A48-8E83-3AE4029C510B}"/>
              </c:ext>
            </c:extLst>
          </c:dPt>
          <c:dPt>
            <c:idx val="24"/>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9-4D23-4A48-8E83-3AE4029C510B}"/>
              </c:ext>
            </c:extLst>
          </c:dPt>
          <c:dPt>
            <c:idx val="29"/>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B-4D23-4A48-8E83-3AE4029C510B}"/>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Outputs!$G$3:$G$37</c:f>
              <c:numCache>
                <c:formatCode>_(* #,##0_);_(* \(#,##0\);_(* "-"??_);_(@_)</c:formatCode>
                <c:ptCount val="35"/>
                <c:pt idx="0">
                  <c:v>5173887.5</c:v>
                </c:pt>
                <c:pt idx="1">
                  <c:v>5173887.5</c:v>
                </c:pt>
                <c:pt idx="2">
                  <c:v>5173887.5</c:v>
                </c:pt>
                <c:pt idx="3">
                  <c:v>5173887.5</c:v>
                </c:pt>
                <c:pt idx="4">
                  <c:v>5056511</c:v>
                </c:pt>
                <c:pt idx="5">
                  <c:v>5347543.5</c:v>
                </c:pt>
                <c:pt idx="6">
                  <c:v>5347543.5</c:v>
                </c:pt>
                <c:pt idx="7">
                  <c:v>5347543.5</c:v>
                </c:pt>
                <c:pt idx="8">
                  <c:v>5347543.5</c:v>
                </c:pt>
                <c:pt idx="9">
                  <c:v>5339093</c:v>
                </c:pt>
                <c:pt idx="10">
                  <c:v>5637741.5</c:v>
                </c:pt>
                <c:pt idx="11">
                  <c:v>5637741.5</c:v>
                </c:pt>
                <c:pt idx="12">
                  <c:v>5637741.5</c:v>
                </c:pt>
                <c:pt idx="13">
                  <c:v>5637741.5</c:v>
                </c:pt>
                <c:pt idx="14">
                  <c:v>5596786</c:v>
                </c:pt>
                <c:pt idx="15">
                  <c:v>5896609</c:v>
                </c:pt>
                <c:pt idx="16">
                  <c:v>5896609</c:v>
                </c:pt>
                <c:pt idx="17">
                  <c:v>5896609</c:v>
                </c:pt>
                <c:pt idx="18">
                  <c:v>5896609</c:v>
                </c:pt>
                <c:pt idx="19">
                  <c:v>5867214</c:v>
                </c:pt>
                <c:pt idx="20">
                  <c:v>6272436</c:v>
                </c:pt>
                <c:pt idx="21">
                  <c:v>6370576</c:v>
                </c:pt>
                <c:pt idx="22">
                  <c:v>5872367.5</c:v>
                </c:pt>
                <c:pt idx="23">
                  <c:v>5925044</c:v>
                </c:pt>
                <c:pt idx="24">
                  <c:v>6273071</c:v>
                </c:pt>
                <c:pt idx="25">
                  <c:v>5719176</c:v>
                </c:pt>
                <c:pt idx="26">
                  <c:v>6047065.5</c:v>
                </c:pt>
                <c:pt idx="27">
                  <c:v>5730664.5</c:v>
                </c:pt>
                <c:pt idx="28">
                  <c:v>5602877</c:v>
                </c:pt>
                <c:pt idx="29">
                  <c:v>6828353</c:v>
                </c:pt>
                <c:pt idx="30">
                  <c:v>5165584.5</c:v>
                </c:pt>
                <c:pt idx="31">
                  <c:v>5786286.5</c:v>
                </c:pt>
                <c:pt idx="32">
                  <c:v>5638795.5</c:v>
                </c:pt>
                <c:pt idx="33">
                  <c:v>4968317.5</c:v>
                </c:pt>
                <c:pt idx="34">
                  <c:v>0</c:v>
                </c:pt>
              </c:numCache>
            </c:numRef>
          </c:val>
          <c:extLst>
            <c:ext xmlns:c16="http://schemas.microsoft.com/office/drawing/2014/chart" uri="{C3380CC4-5D6E-409C-BE32-E72D297353CC}">
              <c16:uniqueId val="{0000000C-4D23-4A48-8E83-3AE4029C510B}"/>
            </c:ext>
          </c:extLst>
        </c:ser>
        <c:ser>
          <c:idx val="1"/>
          <c:order val="1"/>
          <c:tx>
            <c:strRef>
              <c:f>Outputs!$H$2</c:f>
              <c:strCache>
                <c:ptCount val="1"/>
                <c:pt idx="0">
                  <c:v>CarPassengerWorkTrips</c:v>
                </c:pt>
              </c:strCache>
            </c:strRef>
          </c:tx>
          <c:spPr>
            <a:solidFill>
              <a:schemeClr val="accent2"/>
            </a:solidFill>
            <a:ln>
              <a:noFill/>
            </a:ln>
            <a:effectLst/>
          </c:spPr>
          <c:invertIfNegative val="0"/>
          <c:dPt>
            <c:idx val="4"/>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E-4D23-4A48-8E83-3AE4029C510B}"/>
              </c:ext>
            </c:extLst>
          </c:dPt>
          <c:dPt>
            <c:idx val="9"/>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10-4D23-4A48-8E83-3AE4029C510B}"/>
              </c:ext>
            </c:extLst>
          </c:dPt>
          <c:dPt>
            <c:idx val="14"/>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12-4D23-4A48-8E83-3AE4029C510B}"/>
              </c:ext>
            </c:extLst>
          </c:dPt>
          <c:dPt>
            <c:idx val="19"/>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14-4D23-4A48-8E83-3AE4029C510B}"/>
              </c:ext>
            </c:extLst>
          </c:dPt>
          <c:dPt>
            <c:idx val="24"/>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16-4D23-4A48-8E83-3AE4029C510B}"/>
              </c:ext>
            </c:extLst>
          </c:dPt>
          <c:dPt>
            <c:idx val="29"/>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18-4D23-4A48-8E83-3AE4029C510B}"/>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Outputs!$H$3:$H$37</c:f>
              <c:numCache>
                <c:formatCode>_(* #,##0_);_(* \(#,##0\);_(* "-"??_);_(@_)</c:formatCode>
                <c:ptCount val="35"/>
                <c:pt idx="0">
                  <c:v>1189440.3799999999</c:v>
                </c:pt>
                <c:pt idx="1">
                  <c:v>1189440.3799999999</c:v>
                </c:pt>
                <c:pt idx="2">
                  <c:v>1189440.3799999999</c:v>
                </c:pt>
                <c:pt idx="3">
                  <c:v>1189440.3799999999</c:v>
                </c:pt>
                <c:pt idx="4">
                  <c:v>1128054</c:v>
                </c:pt>
                <c:pt idx="5">
                  <c:v>1214569.25</c:v>
                </c:pt>
                <c:pt idx="6">
                  <c:v>1214569.25</c:v>
                </c:pt>
                <c:pt idx="7">
                  <c:v>1214569.25</c:v>
                </c:pt>
                <c:pt idx="8">
                  <c:v>1214569.25</c:v>
                </c:pt>
                <c:pt idx="9">
                  <c:v>1175291</c:v>
                </c:pt>
                <c:pt idx="10">
                  <c:v>1256930.8799999999</c:v>
                </c:pt>
                <c:pt idx="11">
                  <c:v>1256930.8799999999</c:v>
                </c:pt>
                <c:pt idx="12">
                  <c:v>1256930.8799999999</c:v>
                </c:pt>
                <c:pt idx="13">
                  <c:v>1256930.8799999999</c:v>
                </c:pt>
                <c:pt idx="14">
                  <c:v>1214536</c:v>
                </c:pt>
                <c:pt idx="15">
                  <c:v>1293187.6299999999</c:v>
                </c:pt>
                <c:pt idx="16">
                  <c:v>1293187.6299999999</c:v>
                </c:pt>
                <c:pt idx="17">
                  <c:v>1293187.6299999999</c:v>
                </c:pt>
                <c:pt idx="18">
                  <c:v>1293187.6299999999</c:v>
                </c:pt>
                <c:pt idx="19">
                  <c:v>1264822</c:v>
                </c:pt>
                <c:pt idx="20">
                  <c:v>1372133.88</c:v>
                </c:pt>
                <c:pt idx="21">
                  <c:v>1380498.5</c:v>
                </c:pt>
                <c:pt idx="22">
                  <c:v>1290922.5</c:v>
                </c:pt>
                <c:pt idx="23">
                  <c:v>1254159.75</c:v>
                </c:pt>
                <c:pt idx="24">
                  <c:v>1347992</c:v>
                </c:pt>
                <c:pt idx="25">
                  <c:v>1267854.8799999999</c:v>
                </c:pt>
                <c:pt idx="26">
                  <c:v>1297359.25</c:v>
                </c:pt>
                <c:pt idx="27">
                  <c:v>1280687</c:v>
                </c:pt>
                <c:pt idx="28">
                  <c:v>1105798.1299999999</c:v>
                </c:pt>
                <c:pt idx="29">
                  <c:v>1471719</c:v>
                </c:pt>
                <c:pt idx="30">
                  <c:v>1165733.5</c:v>
                </c:pt>
                <c:pt idx="31">
                  <c:v>1220383.8799999999</c:v>
                </c:pt>
                <c:pt idx="32">
                  <c:v>1284632.75</c:v>
                </c:pt>
                <c:pt idx="33">
                  <c:v>906132.31</c:v>
                </c:pt>
                <c:pt idx="34">
                  <c:v>0</c:v>
                </c:pt>
              </c:numCache>
            </c:numRef>
          </c:val>
          <c:extLst>
            <c:ext xmlns:c16="http://schemas.microsoft.com/office/drawing/2014/chart" uri="{C3380CC4-5D6E-409C-BE32-E72D297353CC}">
              <c16:uniqueId val="{00000019-4D23-4A48-8E83-3AE4029C510B}"/>
            </c:ext>
          </c:extLst>
        </c:ser>
        <c:ser>
          <c:idx val="2"/>
          <c:order val="2"/>
          <c:tx>
            <c:strRef>
              <c:f>Outputs!$I$2</c:f>
              <c:strCache>
                <c:ptCount val="1"/>
                <c:pt idx="0">
                  <c:v>TransitWorkTrips</c:v>
                </c:pt>
              </c:strCache>
            </c:strRef>
          </c:tx>
          <c:spPr>
            <a:solidFill>
              <a:schemeClr val="accent3"/>
            </a:solidFill>
            <a:ln>
              <a:noFill/>
            </a:ln>
            <a:effectLst/>
          </c:spPr>
          <c:invertIfNegative val="0"/>
          <c:dPt>
            <c:idx val="4"/>
            <c:invertIfNegative val="0"/>
            <c:bubble3D val="0"/>
            <c:spPr>
              <a:solidFill>
                <a:srgbClr val="C00000"/>
              </a:solidFill>
              <a:ln>
                <a:noFill/>
              </a:ln>
              <a:effectLst/>
            </c:spPr>
            <c:extLst>
              <c:ext xmlns:c16="http://schemas.microsoft.com/office/drawing/2014/chart" uri="{C3380CC4-5D6E-409C-BE32-E72D297353CC}">
                <c16:uniqueId val="{0000001B-4D23-4A48-8E83-3AE4029C510B}"/>
              </c:ext>
            </c:extLst>
          </c:dPt>
          <c:dPt>
            <c:idx val="9"/>
            <c:invertIfNegative val="0"/>
            <c:bubble3D val="0"/>
            <c:spPr>
              <a:solidFill>
                <a:srgbClr val="C00000"/>
              </a:solidFill>
              <a:ln>
                <a:noFill/>
              </a:ln>
              <a:effectLst/>
            </c:spPr>
            <c:extLst>
              <c:ext xmlns:c16="http://schemas.microsoft.com/office/drawing/2014/chart" uri="{C3380CC4-5D6E-409C-BE32-E72D297353CC}">
                <c16:uniqueId val="{0000001D-4D23-4A48-8E83-3AE4029C510B}"/>
              </c:ext>
            </c:extLst>
          </c:dPt>
          <c:dPt>
            <c:idx val="14"/>
            <c:invertIfNegative val="0"/>
            <c:bubble3D val="0"/>
            <c:spPr>
              <a:solidFill>
                <a:srgbClr val="C00000"/>
              </a:solidFill>
              <a:ln>
                <a:noFill/>
              </a:ln>
              <a:effectLst/>
            </c:spPr>
            <c:extLst>
              <c:ext xmlns:c16="http://schemas.microsoft.com/office/drawing/2014/chart" uri="{C3380CC4-5D6E-409C-BE32-E72D297353CC}">
                <c16:uniqueId val="{0000001F-4D23-4A48-8E83-3AE4029C510B}"/>
              </c:ext>
            </c:extLst>
          </c:dPt>
          <c:dPt>
            <c:idx val="19"/>
            <c:invertIfNegative val="0"/>
            <c:bubble3D val="0"/>
            <c:spPr>
              <a:solidFill>
                <a:srgbClr val="C00000"/>
              </a:solidFill>
              <a:ln>
                <a:noFill/>
              </a:ln>
              <a:effectLst/>
            </c:spPr>
            <c:extLst>
              <c:ext xmlns:c16="http://schemas.microsoft.com/office/drawing/2014/chart" uri="{C3380CC4-5D6E-409C-BE32-E72D297353CC}">
                <c16:uniqueId val="{00000021-4D23-4A48-8E83-3AE4029C510B}"/>
              </c:ext>
            </c:extLst>
          </c:dPt>
          <c:dPt>
            <c:idx val="24"/>
            <c:invertIfNegative val="0"/>
            <c:bubble3D val="0"/>
            <c:spPr>
              <a:solidFill>
                <a:srgbClr val="C00000"/>
              </a:solidFill>
              <a:ln>
                <a:noFill/>
              </a:ln>
              <a:effectLst/>
            </c:spPr>
            <c:extLst>
              <c:ext xmlns:c16="http://schemas.microsoft.com/office/drawing/2014/chart" uri="{C3380CC4-5D6E-409C-BE32-E72D297353CC}">
                <c16:uniqueId val="{00000023-4D23-4A48-8E83-3AE4029C510B}"/>
              </c:ext>
            </c:extLst>
          </c:dPt>
          <c:dPt>
            <c:idx val="29"/>
            <c:invertIfNegative val="0"/>
            <c:bubble3D val="0"/>
            <c:spPr>
              <a:solidFill>
                <a:srgbClr val="C00000"/>
              </a:solidFill>
              <a:ln>
                <a:noFill/>
              </a:ln>
              <a:effectLst/>
            </c:spPr>
            <c:extLst>
              <c:ext xmlns:c16="http://schemas.microsoft.com/office/drawing/2014/chart" uri="{C3380CC4-5D6E-409C-BE32-E72D297353CC}">
                <c16:uniqueId val="{00000025-4D23-4A48-8E83-3AE4029C510B}"/>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Outputs!$I$3:$I$37</c:f>
              <c:numCache>
                <c:formatCode>_(* #,##0_);_(* \(#,##0\);_(* "-"??_);_(@_)</c:formatCode>
                <c:ptCount val="35"/>
                <c:pt idx="0">
                  <c:v>169515.48</c:v>
                </c:pt>
                <c:pt idx="1">
                  <c:v>169515.48</c:v>
                </c:pt>
                <c:pt idx="2">
                  <c:v>169515.48</c:v>
                </c:pt>
                <c:pt idx="3">
                  <c:v>169515.48</c:v>
                </c:pt>
                <c:pt idx="4">
                  <c:v>179552</c:v>
                </c:pt>
                <c:pt idx="5">
                  <c:v>177607.47</c:v>
                </c:pt>
                <c:pt idx="6">
                  <c:v>177607.47</c:v>
                </c:pt>
                <c:pt idx="7">
                  <c:v>177607.47</c:v>
                </c:pt>
                <c:pt idx="8">
                  <c:v>177607.47</c:v>
                </c:pt>
                <c:pt idx="9">
                  <c:v>192918</c:v>
                </c:pt>
                <c:pt idx="10">
                  <c:v>191722.67</c:v>
                </c:pt>
                <c:pt idx="11">
                  <c:v>191722.67</c:v>
                </c:pt>
                <c:pt idx="12">
                  <c:v>191722.67</c:v>
                </c:pt>
                <c:pt idx="13">
                  <c:v>191722.67</c:v>
                </c:pt>
                <c:pt idx="14">
                  <c:v>198599</c:v>
                </c:pt>
                <c:pt idx="15">
                  <c:v>206115.38</c:v>
                </c:pt>
                <c:pt idx="16">
                  <c:v>206115.38</c:v>
                </c:pt>
                <c:pt idx="17">
                  <c:v>206115.38</c:v>
                </c:pt>
                <c:pt idx="18">
                  <c:v>206115.38</c:v>
                </c:pt>
                <c:pt idx="19">
                  <c:v>205579</c:v>
                </c:pt>
                <c:pt idx="20">
                  <c:v>241174.09</c:v>
                </c:pt>
                <c:pt idx="21">
                  <c:v>230675.34</c:v>
                </c:pt>
                <c:pt idx="22">
                  <c:v>238504.08</c:v>
                </c:pt>
                <c:pt idx="23">
                  <c:v>229808.52</c:v>
                </c:pt>
                <c:pt idx="24">
                  <c:v>213422</c:v>
                </c:pt>
                <c:pt idx="25">
                  <c:v>235184.98</c:v>
                </c:pt>
                <c:pt idx="26">
                  <c:v>230597.36</c:v>
                </c:pt>
                <c:pt idx="27">
                  <c:v>270370.38</c:v>
                </c:pt>
                <c:pt idx="28">
                  <c:v>260112.52</c:v>
                </c:pt>
                <c:pt idx="29">
                  <c:v>258864</c:v>
                </c:pt>
                <c:pt idx="30">
                  <c:v>235695.5</c:v>
                </c:pt>
                <c:pt idx="31">
                  <c:v>230438.66</c:v>
                </c:pt>
                <c:pt idx="32">
                  <c:v>289084.65999999997</c:v>
                </c:pt>
                <c:pt idx="33">
                  <c:v>268178</c:v>
                </c:pt>
                <c:pt idx="34">
                  <c:v>0</c:v>
                </c:pt>
              </c:numCache>
            </c:numRef>
          </c:val>
          <c:extLst>
            <c:ext xmlns:c16="http://schemas.microsoft.com/office/drawing/2014/chart" uri="{C3380CC4-5D6E-409C-BE32-E72D297353CC}">
              <c16:uniqueId val="{00000026-4D23-4A48-8E83-3AE4029C510B}"/>
            </c:ext>
          </c:extLst>
        </c:ser>
        <c:ser>
          <c:idx val="3"/>
          <c:order val="3"/>
          <c:tx>
            <c:strRef>
              <c:f>Outputs!$J$2</c:f>
              <c:strCache>
                <c:ptCount val="1"/>
                <c:pt idx="0">
                  <c:v>WalkBikeWorkTrips</c:v>
                </c:pt>
              </c:strCache>
            </c:strRef>
          </c:tx>
          <c:spPr>
            <a:solidFill>
              <a:schemeClr val="accent4"/>
            </a:solidFill>
            <a:ln>
              <a:noFill/>
            </a:ln>
            <a:effectLst/>
          </c:spPr>
          <c:invertIfNegative val="0"/>
          <c:dPt>
            <c:idx val="4"/>
            <c:invertIfNegative val="0"/>
            <c:bubble3D val="0"/>
            <c:spPr>
              <a:solidFill>
                <a:schemeClr val="accent1">
                  <a:lumMod val="75000"/>
                </a:schemeClr>
              </a:solidFill>
              <a:ln>
                <a:noFill/>
              </a:ln>
              <a:effectLst/>
            </c:spPr>
            <c:extLst>
              <c:ext xmlns:c16="http://schemas.microsoft.com/office/drawing/2014/chart" uri="{C3380CC4-5D6E-409C-BE32-E72D297353CC}">
                <c16:uniqueId val="{00000028-4D23-4A48-8E83-3AE4029C510B}"/>
              </c:ext>
            </c:extLst>
          </c:dPt>
          <c:dPt>
            <c:idx val="9"/>
            <c:invertIfNegative val="0"/>
            <c:bubble3D val="0"/>
            <c:spPr>
              <a:solidFill>
                <a:schemeClr val="accent1">
                  <a:lumMod val="75000"/>
                </a:schemeClr>
              </a:solidFill>
              <a:ln>
                <a:noFill/>
              </a:ln>
              <a:effectLst/>
            </c:spPr>
            <c:extLst>
              <c:ext xmlns:c16="http://schemas.microsoft.com/office/drawing/2014/chart" uri="{C3380CC4-5D6E-409C-BE32-E72D297353CC}">
                <c16:uniqueId val="{0000002A-4D23-4A48-8E83-3AE4029C510B}"/>
              </c:ext>
            </c:extLst>
          </c:dPt>
          <c:dPt>
            <c:idx val="14"/>
            <c:invertIfNegative val="0"/>
            <c:bubble3D val="0"/>
            <c:spPr>
              <a:solidFill>
                <a:schemeClr val="accent1">
                  <a:lumMod val="75000"/>
                </a:schemeClr>
              </a:solidFill>
              <a:ln>
                <a:noFill/>
              </a:ln>
              <a:effectLst/>
            </c:spPr>
            <c:extLst>
              <c:ext xmlns:c16="http://schemas.microsoft.com/office/drawing/2014/chart" uri="{C3380CC4-5D6E-409C-BE32-E72D297353CC}">
                <c16:uniqueId val="{0000002C-4D23-4A48-8E83-3AE4029C510B}"/>
              </c:ext>
            </c:extLst>
          </c:dPt>
          <c:dPt>
            <c:idx val="19"/>
            <c:invertIfNegative val="0"/>
            <c:bubble3D val="0"/>
            <c:spPr>
              <a:solidFill>
                <a:schemeClr val="accent1">
                  <a:lumMod val="75000"/>
                </a:schemeClr>
              </a:solidFill>
              <a:ln>
                <a:noFill/>
              </a:ln>
              <a:effectLst/>
            </c:spPr>
            <c:extLst>
              <c:ext xmlns:c16="http://schemas.microsoft.com/office/drawing/2014/chart" uri="{C3380CC4-5D6E-409C-BE32-E72D297353CC}">
                <c16:uniqueId val="{0000002E-4D23-4A48-8E83-3AE4029C510B}"/>
              </c:ext>
            </c:extLst>
          </c:dPt>
          <c:dPt>
            <c:idx val="24"/>
            <c:invertIfNegative val="0"/>
            <c:bubble3D val="0"/>
            <c:spPr>
              <a:solidFill>
                <a:schemeClr val="accent1">
                  <a:lumMod val="75000"/>
                </a:schemeClr>
              </a:solidFill>
              <a:ln>
                <a:noFill/>
              </a:ln>
              <a:effectLst/>
            </c:spPr>
            <c:extLst>
              <c:ext xmlns:c16="http://schemas.microsoft.com/office/drawing/2014/chart" uri="{C3380CC4-5D6E-409C-BE32-E72D297353CC}">
                <c16:uniqueId val="{00000030-4D23-4A48-8E83-3AE4029C510B}"/>
              </c:ext>
            </c:extLst>
          </c:dPt>
          <c:dPt>
            <c:idx val="29"/>
            <c:invertIfNegative val="0"/>
            <c:bubble3D val="0"/>
            <c:spPr>
              <a:solidFill>
                <a:schemeClr val="accent1">
                  <a:lumMod val="75000"/>
                </a:schemeClr>
              </a:solidFill>
              <a:ln>
                <a:noFill/>
              </a:ln>
              <a:effectLst/>
            </c:spPr>
            <c:extLst>
              <c:ext xmlns:c16="http://schemas.microsoft.com/office/drawing/2014/chart" uri="{C3380CC4-5D6E-409C-BE32-E72D297353CC}">
                <c16:uniqueId val="{00000032-4D23-4A48-8E83-3AE4029C510B}"/>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Outputs!$J$3:$J$37</c:f>
              <c:numCache>
                <c:formatCode>_(* #,##0_);_(* \(#,##0\);_(* "-"??_);_(@_)</c:formatCode>
                <c:ptCount val="35"/>
                <c:pt idx="0">
                  <c:v>321373.21999999997</c:v>
                </c:pt>
                <c:pt idx="1">
                  <c:v>321373.21999999997</c:v>
                </c:pt>
                <c:pt idx="2">
                  <c:v>321373.21999999997</c:v>
                </c:pt>
                <c:pt idx="3">
                  <c:v>321373.21999999997</c:v>
                </c:pt>
                <c:pt idx="4">
                  <c:v>355856</c:v>
                </c:pt>
                <c:pt idx="5">
                  <c:v>336493.28</c:v>
                </c:pt>
                <c:pt idx="6">
                  <c:v>336493.28</c:v>
                </c:pt>
                <c:pt idx="7">
                  <c:v>336493.28</c:v>
                </c:pt>
                <c:pt idx="8">
                  <c:v>336493.28</c:v>
                </c:pt>
                <c:pt idx="9">
                  <c:v>378108</c:v>
                </c:pt>
                <c:pt idx="10">
                  <c:v>362200.13</c:v>
                </c:pt>
                <c:pt idx="11">
                  <c:v>362200.13</c:v>
                </c:pt>
                <c:pt idx="12">
                  <c:v>362200.13</c:v>
                </c:pt>
                <c:pt idx="13">
                  <c:v>362200.13</c:v>
                </c:pt>
                <c:pt idx="14">
                  <c:v>394196</c:v>
                </c:pt>
                <c:pt idx="15">
                  <c:v>387006.19</c:v>
                </c:pt>
                <c:pt idx="16">
                  <c:v>387006.19</c:v>
                </c:pt>
                <c:pt idx="17">
                  <c:v>387006.19</c:v>
                </c:pt>
                <c:pt idx="18">
                  <c:v>387006.19</c:v>
                </c:pt>
                <c:pt idx="19">
                  <c:v>410064</c:v>
                </c:pt>
                <c:pt idx="20">
                  <c:v>452467.94</c:v>
                </c:pt>
                <c:pt idx="21">
                  <c:v>428908.5</c:v>
                </c:pt>
                <c:pt idx="22">
                  <c:v>452101.31</c:v>
                </c:pt>
                <c:pt idx="23">
                  <c:v>509661.97</c:v>
                </c:pt>
                <c:pt idx="24">
                  <c:v>434977</c:v>
                </c:pt>
                <c:pt idx="25">
                  <c:v>445087.53</c:v>
                </c:pt>
                <c:pt idx="26">
                  <c:v>424026.44</c:v>
                </c:pt>
                <c:pt idx="27">
                  <c:v>528105.5</c:v>
                </c:pt>
                <c:pt idx="28">
                  <c:v>647260.56000000006</c:v>
                </c:pt>
                <c:pt idx="29">
                  <c:v>475271</c:v>
                </c:pt>
                <c:pt idx="30">
                  <c:v>450826.97</c:v>
                </c:pt>
                <c:pt idx="31">
                  <c:v>421582.47</c:v>
                </c:pt>
                <c:pt idx="32">
                  <c:v>585539.18999999994</c:v>
                </c:pt>
                <c:pt idx="33">
                  <c:v>740542.69</c:v>
                </c:pt>
                <c:pt idx="34">
                  <c:v>0</c:v>
                </c:pt>
              </c:numCache>
            </c:numRef>
          </c:val>
          <c:extLst>
            <c:ext xmlns:c16="http://schemas.microsoft.com/office/drawing/2014/chart" uri="{C3380CC4-5D6E-409C-BE32-E72D297353CC}">
              <c16:uniqueId val="{00000033-4D23-4A48-8E83-3AE4029C510B}"/>
            </c:ext>
          </c:extLst>
        </c:ser>
        <c:dLbls>
          <c:showLegendKey val="0"/>
          <c:showVal val="0"/>
          <c:showCatName val="0"/>
          <c:showSerName val="0"/>
          <c:showPercent val="0"/>
          <c:showBubbleSize val="0"/>
        </c:dLbls>
        <c:gapWidth val="40"/>
        <c:overlap val="100"/>
        <c:axId val="-22115568"/>
        <c:axId val="-22113936"/>
      </c:barChart>
      <c:catAx>
        <c:axId val="-22115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13936"/>
        <c:crosses val="autoZero"/>
        <c:auto val="1"/>
        <c:lblAlgn val="ctr"/>
        <c:lblOffset val="100"/>
        <c:tickLblSkip val="1"/>
        <c:noMultiLvlLbl val="0"/>
      </c:catAx>
      <c:valAx>
        <c:axId val="-22113936"/>
        <c:scaling>
          <c:orientation val="minMax"/>
          <c:max val="10000000"/>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15568"/>
        <c:crossesAt val="1"/>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NonWork Trips by Modes - Alt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Outputs!$K$2</c:f>
              <c:strCache>
                <c:ptCount val="1"/>
                <c:pt idx="0">
                  <c:v>CarDriverNonWorkTrips</c:v>
                </c:pt>
              </c:strCache>
            </c:strRef>
          </c:tx>
          <c:spPr>
            <a:solidFill>
              <a:schemeClr val="accent1"/>
            </a:solidFill>
            <a:ln>
              <a:noFill/>
            </a:ln>
            <a:effectLst/>
          </c:spPr>
          <c:invertIfNegative val="0"/>
          <c:dPt>
            <c:idx val="4"/>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1-E9F2-467A-B6C4-49867D70EBB2}"/>
              </c:ext>
            </c:extLst>
          </c:dPt>
          <c:dPt>
            <c:idx val="9"/>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3-E9F2-467A-B6C4-49867D70EBB2}"/>
              </c:ext>
            </c:extLst>
          </c:dPt>
          <c:dPt>
            <c:idx val="14"/>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5-E9F2-467A-B6C4-49867D70EBB2}"/>
              </c:ext>
            </c:extLst>
          </c:dPt>
          <c:dPt>
            <c:idx val="19"/>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7-E9F2-467A-B6C4-49867D70EBB2}"/>
              </c:ext>
            </c:extLst>
          </c:dPt>
          <c:dPt>
            <c:idx val="24"/>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9-E9F2-467A-B6C4-49867D70EBB2}"/>
              </c:ext>
            </c:extLst>
          </c:dPt>
          <c:dPt>
            <c:idx val="29"/>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B-E9F2-467A-B6C4-49867D70EBB2}"/>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Outputs!$K$3:$K$37</c:f>
              <c:numCache>
                <c:formatCode>_(* #,##0_);_(* \(#,##0\);_(* "-"??_);_(@_)</c:formatCode>
                <c:ptCount val="35"/>
                <c:pt idx="0">
                  <c:v>4408959.5</c:v>
                </c:pt>
                <c:pt idx="1">
                  <c:v>4408959.5</c:v>
                </c:pt>
                <c:pt idx="2">
                  <c:v>4408959.5</c:v>
                </c:pt>
                <c:pt idx="3">
                  <c:v>4408959.5</c:v>
                </c:pt>
                <c:pt idx="4">
                  <c:v>4699398</c:v>
                </c:pt>
                <c:pt idx="5">
                  <c:v>4618690</c:v>
                </c:pt>
                <c:pt idx="6">
                  <c:v>4618690</c:v>
                </c:pt>
                <c:pt idx="7">
                  <c:v>4618690</c:v>
                </c:pt>
                <c:pt idx="8">
                  <c:v>4618690</c:v>
                </c:pt>
                <c:pt idx="9">
                  <c:v>4882344</c:v>
                </c:pt>
                <c:pt idx="10">
                  <c:v>4998210.5</c:v>
                </c:pt>
                <c:pt idx="11">
                  <c:v>4998210.5</c:v>
                </c:pt>
                <c:pt idx="12">
                  <c:v>4998210.5</c:v>
                </c:pt>
                <c:pt idx="13">
                  <c:v>4998210.5</c:v>
                </c:pt>
                <c:pt idx="14">
                  <c:v>5159644</c:v>
                </c:pt>
                <c:pt idx="15">
                  <c:v>5452492</c:v>
                </c:pt>
                <c:pt idx="16">
                  <c:v>5452492</c:v>
                </c:pt>
                <c:pt idx="17">
                  <c:v>5452492</c:v>
                </c:pt>
                <c:pt idx="18">
                  <c:v>5452492</c:v>
                </c:pt>
                <c:pt idx="19">
                  <c:v>5526111</c:v>
                </c:pt>
                <c:pt idx="20">
                  <c:v>5660037.5</c:v>
                </c:pt>
                <c:pt idx="21">
                  <c:v>6358911</c:v>
                </c:pt>
                <c:pt idx="22">
                  <c:v>5553658</c:v>
                </c:pt>
                <c:pt idx="23">
                  <c:v>5325356.5</c:v>
                </c:pt>
                <c:pt idx="24">
                  <c:v>6066518</c:v>
                </c:pt>
                <c:pt idx="25">
                  <c:v>6303811.5</c:v>
                </c:pt>
                <c:pt idx="26">
                  <c:v>7913444.5</c:v>
                </c:pt>
                <c:pt idx="27">
                  <c:v>5268538.5</c:v>
                </c:pt>
                <c:pt idx="28">
                  <c:v>5876757.5</c:v>
                </c:pt>
                <c:pt idx="29">
                  <c:v>6864398</c:v>
                </c:pt>
                <c:pt idx="30">
                  <c:v>6336385.5</c:v>
                </c:pt>
                <c:pt idx="31">
                  <c:v>9318495</c:v>
                </c:pt>
                <c:pt idx="32">
                  <c:v>4660341.5</c:v>
                </c:pt>
                <c:pt idx="33">
                  <c:v>5909740.5</c:v>
                </c:pt>
                <c:pt idx="34">
                  <c:v>0</c:v>
                </c:pt>
              </c:numCache>
            </c:numRef>
          </c:val>
          <c:extLst>
            <c:ext xmlns:c16="http://schemas.microsoft.com/office/drawing/2014/chart" uri="{C3380CC4-5D6E-409C-BE32-E72D297353CC}">
              <c16:uniqueId val="{0000000C-E9F2-467A-B6C4-49867D70EBB2}"/>
            </c:ext>
          </c:extLst>
        </c:ser>
        <c:ser>
          <c:idx val="1"/>
          <c:order val="1"/>
          <c:tx>
            <c:strRef>
              <c:f>Outputs!$L$2</c:f>
              <c:strCache>
                <c:ptCount val="1"/>
                <c:pt idx="0">
                  <c:v>CarPassengerNonWorkTrips</c:v>
                </c:pt>
              </c:strCache>
            </c:strRef>
          </c:tx>
          <c:spPr>
            <a:solidFill>
              <a:schemeClr val="accent2"/>
            </a:solidFill>
            <a:ln>
              <a:noFill/>
            </a:ln>
            <a:effectLst/>
          </c:spPr>
          <c:invertIfNegative val="0"/>
          <c:dPt>
            <c:idx val="4"/>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E-E9F2-467A-B6C4-49867D70EBB2}"/>
              </c:ext>
            </c:extLst>
          </c:dPt>
          <c:dPt>
            <c:idx val="9"/>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10-E9F2-467A-B6C4-49867D70EBB2}"/>
              </c:ext>
            </c:extLst>
          </c:dPt>
          <c:dPt>
            <c:idx val="14"/>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2-E9F2-467A-B6C4-49867D70EBB2}"/>
              </c:ext>
            </c:extLst>
          </c:dPt>
          <c:dPt>
            <c:idx val="19"/>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4-E9F2-467A-B6C4-49867D70EBB2}"/>
              </c:ext>
            </c:extLst>
          </c:dPt>
          <c:dPt>
            <c:idx val="24"/>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6-E9F2-467A-B6C4-49867D70EBB2}"/>
              </c:ext>
            </c:extLst>
          </c:dPt>
          <c:dPt>
            <c:idx val="29"/>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8-E9F2-467A-B6C4-49867D70EBB2}"/>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Outputs!$L$3:$L$37</c:f>
              <c:numCache>
                <c:formatCode>_(* #,##0_);_(* \(#,##0\);_(* "-"??_);_(@_)</c:formatCode>
                <c:ptCount val="35"/>
                <c:pt idx="0">
                  <c:v>6195695</c:v>
                </c:pt>
                <c:pt idx="1">
                  <c:v>6195695</c:v>
                </c:pt>
                <c:pt idx="2">
                  <c:v>6195695</c:v>
                </c:pt>
                <c:pt idx="3">
                  <c:v>6195695</c:v>
                </c:pt>
                <c:pt idx="4">
                  <c:v>6114477</c:v>
                </c:pt>
                <c:pt idx="5">
                  <c:v>6396266.5</c:v>
                </c:pt>
                <c:pt idx="6">
                  <c:v>6396266.5</c:v>
                </c:pt>
                <c:pt idx="7">
                  <c:v>6396266.5</c:v>
                </c:pt>
                <c:pt idx="8">
                  <c:v>6396266.5</c:v>
                </c:pt>
                <c:pt idx="9">
                  <c:v>6176842</c:v>
                </c:pt>
                <c:pt idx="10">
                  <c:v>6763286.5</c:v>
                </c:pt>
                <c:pt idx="11">
                  <c:v>6763286.5</c:v>
                </c:pt>
                <c:pt idx="12">
                  <c:v>6763286.5</c:v>
                </c:pt>
                <c:pt idx="13">
                  <c:v>6763286.5</c:v>
                </c:pt>
                <c:pt idx="14">
                  <c:v>6374701</c:v>
                </c:pt>
                <c:pt idx="15">
                  <c:v>7204250.5</c:v>
                </c:pt>
                <c:pt idx="16">
                  <c:v>7204250.5</c:v>
                </c:pt>
                <c:pt idx="17">
                  <c:v>7204250.5</c:v>
                </c:pt>
                <c:pt idx="18">
                  <c:v>7204250.5</c:v>
                </c:pt>
                <c:pt idx="19">
                  <c:v>6798167</c:v>
                </c:pt>
                <c:pt idx="20">
                  <c:v>7378455.5</c:v>
                </c:pt>
                <c:pt idx="21">
                  <c:v>8155587.5</c:v>
                </c:pt>
                <c:pt idx="22">
                  <c:v>7321163</c:v>
                </c:pt>
                <c:pt idx="23">
                  <c:v>7500986</c:v>
                </c:pt>
                <c:pt idx="24">
                  <c:v>7479242</c:v>
                </c:pt>
                <c:pt idx="25">
                  <c:v>8183935</c:v>
                </c:pt>
                <c:pt idx="26">
                  <c:v>9628938</c:v>
                </c:pt>
                <c:pt idx="27">
                  <c:v>6888948.5</c:v>
                </c:pt>
                <c:pt idx="28">
                  <c:v>7862059</c:v>
                </c:pt>
                <c:pt idx="29">
                  <c:v>8602427</c:v>
                </c:pt>
                <c:pt idx="30">
                  <c:v>8232770.5</c:v>
                </c:pt>
                <c:pt idx="31">
                  <c:v>10694413</c:v>
                </c:pt>
                <c:pt idx="32">
                  <c:v>5987396</c:v>
                </c:pt>
                <c:pt idx="33">
                  <c:v>7445143.5</c:v>
                </c:pt>
                <c:pt idx="34">
                  <c:v>0</c:v>
                </c:pt>
              </c:numCache>
            </c:numRef>
          </c:val>
          <c:extLst>
            <c:ext xmlns:c16="http://schemas.microsoft.com/office/drawing/2014/chart" uri="{C3380CC4-5D6E-409C-BE32-E72D297353CC}">
              <c16:uniqueId val="{00000019-E9F2-467A-B6C4-49867D70EBB2}"/>
            </c:ext>
          </c:extLst>
        </c:ser>
        <c:ser>
          <c:idx val="2"/>
          <c:order val="2"/>
          <c:tx>
            <c:strRef>
              <c:f>Outputs!$M$2</c:f>
              <c:strCache>
                <c:ptCount val="1"/>
                <c:pt idx="0">
                  <c:v>TransitNonWorkTrips</c:v>
                </c:pt>
              </c:strCache>
            </c:strRef>
          </c:tx>
          <c:spPr>
            <a:solidFill>
              <a:schemeClr val="accent3"/>
            </a:solidFill>
            <a:ln>
              <a:noFill/>
            </a:ln>
            <a:effectLst/>
          </c:spPr>
          <c:invertIfNegative val="0"/>
          <c:dPt>
            <c:idx val="4"/>
            <c:invertIfNegative val="0"/>
            <c:bubble3D val="0"/>
            <c:spPr>
              <a:solidFill>
                <a:srgbClr val="C00000"/>
              </a:solidFill>
              <a:ln>
                <a:noFill/>
              </a:ln>
              <a:effectLst/>
            </c:spPr>
            <c:extLst>
              <c:ext xmlns:c16="http://schemas.microsoft.com/office/drawing/2014/chart" uri="{C3380CC4-5D6E-409C-BE32-E72D297353CC}">
                <c16:uniqueId val="{0000001B-E9F2-467A-B6C4-49867D70EBB2}"/>
              </c:ext>
            </c:extLst>
          </c:dPt>
          <c:dPt>
            <c:idx val="9"/>
            <c:invertIfNegative val="0"/>
            <c:bubble3D val="0"/>
            <c:spPr>
              <a:solidFill>
                <a:srgbClr val="C00000"/>
              </a:solidFill>
              <a:ln>
                <a:noFill/>
              </a:ln>
              <a:effectLst/>
            </c:spPr>
            <c:extLst>
              <c:ext xmlns:c16="http://schemas.microsoft.com/office/drawing/2014/chart" uri="{C3380CC4-5D6E-409C-BE32-E72D297353CC}">
                <c16:uniqueId val="{0000001D-E9F2-467A-B6C4-49867D70EBB2}"/>
              </c:ext>
            </c:extLst>
          </c:dPt>
          <c:dPt>
            <c:idx val="14"/>
            <c:invertIfNegative val="0"/>
            <c:bubble3D val="0"/>
            <c:spPr>
              <a:solidFill>
                <a:srgbClr val="C00000"/>
              </a:solidFill>
              <a:ln>
                <a:noFill/>
              </a:ln>
              <a:effectLst/>
            </c:spPr>
            <c:extLst>
              <c:ext xmlns:c16="http://schemas.microsoft.com/office/drawing/2014/chart" uri="{C3380CC4-5D6E-409C-BE32-E72D297353CC}">
                <c16:uniqueId val="{0000001F-E9F2-467A-B6C4-49867D70EBB2}"/>
              </c:ext>
            </c:extLst>
          </c:dPt>
          <c:dPt>
            <c:idx val="19"/>
            <c:invertIfNegative val="0"/>
            <c:bubble3D val="0"/>
            <c:spPr>
              <a:solidFill>
                <a:srgbClr val="C00000"/>
              </a:solidFill>
              <a:ln>
                <a:noFill/>
              </a:ln>
              <a:effectLst/>
            </c:spPr>
            <c:extLst>
              <c:ext xmlns:c16="http://schemas.microsoft.com/office/drawing/2014/chart" uri="{C3380CC4-5D6E-409C-BE32-E72D297353CC}">
                <c16:uniqueId val="{00000021-E9F2-467A-B6C4-49867D70EBB2}"/>
              </c:ext>
            </c:extLst>
          </c:dPt>
          <c:dPt>
            <c:idx val="24"/>
            <c:invertIfNegative val="0"/>
            <c:bubble3D val="0"/>
            <c:spPr>
              <a:solidFill>
                <a:srgbClr val="C00000"/>
              </a:solidFill>
              <a:ln>
                <a:noFill/>
              </a:ln>
              <a:effectLst/>
            </c:spPr>
            <c:extLst>
              <c:ext xmlns:c16="http://schemas.microsoft.com/office/drawing/2014/chart" uri="{C3380CC4-5D6E-409C-BE32-E72D297353CC}">
                <c16:uniqueId val="{00000023-E9F2-467A-B6C4-49867D70EBB2}"/>
              </c:ext>
            </c:extLst>
          </c:dPt>
          <c:dPt>
            <c:idx val="29"/>
            <c:invertIfNegative val="0"/>
            <c:bubble3D val="0"/>
            <c:spPr>
              <a:solidFill>
                <a:srgbClr val="C00000"/>
              </a:solidFill>
              <a:ln>
                <a:noFill/>
              </a:ln>
              <a:effectLst/>
            </c:spPr>
            <c:extLst>
              <c:ext xmlns:c16="http://schemas.microsoft.com/office/drawing/2014/chart" uri="{C3380CC4-5D6E-409C-BE32-E72D297353CC}">
                <c16:uniqueId val="{00000025-E9F2-467A-B6C4-49867D70EBB2}"/>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Outputs!$M$3:$M$37</c:f>
              <c:numCache>
                <c:formatCode>_(* #,##0_);_(* \(#,##0\);_(* "-"??_);_(@_)</c:formatCode>
                <c:ptCount val="35"/>
                <c:pt idx="0">
                  <c:v>913909.94</c:v>
                </c:pt>
                <c:pt idx="1">
                  <c:v>913909.94</c:v>
                </c:pt>
                <c:pt idx="2">
                  <c:v>913909.94</c:v>
                </c:pt>
                <c:pt idx="3">
                  <c:v>913909.94</c:v>
                </c:pt>
                <c:pt idx="4">
                  <c:v>1094758</c:v>
                </c:pt>
                <c:pt idx="5">
                  <c:v>946450.31</c:v>
                </c:pt>
                <c:pt idx="6">
                  <c:v>946450.31</c:v>
                </c:pt>
                <c:pt idx="7">
                  <c:v>946450.31</c:v>
                </c:pt>
                <c:pt idx="8">
                  <c:v>946450.31</c:v>
                </c:pt>
                <c:pt idx="9">
                  <c:v>1104378</c:v>
                </c:pt>
                <c:pt idx="10">
                  <c:v>1012945.44</c:v>
                </c:pt>
                <c:pt idx="11">
                  <c:v>1012945.44</c:v>
                </c:pt>
                <c:pt idx="12">
                  <c:v>1012945.44</c:v>
                </c:pt>
                <c:pt idx="13">
                  <c:v>1012945.44</c:v>
                </c:pt>
                <c:pt idx="14">
                  <c:v>1117289</c:v>
                </c:pt>
                <c:pt idx="15">
                  <c:v>1102847.75</c:v>
                </c:pt>
                <c:pt idx="16">
                  <c:v>1102847.75</c:v>
                </c:pt>
                <c:pt idx="17">
                  <c:v>1102847.75</c:v>
                </c:pt>
                <c:pt idx="18">
                  <c:v>1102847.75</c:v>
                </c:pt>
                <c:pt idx="19">
                  <c:v>1160879</c:v>
                </c:pt>
                <c:pt idx="20">
                  <c:v>1243459.3799999999</c:v>
                </c:pt>
                <c:pt idx="21">
                  <c:v>1298576.75</c:v>
                </c:pt>
                <c:pt idx="22">
                  <c:v>1302618.75</c:v>
                </c:pt>
                <c:pt idx="23">
                  <c:v>1330127.75</c:v>
                </c:pt>
                <c:pt idx="24">
                  <c:v>1262886</c:v>
                </c:pt>
                <c:pt idx="25">
                  <c:v>1523420</c:v>
                </c:pt>
                <c:pt idx="26">
                  <c:v>1660950.88</c:v>
                </c:pt>
                <c:pt idx="27">
                  <c:v>1484467.63</c:v>
                </c:pt>
                <c:pt idx="28">
                  <c:v>1859170.63</c:v>
                </c:pt>
                <c:pt idx="29">
                  <c:v>1463745</c:v>
                </c:pt>
                <c:pt idx="30">
                  <c:v>1751242.75</c:v>
                </c:pt>
                <c:pt idx="31">
                  <c:v>1995631.38</c:v>
                </c:pt>
                <c:pt idx="32">
                  <c:v>1478988.25</c:v>
                </c:pt>
                <c:pt idx="33">
                  <c:v>2327500.75</c:v>
                </c:pt>
                <c:pt idx="34">
                  <c:v>0</c:v>
                </c:pt>
              </c:numCache>
            </c:numRef>
          </c:val>
          <c:extLst>
            <c:ext xmlns:c16="http://schemas.microsoft.com/office/drawing/2014/chart" uri="{C3380CC4-5D6E-409C-BE32-E72D297353CC}">
              <c16:uniqueId val="{00000026-E9F2-467A-B6C4-49867D70EBB2}"/>
            </c:ext>
          </c:extLst>
        </c:ser>
        <c:ser>
          <c:idx val="3"/>
          <c:order val="3"/>
          <c:tx>
            <c:strRef>
              <c:f>Outputs!$N$2</c:f>
              <c:strCache>
                <c:ptCount val="1"/>
                <c:pt idx="0">
                  <c:v>WalkBikeNonWorkTrips</c:v>
                </c:pt>
              </c:strCache>
            </c:strRef>
          </c:tx>
          <c:spPr>
            <a:solidFill>
              <a:schemeClr val="accent4"/>
            </a:solidFill>
            <a:ln>
              <a:noFill/>
            </a:ln>
            <a:effectLst/>
          </c:spPr>
          <c:invertIfNegative val="0"/>
          <c:dPt>
            <c:idx val="4"/>
            <c:invertIfNegative val="0"/>
            <c:bubble3D val="0"/>
            <c:spPr>
              <a:solidFill>
                <a:schemeClr val="accent5">
                  <a:lumMod val="75000"/>
                </a:schemeClr>
              </a:solidFill>
              <a:ln>
                <a:noFill/>
              </a:ln>
              <a:effectLst/>
            </c:spPr>
            <c:extLst>
              <c:ext xmlns:c16="http://schemas.microsoft.com/office/drawing/2014/chart" uri="{C3380CC4-5D6E-409C-BE32-E72D297353CC}">
                <c16:uniqueId val="{00000028-E9F2-467A-B6C4-49867D70EBB2}"/>
              </c:ext>
            </c:extLst>
          </c:dPt>
          <c:dPt>
            <c:idx val="9"/>
            <c:invertIfNegative val="0"/>
            <c:bubble3D val="0"/>
            <c:spPr>
              <a:solidFill>
                <a:schemeClr val="accent5">
                  <a:lumMod val="75000"/>
                </a:schemeClr>
              </a:solidFill>
              <a:ln>
                <a:noFill/>
              </a:ln>
              <a:effectLst/>
            </c:spPr>
            <c:extLst>
              <c:ext xmlns:c16="http://schemas.microsoft.com/office/drawing/2014/chart" uri="{C3380CC4-5D6E-409C-BE32-E72D297353CC}">
                <c16:uniqueId val="{0000002A-E9F2-467A-B6C4-49867D70EBB2}"/>
              </c:ext>
            </c:extLst>
          </c:dPt>
          <c:dPt>
            <c:idx val="14"/>
            <c:invertIfNegative val="0"/>
            <c:bubble3D val="0"/>
            <c:spPr>
              <a:solidFill>
                <a:schemeClr val="accent5">
                  <a:lumMod val="75000"/>
                </a:schemeClr>
              </a:solidFill>
              <a:ln>
                <a:noFill/>
              </a:ln>
              <a:effectLst/>
            </c:spPr>
            <c:extLst>
              <c:ext xmlns:c16="http://schemas.microsoft.com/office/drawing/2014/chart" uri="{C3380CC4-5D6E-409C-BE32-E72D297353CC}">
                <c16:uniqueId val="{0000002C-E9F2-467A-B6C4-49867D70EBB2}"/>
              </c:ext>
            </c:extLst>
          </c:dPt>
          <c:dPt>
            <c:idx val="19"/>
            <c:invertIfNegative val="0"/>
            <c:bubble3D val="0"/>
            <c:spPr>
              <a:solidFill>
                <a:schemeClr val="accent5">
                  <a:lumMod val="75000"/>
                </a:schemeClr>
              </a:solidFill>
              <a:ln>
                <a:noFill/>
              </a:ln>
              <a:effectLst/>
            </c:spPr>
            <c:extLst>
              <c:ext xmlns:c16="http://schemas.microsoft.com/office/drawing/2014/chart" uri="{C3380CC4-5D6E-409C-BE32-E72D297353CC}">
                <c16:uniqueId val="{0000002E-E9F2-467A-B6C4-49867D70EBB2}"/>
              </c:ext>
            </c:extLst>
          </c:dPt>
          <c:dPt>
            <c:idx val="24"/>
            <c:invertIfNegative val="0"/>
            <c:bubble3D val="0"/>
            <c:spPr>
              <a:solidFill>
                <a:schemeClr val="accent5">
                  <a:lumMod val="75000"/>
                </a:schemeClr>
              </a:solidFill>
              <a:ln>
                <a:noFill/>
              </a:ln>
              <a:effectLst/>
            </c:spPr>
            <c:extLst>
              <c:ext xmlns:c16="http://schemas.microsoft.com/office/drawing/2014/chart" uri="{C3380CC4-5D6E-409C-BE32-E72D297353CC}">
                <c16:uniqueId val="{00000030-E9F2-467A-B6C4-49867D70EBB2}"/>
              </c:ext>
            </c:extLst>
          </c:dPt>
          <c:dPt>
            <c:idx val="29"/>
            <c:invertIfNegative val="0"/>
            <c:bubble3D val="0"/>
            <c:spPr>
              <a:solidFill>
                <a:schemeClr val="accent5">
                  <a:lumMod val="75000"/>
                </a:schemeClr>
              </a:solidFill>
              <a:ln>
                <a:noFill/>
              </a:ln>
              <a:effectLst/>
            </c:spPr>
            <c:extLst>
              <c:ext xmlns:c16="http://schemas.microsoft.com/office/drawing/2014/chart" uri="{C3380CC4-5D6E-409C-BE32-E72D297353CC}">
                <c16:uniqueId val="{00000032-E9F2-467A-B6C4-49867D70EBB2}"/>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Outputs!$N$3:$N$37</c:f>
              <c:numCache>
                <c:formatCode>_(* #,##0_);_(* \(#,##0\);_(* "-"??_);_(@_)</c:formatCode>
                <c:ptCount val="35"/>
                <c:pt idx="0">
                  <c:v>589466.06000000006</c:v>
                </c:pt>
                <c:pt idx="1">
                  <c:v>589466.06000000006</c:v>
                </c:pt>
                <c:pt idx="2">
                  <c:v>589466.06000000006</c:v>
                </c:pt>
                <c:pt idx="3">
                  <c:v>589466.06000000006</c:v>
                </c:pt>
                <c:pt idx="4">
                  <c:v>608928</c:v>
                </c:pt>
                <c:pt idx="5">
                  <c:v>613137.63</c:v>
                </c:pt>
                <c:pt idx="6">
                  <c:v>613137.63</c:v>
                </c:pt>
                <c:pt idx="7">
                  <c:v>613137.63</c:v>
                </c:pt>
                <c:pt idx="8">
                  <c:v>613137.63</c:v>
                </c:pt>
                <c:pt idx="9">
                  <c:v>617232</c:v>
                </c:pt>
                <c:pt idx="10">
                  <c:v>657968.56000000006</c:v>
                </c:pt>
                <c:pt idx="11">
                  <c:v>657968.56000000006</c:v>
                </c:pt>
                <c:pt idx="12">
                  <c:v>657968.56000000006</c:v>
                </c:pt>
                <c:pt idx="13">
                  <c:v>657968.56000000006</c:v>
                </c:pt>
                <c:pt idx="14">
                  <c:v>635540</c:v>
                </c:pt>
                <c:pt idx="15">
                  <c:v>710682.25</c:v>
                </c:pt>
                <c:pt idx="16">
                  <c:v>710682.25</c:v>
                </c:pt>
                <c:pt idx="17">
                  <c:v>710682.25</c:v>
                </c:pt>
                <c:pt idx="18">
                  <c:v>710682.25</c:v>
                </c:pt>
                <c:pt idx="19">
                  <c:v>678618</c:v>
                </c:pt>
                <c:pt idx="20">
                  <c:v>772980.69</c:v>
                </c:pt>
                <c:pt idx="21">
                  <c:v>810878.63</c:v>
                </c:pt>
                <c:pt idx="22">
                  <c:v>805865.25</c:v>
                </c:pt>
                <c:pt idx="23">
                  <c:v>905026.5</c:v>
                </c:pt>
                <c:pt idx="24">
                  <c:v>742165</c:v>
                </c:pt>
                <c:pt idx="25">
                  <c:v>866042.56</c:v>
                </c:pt>
                <c:pt idx="26">
                  <c:v>949913.25</c:v>
                </c:pt>
                <c:pt idx="27">
                  <c:v>827775.38</c:v>
                </c:pt>
                <c:pt idx="28">
                  <c:v>1256756.6299999999</c:v>
                </c:pt>
                <c:pt idx="29">
                  <c:v>865072</c:v>
                </c:pt>
                <c:pt idx="30">
                  <c:v>913537.38</c:v>
                </c:pt>
                <c:pt idx="31">
                  <c:v>1033970.38</c:v>
                </c:pt>
                <c:pt idx="32">
                  <c:v>729548.31</c:v>
                </c:pt>
                <c:pt idx="33">
                  <c:v>1519549.38</c:v>
                </c:pt>
                <c:pt idx="34">
                  <c:v>0</c:v>
                </c:pt>
              </c:numCache>
            </c:numRef>
          </c:val>
          <c:extLst>
            <c:ext xmlns:c16="http://schemas.microsoft.com/office/drawing/2014/chart" uri="{C3380CC4-5D6E-409C-BE32-E72D297353CC}">
              <c16:uniqueId val="{00000033-E9F2-467A-B6C4-49867D70EBB2}"/>
            </c:ext>
          </c:extLst>
        </c:ser>
        <c:dLbls>
          <c:showLegendKey val="0"/>
          <c:showVal val="0"/>
          <c:showCatName val="0"/>
          <c:showSerName val="0"/>
          <c:showPercent val="0"/>
          <c:showBubbleSize val="0"/>
        </c:dLbls>
        <c:gapWidth val="40"/>
        <c:overlap val="100"/>
        <c:axId val="-177653280"/>
        <c:axId val="-177652192"/>
      </c:barChart>
      <c:catAx>
        <c:axId val="-1776532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652192"/>
        <c:crosses val="autoZero"/>
        <c:auto val="1"/>
        <c:lblAlgn val="ctr"/>
        <c:lblOffset val="100"/>
        <c:tickLblSkip val="1"/>
        <c:noMultiLvlLbl val="0"/>
      </c:catAx>
      <c:valAx>
        <c:axId val="-177652192"/>
        <c:scaling>
          <c:orientation val="minMax"/>
          <c:max val="30000000"/>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653280"/>
        <c:crossesAt val="1"/>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Population</a:t>
            </a:r>
            <a:r>
              <a:rPr lang="en-US" baseline="0"/>
              <a:t> by Age Group - SC1</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Outputs!$O$2</c:f>
              <c:strCache>
                <c:ptCount val="1"/>
                <c:pt idx="0">
                  <c:v>Age  0-15</c:v>
                </c:pt>
              </c:strCache>
            </c:strRef>
          </c:tx>
          <c:spPr>
            <a:solidFill>
              <a:schemeClr val="accent1"/>
            </a:solidFill>
            <a:ln>
              <a:noFill/>
            </a:ln>
            <a:effectLst/>
          </c:spPr>
          <c:invertIfNegative val="0"/>
          <c:dPt>
            <c:idx val="4"/>
            <c:invertIfNegative val="0"/>
            <c:bubble3D val="0"/>
            <c:spPr>
              <a:solidFill>
                <a:srgbClr val="FFC000"/>
              </a:solidFill>
              <a:ln>
                <a:noFill/>
              </a:ln>
              <a:effectLst/>
            </c:spPr>
            <c:extLst>
              <c:ext xmlns:c16="http://schemas.microsoft.com/office/drawing/2014/chart" uri="{C3380CC4-5D6E-409C-BE32-E72D297353CC}">
                <c16:uniqueId val="{00000001-AE25-4504-B4FF-1356FB4DDD38}"/>
              </c:ext>
            </c:extLst>
          </c:dPt>
          <c:dPt>
            <c:idx val="9"/>
            <c:invertIfNegative val="0"/>
            <c:bubble3D val="0"/>
            <c:spPr>
              <a:solidFill>
                <a:srgbClr val="FFC000"/>
              </a:solidFill>
              <a:ln>
                <a:noFill/>
              </a:ln>
              <a:effectLst/>
            </c:spPr>
            <c:extLst>
              <c:ext xmlns:c16="http://schemas.microsoft.com/office/drawing/2014/chart" uri="{C3380CC4-5D6E-409C-BE32-E72D297353CC}">
                <c16:uniqueId val="{00000003-AE25-4504-B4FF-1356FB4DDD38}"/>
              </c:ext>
            </c:extLst>
          </c:dPt>
          <c:dPt>
            <c:idx val="14"/>
            <c:invertIfNegative val="0"/>
            <c:bubble3D val="0"/>
            <c:spPr>
              <a:solidFill>
                <a:srgbClr val="FFC000"/>
              </a:solidFill>
              <a:ln>
                <a:noFill/>
              </a:ln>
              <a:effectLst/>
            </c:spPr>
            <c:extLst>
              <c:ext xmlns:c16="http://schemas.microsoft.com/office/drawing/2014/chart" uri="{C3380CC4-5D6E-409C-BE32-E72D297353CC}">
                <c16:uniqueId val="{00000005-AE25-4504-B4FF-1356FB4DDD38}"/>
              </c:ext>
            </c:extLst>
          </c:dPt>
          <c:dPt>
            <c:idx val="19"/>
            <c:invertIfNegative val="0"/>
            <c:bubble3D val="0"/>
            <c:spPr>
              <a:solidFill>
                <a:srgbClr val="FFC000"/>
              </a:solidFill>
              <a:ln>
                <a:noFill/>
              </a:ln>
              <a:effectLst/>
            </c:spPr>
            <c:extLst>
              <c:ext xmlns:c16="http://schemas.microsoft.com/office/drawing/2014/chart" uri="{C3380CC4-5D6E-409C-BE32-E72D297353CC}">
                <c16:uniqueId val="{00000007-AE25-4504-B4FF-1356FB4DDD38}"/>
              </c:ext>
            </c:extLst>
          </c:dPt>
          <c:dPt>
            <c:idx val="24"/>
            <c:invertIfNegative val="0"/>
            <c:bubble3D val="0"/>
            <c:spPr>
              <a:solidFill>
                <a:srgbClr val="FFC000"/>
              </a:solidFill>
              <a:ln>
                <a:noFill/>
              </a:ln>
              <a:effectLst/>
            </c:spPr>
            <c:extLst>
              <c:ext xmlns:c16="http://schemas.microsoft.com/office/drawing/2014/chart" uri="{C3380CC4-5D6E-409C-BE32-E72D297353CC}">
                <c16:uniqueId val="{00000009-AE25-4504-B4FF-1356FB4DDD38}"/>
              </c:ext>
            </c:extLst>
          </c:dPt>
          <c:dPt>
            <c:idx val="29"/>
            <c:invertIfNegative val="0"/>
            <c:bubble3D val="0"/>
            <c:spPr>
              <a:solidFill>
                <a:srgbClr val="FFC000"/>
              </a:solidFill>
              <a:ln>
                <a:noFill/>
              </a:ln>
              <a:effectLst/>
            </c:spPr>
            <c:extLst>
              <c:ext xmlns:c16="http://schemas.microsoft.com/office/drawing/2014/chart" uri="{C3380CC4-5D6E-409C-BE32-E72D297353CC}">
                <c16:uniqueId val="{0000000B-AE25-4504-B4FF-1356FB4DDD38}"/>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Outputs!$O$3:$O$37</c:f>
              <c:numCache>
                <c:formatCode>_(* #,##0_);_(* \(#,##0\);_(* "-"??_);_(@_)</c:formatCode>
                <c:ptCount val="35"/>
                <c:pt idx="0">
                  <c:v>1235655.75</c:v>
                </c:pt>
                <c:pt idx="1">
                  <c:v>1235655.75</c:v>
                </c:pt>
                <c:pt idx="2">
                  <c:v>1235655.75</c:v>
                </c:pt>
                <c:pt idx="3">
                  <c:v>1235655.75</c:v>
                </c:pt>
                <c:pt idx="4">
                  <c:v>1235655.75</c:v>
                </c:pt>
                <c:pt idx="5">
                  <c:v>1287487</c:v>
                </c:pt>
                <c:pt idx="6">
                  <c:v>1287487</c:v>
                </c:pt>
                <c:pt idx="7">
                  <c:v>1287487</c:v>
                </c:pt>
                <c:pt idx="8">
                  <c:v>1287487</c:v>
                </c:pt>
                <c:pt idx="9">
                  <c:v>1239182</c:v>
                </c:pt>
                <c:pt idx="10">
                  <c:v>1362694.75</c:v>
                </c:pt>
                <c:pt idx="11">
                  <c:v>1362694.75</c:v>
                </c:pt>
                <c:pt idx="12">
                  <c:v>1362694.75</c:v>
                </c:pt>
                <c:pt idx="13">
                  <c:v>1362694.75</c:v>
                </c:pt>
                <c:pt idx="14">
                  <c:v>1257537</c:v>
                </c:pt>
                <c:pt idx="15">
                  <c:v>1449304.75</c:v>
                </c:pt>
                <c:pt idx="16">
                  <c:v>1449304.75</c:v>
                </c:pt>
                <c:pt idx="17">
                  <c:v>1449304.75</c:v>
                </c:pt>
                <c:pt idx="18">
                  <c:v>1449304.75</c:v>
                </c:pt>
                <c:pt idx="19">
                  <c:v>1307970</c:v>
                </c:pt>
                <c:pt idx="20">
                  <c:v>1539328.5</c:v>
                </c:pt>
                <c:pt idx="21">
                  <c:v>1541224.25</c:v>
                </c:pt>
                <c:pt idx="22">
                  <c:v>1527013.13</c:v>
                </c:pt>
                <c:pt idx="23">
                  <c:v>1540962</c:v>
                </c:pt>
                <c:pt idx="24">
                  <c:v>1427713</c:v>
                </c:pt>
                <c:pt idx="25">
                  <c:v>1629157</c:v>
                </c:pt>
                <c:pt idx="26">
                  <c:v>1580956.75</c:v>
                </c:pt>
                <c:pt idx="27">
                  <c:v>1490470.25</c:v>
                </c:pt>
                <c:pt idx="28">
                  <c:v>1594925.75</c:v>
                </c:pt>
                <c:pt idx="29">
                  <c:v>1635503</c:v>
                </c:pt>
                <c:pt idx="30">
                  <c:v>1653697.38</c:v>
                </c:pt>
                <c:pt idx="31">
                  <c:v>1508550.25</c:v>
                </c:pt>
                <c:pt idx="32">
                  <c:v>1291233.75</c:v>
                </c:pt>
                <c:pt idx="33">
                  <c:v>1558875</c:v>
                </c:pt>
                <c:pt idx="34">
                  <c:v>0</c:v>
                </c:pt>
              </c:numCache>
            </c:numRef>
          </c:val>
          <c:extLst>
            <c:ext xmlns:c16="http://schemas.microsoft.com/office/drawing/2014/chart" uri="{C3380CC4-5D6E-409C-BE32-E72D297353CC}">
              <c16:uniqueId val="{0000000C-AE25-4504-B4FF-1356FB4DDD38}"/>
            </c:ext>
          </c:extLst>
        </c:ser>
        <c:ser>
          <c:idx val="1"/>
          <c:order val="1"/>
          <c:tx>
            <c:strRef>
              <c:f>Outputs!$P$2</c:f>
              <c:strCache>
                <c:ptCount val="1"/>
                <c:pt idx="0">
                  <c:v>Age 16-29</c:v>
                </c:pt>
              </c:strCache>
            </c:strRef>
          </c:tx>
          <c:spPr>
            <a:solidFill>
              <a:schemeClr val="accent2"/>
            </a:solidFill>
            <a:ln>
              <a:noFill/>
            </a:ln>
            <a:effectLst/>
          </c:spPr>
          <c:invertIfNegative val="0"/>
          <c:dPt>
            <c:idx val="4"/>
            <c:invertIfNegative val="0"/>
            <c:bubble3D val="0"/>
            <c:spPr>
              <a:solidFill>
                <a:srgbClr val="92D050"/>
              </a:solidFill>
              <a:ln>
                <a:noFill/>
              </a:ln>
              <a:effectLst/>
            </c:spPr>
            <c:extLst>
              <c:ext xmlns:c16="http://schemas.microsoft.com/office/drawing/2014/chart" uri="{C3380CC4-5D6E-409C-BE32-E72D297353CC}">
                <c16:uniqueId val="{0000000E-AE25-4504-B4FF-1356FB4DDD38}"/>
              </c:ext>
            </c:extLst>
          </c:dPt>
          <c:dPt>
            <c:idx val="9"/>
            <c:invertIfNegative val="0"/>
            <c:bubble3D val="0"/>
            <c:spPr>
              <a:solidFill>
                <a:srgbClr val="92D050"/>
              </a:solidFill>
              <a:ln>
                <a:noFill/>
              </a:ln>
              <a:effectLst/>
            </c:spPr>
            <c:extLst>
              <c:ext xmlns:c16="http://schemas.microsoft.com/office/drawing/2014/chart" uri="{C3380CC4-5D6E-409C-BE32-E72D297353CC}">
                <c16:uniqueId val="{00000010-AE25-4504-B4FF-1356FB4DDD38}"/>
              </c:ext>
            </c:extLst>
          </c:dPt>
          <c:dPt>
            <c:idx val="14"/>
            <c:invertIfNegative val="0"/>
            <c:bubble3D val="0"/>
            <c:spPr>
              <a:solidFill>
                <a:srgbClr val="92D050"/>
              </a:solidFill>
              <a:ln>
                <a:noFill/>
              </a:ln>
              <a:effectLst/>
            </c:spPr>
            <c:extLst>
              <c:ext xmlns:c16="http://schemas.microsoft.com/office/drawing/2014/chart" uri="{C3380CC4-5D6E-409C-BE32-E72D297353CC}">
                <c16:uniqueId val="{00000012-AE25-4504-B4FF-1356FB4DDD38}"/>
              </c:ext>
            </c:extLst>
          </c:dPt>
          <c:dPt>
            <c:idx val="19"/>
            <c:invertIfNegative val="0"/>
            <c:bubble3D val="0"/>
            <c:spPr>
              <a:solidFill>
                <a:srgbClr val="92D050"/>
              </a:solidFill>
              <a:ln>
                <a:noFill/>
              </a:ln>
              <a:effectLst/>
            </c:spPr>
            <c:extLst>
              <c:ext xmlns:c16="http://schemas.microsoft.com/office/drawing/2014/chart" uri="{C3380CC4-5D6E-409C-BE32-E72D297353CC}">
                <c16:uniqueId val="{00000014-AE25-4504-B4FF-1356FB4DDD38}"/>
              </c:ext>
            </c:extLst>
          </c:dPt>
          <c:dPt>
            <c:idx val="24"/>
            <c:invertIfNegative val="0"/>
            <c:bubble3D val="0"/>
            <c:spPr>
              <a:solidFill>
                <a:srgbClr val="92D050"/>
              </a:solidFill>
              <a:ln>
                <a:noFill/>
              </a:ln>
              <a:effectLst/>
            </c:spPr>
            <c:extLst>
              <c:ext xmlns:c16="http://schemas.microsoft.com/office/drawing/2014/chart" uri="{C3380CC4-5D6E-409C-BE32-E72D297353CC}">
                <c16:uniqueId val="{00000016-AE25-4504-B4FF-1356FB4DDD38}"/>
              </c:ext>
            </c:extLst>
          </c:dPt>
          <c:dPt>
            <c:idx val="29"/>
            <c:invertIfNegative val="0"/>
            <c:bubble3D val="0"/>
            <c:spPr>
              <a:solidFill>
                <a:srgbClr val="92D050"/>
              </a:solidFill>
              <a:ln>
                <a:noFill/>
              </a:ln>
              <a:effectLst/>
            </c:spPr>
            <c:extLst>
              <c:ext xmlns:c16="http://schemas.microsoft.com/office/drawing/2014/chart" uri="{C3380CC4-5D6E-409C-BE32-E72D297353CC}">
                <c16:uniqueId val="{00000018-AE25-4504-B4FF-1356FB4DDD38}"/>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Outputs!$P$3:$P$37</c:f>
              <c:numCache>
                <c:formatCode>_(* #,##0_);_(* \(#,##0\);_(* "-"??_);_(@_)</c:formatCode>
                <c:ptCount val="35"/>
                <c:pt idx="0">
                  <c:v>1016967</c:v>
                </c:pt>
                <c:pt idx="1">
                  <c:v>1016967</c:v>
                </c:pt>
                <c:pt idx="2">
                  <c:v>1016967</c:v>
                </c:pt>
                <c:pt idx="3">
                  <c:v>1016967</c:v>
                </c:pt>
                <c:pt idx="4">
                  <c:v>1016967</c:v>
                </c:pt>
                <c:pt idx="5">
                  <c:v>1090713.25</c:v>
                </c:pt>
                <c:pt idx="6">
                  <c:v>1090713.25</c:v>
                </c:pt>
                <c:pt idx="7">
                  <c:v>1090713.25</c:v>
                </c:pt>
                <c:pt idx="8">
                  <c:v>1090713.25</c:v>
                </c:pt>
                <c:pt idx="9">
                  <c:v>1043446</c:v>
                </c:pt>
                <c:pt idx="10">
                  <c:v>1149795.25</c:v>
                </c:pt>
                <c:pt idx="11">
                  <c:v>1149795.25</c:v>
                </c:pt>
                <c:pt idx="12">
                  <c:v>1149795.25</c:v>
                </c:pt>
                <c:pt idx="13">
                  <c:v>1149795.25</c:v>
                </c:pt>
                <c:pt idx="14">
                  <c:v>1078926</c:v>
                </c:pt>
                <c:pt idx="15">
                  <c:v>1195259.25</c:v>
                </c:pt>
                <c:pt idx="16">
                  <c:v>1195259.25</c:v>
                </c:pt>
                <c:pt idx="17">
                  <c:v>1195259.25</c:v>
                </c:pt>
                <c:pt idx="18">
                  <c:v>1195259.25</c:v>
                </c:pt>
                <c:pt idx="19">
                  <c:v>1129633</c:v>
                </c:pt>
                <c:pt idx="20">
                  <c:v>1250043.5</c:v>
                </c:pt>
                <c:pt idx="21">
                  <c:v>1251236.1299999999</c:v>
                </c:pt>
                <c:pt idx="22">
                  <c:v>1241764.3799999999</c:v>
                </c:pt>
                <c:pt idx="23">
                  <c:v>1249385.75</c:v>
                </c:pt>
                <c:pt idx="24">
                  <c:v>1149953</c:v>
                </c:pt>
                <c:pt idx="25">
                  <c:v>1328922</c:v>
                </c:pt>
                <c:pt idx="26">
                  <c:v>1326576</c:v>
                </c:pt>
                <c:pt idx="27">
                  <c:v>1267108.3799999999</c:v>
                </c:pt>
                <c:pt idx="28">
                  <c:v>1320374.6299999999</c:v>
                </c:pt>
                <c:pt idx="29">
                  <c:v>1237121</c:v>
                </c:pt>
                <c:pt idx="30">
                  <c:v>1382506.25</c:v>
                </c:pt>
                <c:pt idx="31">
                  <c:v>1346323.38</c:v>
                </c:pt>
                <c:pt idx="32">
                  <c:v>1204537.5</c:v>
                </c:pt>
                <c:pt idx="33">
                  <c:v>1350356.25</c:v>
                </c:pt>
                <c:pt idx="34">
                  <c:v>0</c:v>
                </c:pt>
              </c:numCache>
            </c:numRef>
          </c:val>
          <c:extLst>
            <c:ext xmlns:c16="http://schemas.microsoft.com/office/drawing/2014/chart" uri="{C3380CC4-5D6E-409C-BE32-E72D297353CC}">
              <c16:uniqueId val="{00000019-AE25-4504-B4FF-1356FB4DDD38}"/>
            </c:ext>
          </c:extLst>
        </c:ser>
        <c:ser>
          <c:idx val="2"/>
          <c:order val="2"/>
          <c:tx>
            <c:strRef>
              <c:f>Outputs!$Q$2</c:f>
              <c:strCache>
                <c:ptCount val="1"/>
                <c:pt idx="0">
                  <c:v>Age 30-44</c:v>
                </c:pt>
              </c:strCache>
            </c:strRef>
          </c:tx>
          <c:spPr>
            <a:solidFill>
              <a:schemeClr val="accent3"/>
            </a:solidFill>
            <a:ln>
              <a:noFill/>
            </a:ln>
            <a:effectLst/>
          </c:spPr>
          <c:invertIfNegative val="0"/>
          <c:dPt>
            <c:idx val="4"/>
            <c:invertIfNegative val="0"/>
            <c:bubble3D val="0"/>
            <c:spPr>
              <a:solidFill>
                <a:srgbClr val="C00000"/>
              </a:solidFill>
              <a:ln>
                <a:noFill/>
              </a:ln>
              <a:effectLst/>
            </c:spPr>
            <c:extLst>
              <c:ext xmlns:c16="http://schemas.microsoft.com/office/drawing/2014/chart" uri="{C3380CC4-5D6E-409C-BE32-E72D297353CC}">
                <c16:uniqueId val="{0000001B-AE25-4504-B4FF-1356FB4DDD38}"/>
              </c:ext>
            </c:extLst>
          </c:dPt>
          <c:dPt>
            <c:idx val="9"/>
            <c:invertIfNegative val="0"/>
            <c:bubble3D val="0"/>
            <c:spPr>
              <a:solidFill>
                <a:srgbClr val="C00000"/>
              </a:solidFill>
              <a:ln>
                <a:noFill/>
              </a:ln>
              <a:effectLst/>
            </c:spPr>
            <c:extLst>
              <c:ext xmlns:c16="http://schemas.microsoft.com/office/drawing/2014/chart" uri="{C3380CC4-5D6E-409C-BE32-E72D297353CC}">
                <c16:uniqueId val="{0000001D-AE25-4504-B4FF-1356FB4DDD38}"/>
              </c:ext>
            </c:extLst>
          </c:dPt>
          <c:dPt>
            <c:idx val="14"/>
            <c:invertIfNegative val="0"/>
            <c:bubble3D val="0"/>
            <c:spPr>
              <a:solidFill>
                <a:srgbClr val="C00000"/>
              </a:solidFill>
              <a:ln>
                <a:noFill/>
              </a:ln>
              <a:effectLst/>
            </c:spPr>
            <c:extLst>
              <c:ext xmlns:c16="http://schemas.microsoft.com/office/drawing/2014/chart" uri="{C3380CC4-5D6E-409C-BE32-E72D297353CC}">
                <c16:uniqueId val="{0000001F-AE25-4504-B4FF-1356FB4DDD38}"/>
              </c:ext>
            </c:extLst>
          </c:dPt>
          <c:dPt>
            <c:idx val="19"/>
            <c:invertIfNegative val="0"/>
            <c:bubble3D val="0"/>
            <c:spPr>
              <a:solidFill>
                <a:srgbClr val="C00000"/>
              </a:solidFill>
              <a:ln>
                <a:noFill/>
              </a:ln>
              <a:effectLst/>
            </c:spPr>
            <c:extLst>
              <c:ext xmlns:c16="http://schemas.microsoft.com/office/drawing/2014/chart" uri="{C3380CC4-5D6E-409C-BE32-E72D297353CC}">
                <c16:uniqueId val="{00000021-AE25-4504-B4FF-1356FB4DDD38}"/>
              </c:ext>
            </c:extLst>
          </c:dPt>
          <c:dPt>
            <c:idx val="24"/>
            <c:invertIfNegative val="0"/>
            <c:bubble3D val="0"/>
            <c:spPr>
              <a:solidFill>
                <a:srgbClr val="C00000"/>
              </a:solidFill>
              <a:ln>
                <a:noFill/>
              </a:ln>
              <a:effectLst/>
            </c:spPr>
            <c:extLst>
              <c:ext xmlns:c16="http://schemas.microsoft.com/office/drawing/2014/chart" uri="{C3380CC4-5D6E-409C-BE32-E72D297353CC}">
                <c16:uniqueId val="{00000023-AE25-4504-B4FF-1356FB4DDD38}"/>
              </c:ext>
            </c:extLst>
          </c:dPt>
          <c:dPt>
            <c:idx val="29"/>
            <c:invertIfNegative val="0"/>
            <c:bubble3D val="0"/>
            <c:spPr>
              <a:solidFill>
                <a:srgbClr val="C00000"/>
              </a:solidFill>
              <a:ln>
                <a:noFill/>
              </a:ln>
              <a:effectLst/>
            </c:spPr>
            <c:extLst>
              <c:ext xmlns:c16="http://schemas.microsoft.com/office/drawing/2014/chart" uri="{C3380CC4-5D6E-409C-BE32-E72D297353CC}">
                <c16:uniqueId val="{00000025-AE25-4504-B4FF-1356FB4DDD38}"/>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Outputs!$Q$3:$Q$37</c:f>
              <c:numCache>
                <c:formatCode>_(* #,##0_);_(* \(#,##0\);_(* "-"??_);_(@_)</c:formatCode>
                <c:ptCount val="35"/>
                <c:pt idx="0">
                  <c:v>1202378.6299999999</c:v>
                </c:pt>
                <c:pt idx="1">
                  <c:v>1202378.6299999999</c:v>
                </c:pt>
                <c:pt idx="2">
                  <c:v>1202378.6299999999</c:v>
                </c:pt>
                <c:pt idx="3">
                  <c:v>1202378.6299999999</c:v>
                </c:pt>
                <c:pt idx="4">
                  <c:v>1202378.6299999999</c:v>
                </c:pt>
                <c:pt idx="5">
                  <c:v>1239215.5</c:v>
                </c:pt>
                <c:pt idx="6">
                  <c:v>1239215.5</c:v>
                </c:pt>
                <c:pt idx="7">
                  <c:v>1239215.5</c:v>
                </c:pt>
                <c:pt idx="8">
                  <c:v>1239215.5</c:v>
                </c:pt>
                <c:pt idx="9">
                  <c:v>1217358</c:v>
                </c:pt>
                <c:pt idx="10">
                  <c:v>1300285.5</c:v>
                </c:pt>
                <c:pt idx="11">
                  <c:v>1300285.5</c:v>
                </c:pt>
                <c:pt idx="12">
                  <c:v>1300285.5</c:v>
                </c:pt>
                <c:pt idx="13">
                  <c:v>1300285.5</c:v>
                </c:pt>
                <c:pt idx="14">
                  <c:v>1269422</c:v>
                </c:pt>
                <c:pt idx="15">
                  <c:v>1373785</c:v>
                </c:pt>
                <c:pt idx="16">
                  <c:v>1373785</c:v>
                </c:pt>
                <c:pt idx="17">
                  <c:v>1373785</c:v>
                </c:pt>
                <c:pt idx="18">
                  <c:v>1373785</c:v>
                </c:pt>
                <c:pt idx="19">
                  <c:v>1348370</c:v>
                </c:pt>
                <c:pt idx="20">
                  <c:v>1460412.5</c:v>
                </c:pt>
                <c:pt idx="21">
                  <c:v>1462607</c:v>
                </c:pt>
                <c:pt idx="22">
                  <c:v>1455910.25</c:v>
                </c:pt>
                <c:pt idx="23">
                  <c:v>1460668.63</c:v>
                </c:pt>
                <c:pt idx="24">
                  <c:v>1491386</c:v>
                </c:pt>
                <c:pt idx="25">
                  <c:v>1568099.5</c:v>
                </c:pt>
                <c:pt idx="26">
                  <c:v>1569654.75</c:v>
                </c:pt>
                <c:pt idx="27">
                  <c:v>1528360.38</c:v>
                </c:pt>
                <c:pt idx="28">
                  <c:v>1558245.13</c:v>
                </c:pt>
                <c:pt idx="29">
                  <c:v>1622510</c:v>
                </c:pt>
                <c:pt idx="30">
                  <c:v>1637182.88</c:v>
                </c:pt>
                <c:pt idx="31">
                  <c:v>1626539.38</c:v>
                </c:pt>
                <c:pt idx="32">
                  <c:v>1535287.88</c:v>
                </c:pt>
                <c:pt idx="33">
                  <c:v>1611958.13</c:v>
                </c:pt>
                <c:pt idx="34">
                  <c:v>0</c:v>
                </c:pt>
              </c:numCache>
            </c:numRef>
          </c:val>
          <c:extLst>
            <c:ext xmlns:c16="http://schemas.microsoft.com/office/drawing/2014/chart" uri="{C3380CC4-5D6E-409C-BE32-E72D297353CC}">
              <c16:uniqueId val="{00000026-AE25-4504-B4FF-1356FB4DDD38}"/>
            </c:ext>
          </c:extLst>
        </c:ser>
        <c:ser>
          <c:idx val="3"/>
          <c:order val="3"/>
          <c:tx>
            <c:strRef>
              <c:f>Outputs!$R$2</c:f>
              <c:strCache>
                <c:ptCount val="1"/>
                <c:pt idx="0">
                  <c:v>Age 45-59</c:v>
                </c:pt>
              </c:strCache>
            </c:strRef>
          </c:tx>
          <c:spPr>
            <a:solidFill>
              <a:schemeClr val="accent4"/>
            </a:solidFill>
            <a:ln>
              <a:noFill/>
            </a:ln>
            <a:effectLst/>
          </c:spPr>
          <c:invertIfNegative val="0"/>
          <c:dPt>
            <c:idx val="4"/>
            <c:invertIfNegative val="0"/>
            <c:bubble3D val="0"/>
            <c:spPr>
              <a:solidFill>
                <a:srgbClr val="FFFF00"/>
              </a:solidFill>
              <a:ln>
                <a:noFill/>
              </a:ln>
              <a:effectLst/>
            </c:spPr>
            <c:extLst>
              <c:ext xmlns:c16="http://schemas.microsoft.com/office/drawing/2014/chart" uri="{C3380CC4-5D6E-409C-BE32-E72D297353CC}">
                <c16:uniqueId val="{00000028-AE25-4504-B4FF-1356FB4DDD38}"/>
              </c:ext>
            </c:extLst>
          </c:dPt>
          <c:dPt>
            <c:idx val="9"/>
            <c:invertIfNegative val="0"/>
            <c:bubble3D val="0"/>
            <c:spPr>
              <a:solidFill>
                <a:srgbClr val="FFFF00"/>
              </a:solidFill>
              <a:ln>
                <a:noFill/>
              </a:ln>
              <a:effectLst/>
            </c:spPr>
            <c:extLst>
              <c:ext xmlns:c16="http://schemas.microsoft.com/office/drawing/2014/chart" uri="{C3380CC4-5D6E-409C-BE32-E72D297353CC}">
                <c16:uniqueId val="{0000002A-AE25-4504-B4FF-1356FB4DDD38}"/>
              </c:ext>
            </c:extLst>
          </c:dPt>
          <c:dPt>
            <c:idx val="14"/>
            <c:invertIfNegative val="0"/>
            <c:bubble3D val="0"/>
            <c:spPr>
              <a:solidFill>
                <a:srgbClr val="FFFF00"/>
              </a:solidFill>
              <a:ln>
                <a:noFill/>
              </a:ln>
              <a:effectLst/>
            </c:spPr>
            <c:extLst>
              <c:ext xmlns:c16="http://schemas.microsoft.com/office/drawing/2014/chart" uri="{C3380CC4-5D6E-409C-BE32-E72D297353CC}">
                <c16:uniqueId val="{0000002C-AE25-4504-B4FF-1356FB4DDD38}"/>
              </c:ext>
            </c:extLst>
          </c:dPt>
          <c:dPt>
            <c:idx val="19"/>
            <c:invertIfNegative val="0"/>
            <c:bubble3D val="0"/>
            <c:spPr>
              <a:solidFill>
                <a:srgbClr val="FFFF00"/>
              </a:solidFill>
              <a:ln>
                <a:noFill/>
              </a:ln>
              <a:effectLst/>
            </c:spPr>
            <c:extLst>
              <c:ext xmlns:c16="http://schemas.microsoft.com/office/drawing/2014/chart" uri="{C3380CC4-5D6E-409C-BE32-E72D297353CC}">
                <c16:uniqueId val="{0000002E-AE25-4504-B4FF-1356FB4DDD38}"/>
              </c:ext>
            </c:extLst>
          </c:dPt>
          <c:dPt>
            <c:idx val="24"/>
            <c:invertIfNegative val="0"/>
            <c:bubble3D val="0"/>
            <c:spPr>
              <a:solidFill>
                <a:srgbClr val="FFFF00"/>
              </a:solidFill>
              <a:ln>
                <a:noFill/>
              </a:ln>
              <a:effectLst/>
            </c:spPr>
            <c:extLst>
              <c:ext xmlns:c16="http://schemas.microsoft.com/office/drawing/2014/chart" uri="{C3380CC4-5D6E-409C-BE32-E72D297353CC}">
                <c16:uniqueId val="{00000030-AE25-4504-B4FF-1356FB4DDD38}"/>
              </c:ext>
            </c:extLst>
          </c:dPt>
          <c:dPt>
            <c:idx val="29"/>
            <c:invertIfNegative val="0"/>
            <c:bubble3D val="0"/>
            <c:spPr>
              <a:solidFill>
                <a:srgbClr val="FFFF00"/>
              </a:solidFill>
              <a:ln>
                <a:noFill/>
              </a:ln>
              <a:effectLst/>
            </c:spPr>
            <c:extLst>
              <c:ext xmlns:c16="http://schemas.microsoft.com/office/drawing/2014/chart" uri="{C3380CC4-5D6E-409C-BE32-E72D297353CC}">
                <c16:uniqueId val="{00000032-AE25-4504-B4FF-1356FB4DDD38}"/>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Outputs!$R$3:$R$37</c:f>
              <c:numCache>
                <c:formatCode>_(* #,##0_);_(* \(#,##0\);_(* "-"??_);_(@_)</c:formatCode>
                <c:ptCount val="35"/>
                <c:pt idx="0">
                  <c:v>1169330.1299999999</c:v>
                </c:pt>
                <c:pt idx="1">
                  <c:v>1169330.1299999999</c:v>
                </c:pt>
                <c:pt idx="2">
                  <c:v>1169330.1299999999</c:v>
                </c:pt>
                <c:pt idx="3">
                  <c:v>1169330.1299999999</c:v>
                </c:pt>
                <c:pt idx="4">
                  <c:v>1169330.1299999999</c:v>
                </c:pt>
                <c:pt idx="5">
                  <c:v>1181534.6299999999</c:v>
                </c:pt>
                <c:pt idx="6">
                  <c:v>1181534.6299999999</c:v>
                </c:pt>
                <c:pt idx="7">
                  <c:v>1181534.6299999999</c:v>
                </c:pt>
                <c:pt idx="8">
                  <c:v>1181534.6299999999</c:v>
                </c:pt>
                <c:pt idx="9">
                  <c:v>1219716</c:v>
                </c:pt>
                <c:pt idx="10">
                  <c:v>1208223.25</c:v>
                </c:pt>
                <c:pt idx="11">
                  <c:v>1208223.25</c:v>
                </c:pt>
                <c:pt idx="12">
                  <c:v>1208223.25</c:v>
                </c:pt>
                <c:pt idx="13">
                  <c:v>1208223.25</c:v>
                </c:pt>
                <c:pt idx="14">
                  <c:v>1257485</c:v>
                </c:pt>
                <c:pt idx="15">
                  <c:v>1254873.5</c:v>
                </c:pt>
                <c:pt idx="16">
                  <c:v>1254873.5</c:v>
                </c:pt>
                <c:pt idx="17">
                  <c:v>1254873.5</c:v>
                </c:pt>
                <c:pt idx="18">
                  <c:v>1254873.5</c:v>
                </c:pt>
                <c:pt idx="19">
                  <c:v>1301703</c:v>
                </c:pt>
                <c:pt idx="20">
                  <c:v>1334478.8799999999</c:v>
                </c:pt>
                <c:pt idx="21">
                  <c:v>1336563</c:v>
                </c:pt>
                <c:pt idx="22">
                  <c:v>1332769.3799999999</c:v>
                </c:pt>
                <c:pt idx="23">
                  <c:v>1335173</c:v>
                </c:pt>
                <c:pt idx="24">
                  <c:v>1354485</c:v>
                </c:pt>
                <c:pt idx="25">
                  <c:v>1460275.38</c:v>
                </c:pt>
                <c:pt idx="26">
                  <c:v>1466991.5</c:v>
                </c:pt>
                <c:pt idx="27">
                  <c:v>1445921.88</c:v>
                </c:pt>
                <c:pt idx="28">
                  <c:v>1461163</c:v>
                </c:pt>
                <c:pt idx="29">
                  <c:v>1544285</c:v>
                </c:pt>
                <c:pt idx="30">
                  <c:v>1553663</c:v>
                </c:pt>
                <c:pt idx="31">
                  <c:v>1561468.88</c:v>
                </c:pt>
                <c:pt idx="32">
                  <c:v>1519482.63</c:v>
                </c:pt>
                <c:pt idx="33">
                  <c:v>1554407.13</c:v>
                </c:pt>
                <c:pt idx="34">
                  <c:v>0</c:v>
                </c:pt>
              </c:numCache>
            </c:numRef>
          </c:val>
          <c:extLst>
            <c:ext xmlns:c16="http://schemas.microsoft.com/office/drawing/2014/chart" uri="{C3380CC4-5D6E-409C-BE32-E72D297353CC}">
              <c16:uniqueId val="{00000033-AE25-4504-B4FF-1356FB4DDD38}"/>
            </c:ext>
          </c:extLst>
        </c:ser>
        <c:ser>
          <c:idx val="4"/>
          <c:order val="4"/>
          <c:tx>
            <c:strRef>
              <c:f>Outputs!$S$2</c:f>
              <c:strCache>
                <c:ptCount val="1"/>
                <c:pt idx="0">
                  <c:v>Age 60-74</c:v>
                </c:pt>
              </c:strCache>
            </c:strRef>
          </c:tx>
          <c:spPr>
            <a:solidFill>
              <a:schemeClr val="accent5"/>
            </a:solidFill>
            <a:ln>
              <a:noFill/>
            </a:ln>
            <a:effectLst/>
          </c:spPr>
          <c:invertIfNegative val="0"/>
          <c:dPt>
            <c:idx val="4"/>
            <c:invertIfNegative val="0"/>
            <c:bubble3D val="0"/>
            <c:spPr>
              <a:solidFill>
                <a:srgbClr val="FF0000"/>
              </a:solidFill>
              <a:ln>
                <a:noFill/>
              </a:ln>
              <a:effectLst/>
            </c:spPr>
            <c:extLst>
              <c:ext xmlns:c16="http://schemas.microsoft.com/office/drawing/2014/chart" uri="{C3380CC4-5D6E-409C-BE32-E72D297353CC}">
                <c16:uniqueId val="{00000035-AE25-4504-B4FF-1356FB4DDD38}"/>
              </c:ext>
            </c:extLst>
          </c:dPt>
          <c:dPt>
            <c:idx val="9"/>
            <c:invertIfNegative val="0"/>
            <c:bubble3D val="0"/>
            <c:spPr>
              <a:solidFill>
                <a:srgbClr val="FF0000"/>
              </a:solidFill>
              <a:ln>
                <a:noFill/>
              </a:ln>
              <a:effectLst/>
            </c:spPr>
            <c:extLst>
              <c:ext xmlns:c16="http://schemas.microsoft.com/office/drawing/2014/chart" uri="{C3380CC4-5D6E-409C-BE32-E72D297353CC}">
                <c16:uniqueId val="{00000037-AE25-4504-B4FF-1356FB4DDD38}"/>
              </c:ext>
            </c:extLst>
          </c:dPt>
          <c:dPt>
            <c:idx val="14"/>
            <c:invertIfNegative val="0"/>
            <c:bubble3D val="0"/>
            <c:spPr>
              <a:solidFill>
                <a:srgbClr val="FF0000"/>
              </a:solidFill>
              <a:ln>
                <a:noFill/>
              </a:ln>
              <a:effectLst/>
            </c:spPr>
            <c:extLst>
              <c:ext xmlns:c16="http://schemas.microsoft.com/office/drawing/2014/chart" uri="{C3380CC4-5D6E-409C-BE32-E72D297353CC}">
                <c16:uniqueId val="{00000039-AE25-4504-B4FF-1356FB4DDD38}"/>
              </c:ext>
            </c:extLst>
          </c:dPt>
          <c:dPt>
            <c:idx val="19"/>
            <c:invertIfNegative val="0"/>
            <c:bubble3D val="0"/>
            <c:spPr>
              <a:solidFill>
                <a:srgbClr val="FF0000"/>
              </a:solidFill>
              <a:ln>
                <a:noFill/>
              </a:ln>
              <a:effectLst/>
            </c:spPr>
            <c:extLst>
              <c:ext xmlns:c16="http://schemas.microsoft.com/office/drawing/2014/chart" uri="{C3380CC4-5D6E-409C-BE32-E72D297353CC}">
                <c16:uniqueId val="{0000003B-AE25-4504-B4FF-1356FB4DDD38}"/>
              </c:ext>
            </c:extLst>
          </c:dPt>
          <c:dPt>
            <c:idx val="24"/>
            <c:invertIfNegative val="0"/>
            <c:bubble3D val="0"/>
            <c:spPr>
              <a:solidFill>
                <a:srgbClr val="FF0000"/>
              </a:solidFill>
              <a:ln>
                <a:noFill/>
              </a:ln>
              <a:effectLst/>
            </c:spPr>
            <c:extLst>
              <c:ext xmlns:c16="http://schemas.microsoft.com/office/drawing/2014/chart" uri="{C3380CC4-5D6E-409C-BE32-E72D297353CC}">
                <c16:uniqueId val="{0000003D-AE25-4504-B4FF-1356FB4DDD38}"/>
              </c:ext>
            </c:extLst>
          </c:dPt>
          <c:dPt>
            <c:idx val="29"/>
            <c:invertIfNegative val="0"/>
            <c:bubble3D val="0"/>
            <c:spPr>
              <a:solidFill>
                <a:srgbClr val="FF0000"/>
              </a:solidFill>
              <a:ln>
                <a:noFill/>
              </a:ln>
              <a:effectLst/>
            </c:spPr>
            <c:extLst>
              <c:ext xmlns:c16="http://schemas.microsoft.com/office/drawing/2014/chart" uri="{C3380CC4-5D6E-409C-BE32-E72D297353CC}">
                <c16:uniqueId val="{0000003F-AE25-4504-B4FF-1356FB4DDD38}"/>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Outputs!$S$3:$S$37</c:f>
              <c:numCache>
                <c:formatCode>_(* #,##0_);_(* \(#,##0\);_(* "-"??_);_(@_)</c:formatCode>
                <c:ptCount val="35"/>
                <c:pt idx="0">
                  <c:v>666817.06000000006</c:v>
                </c:pt>
                <c:pt idx="1">
                  <c:v>666817.06000000006</c:v>
                </c:pt>
                <c:pt idx="2">
                  <c:v>666817.06000000006</c:v>
                </c:pt>
                <c:pt idx="3">
                  <c:v>666817.06000000006</c:v>
                </c:pt>
                <c:pt idx="4">
                  <c:v>666817.06000000006</c:v>
                </c:pt>
                <c:pt idx="5">
                  <c:v>722470.88</c:v>
                </c:pt>
                <c:pt idx="6">
                  <c:v>722470.88</c:v>
                </c:pt>
                <c:pt idx="7">
                  <c:v>722470.88</c:v>
                </c:pt>
                <c:pt idx="8">
                  <c:v>722470.88</c:v>
                </c:pt>
                <c:pt idx="9">
                  <c:v>722935</c:v>
                </c:pt>
                <c:pt idx="10">
                  <c:v>796167.5</c:v>
                </c:pt>
                <c:pt idx="11">
                  <c:v>796167.5</c:v>
                </c:pt>
                <c:pt idx="12">
                  <c:v>796167.5</c:v>
                </c:pt>
                <c:pt idx="13">
                  <c:v>796167.5</c:v>
                </c:pt>
                <c:pt idx="14">
                  <c:v>807933</c:v>
                </c:pt>
                <c:pt idx="15">
                  <c:v>881900.69</c:v>
                </c:pt>
                <c:pt idx="16">
                  <c:v>881900.69</c:v>
                </c:pt>
                <c:pt idx="17">
                  <c:v>881900.69</c:v>
                </c:pt>
                <c:pt idx="18">
                  <c:v>881900.69</c:v>
                </c:pt>
                <c:pt idx="19">
                  <c:v>901584</c:v>
                </c:pt>
                <c:pt idx="20">
                  <c:v>995495</c:v>
                </c:pt>
                <c:pt idx="21">
                  <c:v>996686.81</c:v>
                </c:pt>
                <c:pt idx="22">
                  <c:v>992080.13</c:v>
                </c:pt>
                <c:pt idx="23">
                  <c:v>995647.44</c:v>
                </c:pt>
                <c:pt idx="24">
                  <c:v>1037483</c:v>
                </c:pt>
                <c:pt idx="25">
                  <c:v>1156909.8799999999</c:v>
                </c:pt>
                <c:pt idx="26">
                  <c:v>1165912.1299999999</c:v>
                </c:pt>
                <c:pt idx="27">
                  <c:v>1139632.25</c:v>
                </c:pt>
                <c:pt idx="28">
                  <c:v>1162180</c:v>
                </c:pt>
                <c:pt idx="29">
                  <c:v>1150349</c:v>
                </c:pt>
                <c:pt idx="30">
                  <c:v>1281921.25</c:v>
                </c:pt>
                <c:pt idx="31">
                  <c:v>1301871.3799999999</c:v>
                </c:pt>
                <c:pt idx="32">
                  <c:v>1247628.75</c:v>
                </c:pt>
                <c:pt idx="33">
                  <c:v>1299211.5</c:v>
                </c:pt>
                <c:pt idx="34">
                  <c:v>0</c:v>
                </c:pt>
              </c:numCache>
            </c:numRef>
          </c:val>
          <c:extLst>
            <c:ext xmlns:c16="http://schemas.microsoft.com/office/drawing/2014/chart" uri="{C3380CC4-5D6E-409C-BE32-E72D297353CC}">
              <c16:uniqueId val="{00000040-AE25-4504-B4FF-1356FB4DDD38}"/>
            </c:ext>
          </c:extLst>
        </c:ser>
        <c:ser>
          <c:idx val="5"/>
          <c:order val="5"/>
          <c:tx>
            <c:strRef>
              <c:f>Outputs!$T$2</c:f>
              <c:strCache>
                <c:ptCount val="1"/>
                <c:pt idx="0">
                  <c:v>Age 75+up</c:v>
                </c:pt>
              </c:strCache>
            </c:strRef>
          </c:tx>
          <c:spPr>
            <a:solidFill>
              <a:schemeClr val="accent6"/>
            </a:solidFill>
            <a:ln>
              <a:noFill/>
            </a:ln>
            <a:effectLst/>
          </c:spPr>
          <c:invertIfNegative val="0"/>
          <c:dPt>
            <c:idx val="4"/>
            <c:invertIfNegative val="0"/>
            <c:bubble3D val="0"/>
            <c:spPr>
              <a:solidFill>
                <a:schemeClr val="accent4">
                  <a:lumMod val="75000"/>
                </a:schemeClr>
              </a:solidFill>
              <a:ln>
                <a:noFill/>
              </a:ln>
              <a:effectLst/>
            </c:spPr>
            <c:extLst>
              <c:ext xmlns:c16="http://schemas.microsoft.com/office/drawing/2014/chart" uri="{C3380CC4-5D6E-409C-BE32-E72D297353CC}">
                <c16:uniqueId val="{00000042-AE25-4504-B4FF-1356FB4DDD38}"/>
              </c:ext>
            </c:extLst>
          </c:dPt>
          <c:dPt>
            <c:idx val="9"/>
            <c:invertIfNegative val="0"/>
            <c:bubble3D val="0"/>
            <c:spPr>
              <a:solidFill>
                <a:schemeClr val="accent4">
                  <a:lumMod val="75000"/>
                </a:schemeClr>
              </a:solidFill>
              <a:ln>
                <a:noFill/>
              </a:ln>
              <a:effectLst/>
            </c:spPr>
            <c:extLst>
              <c:ext xmlns:c16="http://schemas.microsoft.com/office/drawing/2014/chart" uri="{C3380CC4-5D6E-409C-BE32-E72D297353CC}">
                <c16:uniqueId val="{00000044-AE25-4504-B4FF-1356FB4DDD38}"/>
              </c:ext>
            </c:extLst>
          </c:dPt>
          <c:dPt>
            <c:idx val="14"/>
            <c:invertIfNegative val="0"/>
            <c:bubble3D val="0"/>
            <c:spPr>
              <a:solidFill>
                <a:schemeClr val="accent4">
                  <a:lumMod val="75000"/>
                </a:schemeClr>
              </a:solidFill>
              <a:ln>
                <a:noFill/>
              </a:ln>
              <a:effectLst/>
            </c:spPr>
            <c:extLst>
              <c:ext xmlns:c16="http://schemas.microsoft.com/office/drawing/2014/chart" uri="{C3380CC4-5D6E-409C-BE32-E72D297353CC}">
                <c16:uniqueId val="{00000046-AE25-4504-B4FF-1356FB4DDD38}"/>
              </c:ext>
            </c:extLst>
          </c:dPt>
          <c:dPt>
            <c:idx val="19"/>
            <c:invertIfNegative val="0"/>
            <c:bubble3D val="0"/>
            <c:spPr>
              <a:solidFill>
                <a:schemeClr val="accent4">
                  <a:lumMod val="75000"/>
                </a:schemeClr>
              </a:solidFill>
              <a:ln>
                <a:noFill/>
              </a:ln>
              <a:effectLst/>
            </c:spPr>
            <c:extLst>
              <c:ext xmlns:c16="http://schemas.microsoft.com/office/drawing/2014/chart" uri="{C3380CC4-5D6E-409C-BE32-E72D297353CC}">
                <c16:uniqueId val="{00000048-AE25-4504-B4FF-1356FB4DDD38}"/>
              </c:ext>
            </c:extLst>
          </c:dPt>
          <c:dPt>
            <c:idx val="24"/>
            <c:invertIfNegative val="0"/>
            <c:bubble3D val="0"/>
            <c:spPr>
              <a:solidFill>
                <a:schemeClr val="accent4">
                  <a:lumMod val="75000"/>
                </a:schemeClr>
              </a:solidFill>
              <a:ln>
                <a:noFill/>
              </a:ln>
              <a:effectLst/>
            </c:spPr>
            <c:extLst>
              <c:ext xmlns:c16="http://schemas.microsoft.com/office/drawing/2014/chart" uri="{C3380CC4-5D6E-409C-BE32-E72D297353CC}">
                <c16:uniqueId val="{0000004A-AE25-4504-B4FF-1356FB4DDD38}"/>
              </c:ext>
            </c:extLst>
          </c:dPt>
          <c:dPt>
            <c:idx val="29"/>
            <c:invertIfNegative val="0"/>
            <c:bubble3D val="0"/>
            <c:spPr>
              <a:solidFill>
                <a:schemeClr val="accent4">
                  <a:lumMod val="75000"/>
                </a:schemeClr>
              </a:solidFill>
              <a:ln>
                <a:noFill/>
              </a:ln>
              <a:effectLst/>
            </c:spPr>
            <c:extLst>
              <c:ext xmlns:c16="http://schemas.microsoft.com/office/drawing/2014/chart" uri="{C3380CC4-5D6E-409C-BE32-E72D297353CC}">
                <c16:uniqueId val="{0000004C-AE25-4504-B4FF-1356FB4DDD38}"/>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Outputs!$T$3:$T$37</c:f>
              <c:numCache>
                <c:formatCode>_(* #,##0_);_(* \(#,##0\);_(* "-"??_);_(@_)</c:formatCode>
                <c:ptCount val="35"/>
                <c:pt idx="0">
                  <c:v>217962.97</c:v>
                </c:pt>
                <c:pt idx="1">
                  <c:v>217962.97</c:v>
                </c:pt>
                <c:pt idx="2">
                  <c:v>217962.97</c:v>
                </c:pt>
                <c:pt idx="3">
                  <c:v>217962.97</c:v>
                </c:pt>
                <c:pt idx="4">
                  <c:v>217962.97</c:v>
                </c:pt>
                <c:pt idx="5">
                  <c:v>270157.28000000003</c:v>
                </c:pt>
                <c:pt idx="6">
                  <c:v>270157.28000000003</c:v>
                </c:pt>
                <c:pt idx="7">
                  <c:v>270157.28000000003</c:v>
                </c:pt>
                <c:pt idx="8">
                  <c:v>270157.28000000003</c:v>
                </c:pt>
                <c:pt idx="9">
                  <c:v>241058</c:v>
                </c:pt>
                <c:pt idx="10">
                  <c:v>345999.5</c:v>
                </c:pt>
                <c:pt idx="11">
                  <c:v>345999.5</c:v>
                </c:pt>
                <c:pt idx="12">
                  <c:v>345999.5</c:v>
                </c:pt>
                <c:pt idx="13">
                  <c:v>345999.5</c:v>
                </c:pt>
                <c:pt idx="14">
                  <c:v>285202</c:v>
                </c:pt>
                <c:pt idx="15">
                  <c:v>440749.78</c:v>
                </c:pt>
                <c:pt idx="16">
                  <c:v>440749.78</c:v>
                </c:pt>
                <c:pt idx="17">
                  <c:v>440749.78</c:v>
                </c:pt>
                <c:pt idx="18">
                  <c:v>440749.78</c:v>
                </c:pt>
                <c:pt idx="19">
                  <c:v>370338</c:v>
                </c:pt>
                <c:pt idx="20">
                  <c:v>574965.06000000006</c:v>
                </c:pt>
                <c:pt idx="21">
                  <c:v>574559.56000000006</c:v>
                </c:pt>
                <c:pt idx="22">
                  <c:v>559420.88</c:v>
                </c:pt>
                <c:pt idx="23">
                  <c:v>573947.5</c:v>
                </c:pt>
                <c:pt idx="24">
                  <c:v>500253</c:v>
                </c:pt>
                <c:pt idx="25">
                  <c:v>773989.31</c:v>
                </c:pt>
                <c:pt idx="26">
                  <c:v>798422.06</c:v>
                </c:pt>
                <c:pt idx="27">
                  <c:v>699897.81</c:v>
                </c:pt>
                <c:pt idx="28">
                  <c:v>795859.13</c:v>
                </c:pt>
                <c:pt idx="29">
                  <c:v>747798</c:v>
                </c:pt>
                <c:pt idx="30">
                  <c:v>952686.94</c:v>
                </c:pt>
                <c:pt idx="31">
                  <c:v>1028094.38</c:v>
                </c:pt>
                <c:pt idx="32">
                  <c:v>786327.56</c:v>
                </c:pt>
                <c:pt idx="33">
                  <c:v>1027042.81</c:v>
                </c:pt>
                <c:pt idx="34">
                  <c:v>0</c:v>
                </c:pt>
              </c:numCache>
            </c:numRef>
          </c:val>
          <c:extLst>
            <c:ext xmlns:c16="http://schemas.microsoft.com/office/drawing/2014/chart" uri="{C3380CC4-5D6E-409C-BE32-E72D297353CC}">
              <c16:uniqueId val="{0000004D-AE25-4504-B4FF-1356FB4DDD38}"/>
            </c:ext>
          </c:extLst>
        </c:ser>
        <c:dLbls>
          <c:showLegendKey val="0"/>
          <c:showVal val="0"/>
          <c:showCatName val="0"/>
          <c:showSerName val="0"/>
          <c:showPercent val="0"/>
          <c:showBubbleSize val="0"/>
        </c:dLbls>
        <c:gapWidth val="40"/>
        <c:overlap val="100"/>
        <c:axId val="-177659264"/>
        <c:axId val="-177657632"/>
      </c:barChart>
      <c:catAx>
        <c:axId val="-1776592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657632"/>
        <c:crosses val="autoZero"/>
        <c:auto val="1"/>
        <c:lblAlgn val="ctr"/>
        <c:lblOffset val="100"/>
        <c:tickLblSkip val="1"/>
        <c:noMultiLvlLbl val="0"/>
      </c:catAx>
      <c:valAx>
        <c:axId val="-177657632"/>
        <c:scaling>
          <c:orientation val="minMax"/>
          <c:max val="11000000"/>
          <c:min val="0"/>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659264"/>
        <c:crossesAt val="1"/>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Population</a:t>
            </a:r>
            <a:r>
              <a:rPr lang="en-US" baseline="0"/>
              <a:t> by Income Level - SC1</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Outputs!$U$2</c:f>
              <c:strCache>
                <c:ptCount val="1"/>
                <c:pt idx="0">
                  <c:v>Lower Income</c:v>
                </c:pt>
              </c:strCache>
            </c:strRef>
          </c:tx>
          <c:spPr>
            <a:solidFill>
              <a:schemeClr val="accent1"/>
            </a:solidFill>
            <a:ln>
              <a:noFill/>
            </a:ln>
            <a:effectLst/>
          </c:spPr>
          <c:invertIfNegative val="0"/>
          <c:dPt>
            <c:idx val="4"/>
            <c:invertIfNegative val="0"/>
            <c:bubble3D val="0"/>
            <c:spPr>
              <a:solidFill>
                <a:srgbClr val="FFC000"/>
              </a:solidFill>
              <a:ln>
                <a:noFill/>
              </a:ln>
              <a:effectLst/>
            </c:spPr>
            <c:extLst>
              <c:ext xmlns:c16="http://schemas.microsoft.com/office/drawing/2014/chart" uri="{C3380CC4-5D6E-409C-BE32-E72D297353CC}">
                <c16:uniqueId val="{00000001-547A-4BA5-BE05-53F538D511ED}"/>
              </c:ext>
            </c:extLst>
          </c:dPt>
          <c:dPt>
            <c:idx val="9"/>
            <c:invertIfNegative val="0"/>
            <c:bubble3D val="0"/>
            <c:spPr>
              <a:solidFill>
                <a:srgbClr val="FFC000"/>
              </a:solidFill>
              <a:ln>
                <a:noFill/>
              </a:ln>
              <a:effectLst/>
            </c:spPr>
            <c:extLst>
              <c:ext xmlns:c16="http://schemas.microsoft.com/office/drawing/2014/chart" uri="{C3380CC4-5D6E-409C-BE32-E72D297353CC}">
                <c16:uniqueId val="{00000003-547A-4BA5-BE05-53F538D511ED}"/>
              </c:ext>
            </c:extLst>
          </c:dPt>
          <c:dPt>
            <c:idx val="14"/>
            <c:invertIfNegative val="0"/>
            <c:bubble3D val="0"/>
            <c:spPr>
              <a:solidFill>
                <a:srgbClr val="FFC000"/>
              </a:solidFill>
              <a:ln>
                <a:noFill/>
              </a:ln>
              <a:effectLst/>
            </c:spPr>
            <c:extLst>
              <c:ext xmlns:c16="http://schemas.microsoft.com/office/drawing/2014/chart" uri="{C3380CC4-5D6E-409C-BE32-E72D297353CC}">
                <c16:uniqueId val="{00000005-547A-4BA5-BE05-53F538D511ED}"/>
              </c:ext>
            </c:extLst>
          </c:dPt>
          <c:dPt>
            <c:idx val="19"/>
            <c:invertIfNegative val="0"/>
            <c:bubble3D val="0"/>
            <c:spPr>
              <a:solidFill>
                <a:srgbClr val="FFC000"/>
              </a:solidFill>
              <a:ln>
                <a:noFill/>
              </a:ln>
              <a:effectLst/>
            </c:spPr>
            <c:extLst>
              <c:ext xmlns:c16="http://schemas.microsoft.com/office/drawing/2014/chart" uri="{C3380CC4-5D6E-409C-BE32-E72D297353CC}">
                <c16:uniqueId val="{00000007-547A-4BA5-BE05-53F538D511ED}"/>
              </c:ext>
            </c:extLst>
          </c:dPt>
          <c:dPt>
            <c:idx val="24"/>
            <c:invertIfNegative val="0"/>
            <c:bubble3D val="0"/>
            <c:spPr>
              <a:solidFill>
                <a:srgbClr val="FFC000"/>
              </a:solidFill>
              <a:ln>
                <a:noFill/>
              </a:ln>
              <a:effectLst/>
            </c:spPr>
            <c:extLst>
              <c:ext xmlns:c16="http://schemas.microsoft.com/office/drawing/2014/chart" uri="{C3380CC4-5D6E-409C-BE32-E72D297353CC}">
                <c16:uniqueId val="{00000009-547A-4BA5-BE05-53F538D511ED}"/>
              </c:ext>
            </c:extLst>
          </c:dPt>
          <c:dPt>
            <c:idx val="29"/>
            <c:invertIfNegative val="0"/>
            <c:bubble3D val="0"/>
            <c:spPr>
              <a:solidFill>
                <a:srgbClr val="FFC000"/>
              </a:solidFill>
              <a:ln>
                <a:noFill/>
              </a:ln>
              <a:effectLst/>
            </c:spPr>
            <c:extLst>
              <c:ext xmlns:c16="http://schemas.microsoft.com/office/drawing/2014/chart" uri="{C3380CC4-5D6E-409C-BE32-E72D297353CC}">
                <c16:uniqueId val="{0000000B-547A-4BA5-BE05-53F538D511ED}"/>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Outputs!$U$3:$U$37</c:f>
              <c:numCache>
                <c:formatCode>_(* #,##0_);_(* \(#,##0\);_(* "-"??_);_(@_)</c:formatCode>
                <c:ptCount val="35"/>
                <c:pt idx="0">
                  <c:v>1192173</c:v>
                </c:pt>
                <c:pt idx="1">
                  <c:v>1192173</c:v>
                </c:pt>
                <c:pt idx="2">
                  <c:v>1192173</c:v>
                </c:pt>
                <c:pt idx="3">
                  <c:v>1192173</c:v>
                </c:pt>
                <c:pt idx="4">
                  <c:v>1192173</c:v>
                </c:pt>
                <c:pt idx="5">
                  <c:v>1235804.5</c:v>
                </c:pt>
                <c:pt idx="6">
                  <c:v>1235804.5</c:v>
                </c:pt>
                <c:pt idx="7">
                  <c:v>1235804.5</c:v>
                </c:pt>
                <c:pt idx="8">
                  <c:v>1235804.5</c:v>
                </c:pt>
                <c:pt idx="9">
                  <c:v>1208993</c:v>
                </c:pt>
                <c:pt idx="10">
                  <c:v>1299149.3799999999</c:v>
                </c:pt>
                <c:pt idx="11">
                  <c:v>1299149.3799999999</c:v>
                </c:pt>
                <c:pt idx="12">
                  <c:v>1299149.3799999999</c:v>
                </c:pt>
                <c:pt idx="13">
                  <c:v>1299149.3799999999</c:v>
                </c:pt>
                <c:pt idx="14">
                  <c:v>1253308</c:v>
                </c:pt>
                <c:pt idx="15">
                  <c:v>1381075.38</c:v>
                </c:pt>
                <c:pt idx="16">
                  <c:v>1381075.38</c:v>
                </c:pt>
                <c:pt idx="17">
                  <c:v>1381075.38</c:v>
                </c:pt>
                <c:pt idx="18">
                  <c:v>1381075.38</c:v>
                </c:pt>
                <c:pt idx="19">
                  <c:v>1333829</c:v>
                </c:pt>
                <c:pt idx="20">
                  <c:v>1509201.25</c:v>
                </c:pt>
                <c:pt idx="21">
                  <c:v>1498408.63</c:v>
                </c:pt>
                <c:pt idx="22">
                  <c:v>1518118.63</c:v>
                </c:pt>
                <c:pt idx="23">
                  <c:v>1505603.63</c:v>
                </c:pt>
                <c:pt idx="24">
                  <c:v>1459051</c:v>
                </c:pt>
                <c:pt idx="25">
                  <c:v>1725010.75</c:v>
                </c:pt>
                <c:pt idx="26">
                  <c:v>1649235.13</c:v>
                </c:pt>
                <c:pt idx="27">
                  <c:v>1755745.63</c:v>
                </c:pt>
                <c:pt idx="28">
                  <c:v>1710023.38</c:v>
                </c:pt>
                <c:pt idx="29">
                  <c:v>1696896</c:v>
                </c:pt>
                <c:pt idx="30">
                  <c:v>1929555.38</c:v>
                </c:pt>
                <c:pt idx="31">
                  <c:v>1715634.13</c:v>
                </c:pt>
                <c:pt idx="32">
                  <c:v>1898385.63</c:v>
                </c:pt>
                <c:pt idx="33">
                  <c:v>1900408.13</c:v>
                </c:pt>
                <c:pt idx="34">
                  <c:v>0</c:v>
                </c:pt>
              </c:numCache>
            </c:numRef>
          </c:val>
          <c:extLst>
            <c:ext xmlns:c16="http://schemas.microsoft.com/office/drawing/2014/chart" uri="{C3380CC4-5D6E-409C-BE32-E72D297353CC}">
              <c16:uniqueId val="{0000000C-547A-4BA5-BE05-53F538D511ED}"/>
            </c:ext>
          </c:extLst>
        </c:ser>
        <c:ser>
          <c:idx val="1"/>
          <c:order val="1"/>
          <c:tx>
            <c:strRef>
              <c:f>Outputs!$V$2</c:f>
              <c:strCache>
                <c:ptCount val="1"/>
                <c:pt idx="0">
                  <c:v>Middle Income</c:v>
                </c:pt>
              </c:strCache>
            </c:strRef>
          </c:tx>
          <c:spPr>
            <a:solidFill>
              <a:schemeClr val="accent2"/>
            </a:solidFill>
            <a:ln>
              <a:noFill/>
            </a:ln>
            <a:effectLst/>
          </c:spPr>
          <c:invertIfNegative val="0"/>
          <c:dPt>
            <c:idx val="4"/>
            <c:invertIfNegative val="0"/>
            <c:bubble3D val="0"/>
            <c:spPr>
              <a:solidFill>
                <a:srgbClr val="92D050"/>
              </a:solidFill>
              <a:ln>
                <a:noFill/>
              </a:ln>
              <a:effectLst/>
            </c:spPr>
            <c:extLst>
              <c:ext xmlns:c16="http://schemas.microsoft.com/office/drawing/2014/chart" uri="{C3380CC4-5D6E-409C-BE32-E72D297353CC}">
                <c16:uniqueId val="{0000000E-547A-4BA5-BE05-53F538D511ED}"/>
              </c:ext>
            </c:extLst>
          </c:dPt>
          <c:dPt>
            <c:idx val="9"/>
            <c:invertIfNegative val="0"/>
            <c:bubble3D val="0"/>
            <c:spPr>
              <a:solidFill>
                <a:srgbClr val="92D050"/>
              </a:solidFill>
              <a:ln>
                <a:noFill/>
              </a:ln>
              <a:effectLst/>
            </c:spPr>
            <c:extLst>
              <c:ext xmlns:c16="http://schemas.microsoft.com/office/drawing/2014/chart" uri="{C3380CC4-5D6E-409C-BE32-E72D297353CC}">
                <c16:uniqueId val="{00000010-547A-4BA5-BE05-53F538D511ED}"/>
              </c:ext>
            </c:extLst>
          </c:dPt>
          <c:dPt>
            <c:idx val="14"/>
            <c:invertIfNegative val="0"/>
            <c:bubble3D val="0"/>
            <c:spPr>
              <a:solidFill>
                <a:srgbClr val="92D050"/>
              </a:solidFill>
              <a:ln>
                <a:noFill/>
              </a:ln>
              <a:effectLst/>
            </c:spPr>
            <c:extLst>
              <c:ext xmlns:c16="http://schemas.microsoft.com/office/drawing/2014/chart" uri="{C3380CC4-5D6E-409C-BE32-E72D297353CC}">
                <c16:uniqueId val="{00000012-547A-4BA5-BE05-53F538D511ED}"/>
              </c:ext>
            </c:extLst>
          </c:dPt>
          <c:dPt>
            <c:idx val="19"/>
            <c:invertIfNegative val="0"/>
            <c:bubble3D val="0"/>
            <c:spPr>
              <a:solidFill>
                <a:srgbClr val="92D050"/>
              </a:solidFill>
              <a:ln>
                <a:noFill/>
              </a:ln>
              <a:effectLst/>
            </c:spPr>
            <c:extLst>
              <c:ext xmlns:c16="http://schemas.microsoft.com/office/drawing/2014/chart" uri="{C3380CC4-5D6E-409C-BE32-E72D297353CC}">
                <c16:uniqueId val="{00000014-547A-4BA5-BE05-53F538D511ED}"/>
              </c:ext>
            </c:extLst>
          </c:dPt>
          <c:dPt>
            <c:idx val="24"/>
            <c:invertIfNegative val="0"/>
            <c:bubble3D val="0"/>
            <c:spPr>
              <a:solidFill>
                <a:srgbClr val="92D050"/>
              </a:solidFill>
              <a:ln>
                <a:noFill/>
              </a:ln>
              <a:effectLst/>
            </c:spPr>
            <c:extLst>
              <c:ext xmlns:c16="http://schemas.microsoft.com/office/drawing/2014/chart" uri="{C3380CC4-5D6E-409C-BE32-E72D297353CC}">
                <c16:uniqueId val="{00000016-547A-4BA5-BE05-53F538D511ED}"/>
              </c:ext>
            </c:extLst>
          </c:dPt>
          <c:dPt>
            <c:idx val="29"/>
            <c:invertIfNegative val="0"/>
            <c:bubble3D val="0"/>
            <c:spPr>
              <a:solidFill>
                <a:srgbClr val="92D050"/>
              </a:solidFill>
              <a:ln>
                <a:noFill/>
              </a:ln>
              <a:effectLst/>
            </c:spPr>
            <c:extLst>
              <c:ext xmlns:c16="http://schemas.microsoft.com/office/drawing/2014/chart" uri="{C3380CC4-5D6E-409C-BE32-E72D297353CC}">
                <c16:uniqueId val="{00000018-547A-4BA5-BE05-53F538D511ED}"/>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Outputs!$V$3:$V$37</c:f>
              <c:numCache>
                <c:formatCode>_(* #,##0_);_(* \(#,##0\);_(* "-"??_);_(@_)</c:formatCode>
                <c:ptCount val="35"/>
                <c:pt idx="0">
                  <c:v>2847837</c:v>
                </c:pt>
                <c:pt idx="1">
                  <c:v>2847837</c:v>
                </c:pt>
                <c:pt idx="2">
                  <c:v>2847837</c:v>
                </c:pt>
                <c:pt idx="3">
                  <c:v>2847837</c:v>
                </c:pt>
                <c:pt idx="4">
                  <c:v>2847837</c:v>
                </c:pt>
                <c:pt idx="5">
                  <c:v>3003417.25</c:v>
                </c:pt>
                <c:pt idx="6">
                  <c:v>3003417.25</c:v>
                </c:pt>
                <c:pt idx="7">
                  <c:v>3003417.25</c:v>
                </c:pt>
                <c:pt idx="8">
                  <c:v>3003417.25</c:v>
                </c:pt>
                <c:pt idx="9">
                  <c:v>2956294</c:v>
                </c:pt>
                <c:pt idx="10">
                  <c:v>3203802.25</c:v>
                </c:pt>
                <c:pt idx="11">
                  <c:v>3203802.25</c:v>
                </c:pt>
                <c:pt idx="12">
                  <c:v>3203802.25</c:v>
                </c:pt>
                <c:pt idx="13">
                  <c:v>3203802.25</c:v>
                </c:pt>
                <c:pt idx="14">
                  <c:v>3108706</c:v>
                </c:pt>
                <c:pt idx="15">
                  <c:v>3432609.75</c:v>
                </c:pt>
                <c:pt idx="16">
                  <c:v>3432609.75</c:v>
                </c:pt>
                <c:pt idx="17">
                  <c:v>3432609.75</c:v>
                </c:pt>
                <c:pt idx="18">
                  <c:v>3432609.75</c:v>
                </c:pt>
                <c:pt idx="19">
                  <c:v>3317936</c:v>
                </c:pt>
                <c:pt idx="20">
                  <c:v>3706933.75</c:v>
                </c:pt>
                <c:pt idx="21">
                  <c:v>3708865</c:v>
                </c:pt>
                <c:pt idx="22">
                  <c:v>3677577</c:v>
                </c:pt>
                <c:pt idx="23">
                  <c:v>3726313.25</c:v>
                </c:pt>
                <c:pt idx="24">
                  <c:v>3632103</c:v>
                </c:pt>
                <c:pt idx="25">
                  <c:v>4042995</c:v>
                </c:pt>
                <c:pt idx="26">
                  <c:v>3999428.25</c:v>
                </c:pt>
                <c:pt idx="27">
                  <c:v>3832326.5</c:v>
                </c:pt>
                <c:pt idx="28">
                  <c:v>4133711.75</c:v>
                </c:pt>
                <c:pt idx="29">
                  <c:v>4116887</c:v>
                </c:pt>
                <c:pt idx="30">
                  <c:v>4221335</c:v>
                </c:pt>
                <c:pt idx="31">
                  <c:v>4102017.75</c:v>
                </c:pt>
                <c:pt idx="32">
                  <c:v>3770954.5</c:v>
                </c:pt>
                <c:pt idx="33">
                  <c:v>4440103</c:v>
                </c:pt>
                <c:pt idx="34">
                  <c:v>0</c:v>
                </c:pt>
              </c:numCache>
            </c:numRef>
          </c:val>
          <c:extLst>
            <c:ext xmlns:c16="http://schemas.microsoft.com/office/drawing/2014/chart" uri="{C3380CC4-5D6E-409C-BE32-E72D297353CC}">
              <c16:uniqueId val="{00000019-547A-4BA5-BE05-53F538D511ED}"/>
            </c:ext>
          </c:extLst>
        </c:ser>
        <c:ser>
          <c:idx val="2"/>
          <c:order val="2"/>
          <c:tx>
            <c:strRef>
              <c:f>Outputs!$W$2</c:f>
              <c:strCache>
                <c:ptCount val="1"/>
                <c:pt idx="0">
                  <c:v>Upper Income</c:v>
                </c:pt>
              </c:strCache>
            </c:strRef>
          </c:tx>
          <c:spPr>
            <a:solidFill>
              <a:schemeClr val="accent3"/>
            </a:solidFill>
            <a:ln>
              <a:noFill/>
            </a:ln>
            <a:effectLst/>
          </c:spPr>
          <c:invertIfNegative val="0"/>
          <c:dPt>
            <c:idx val="4"/>
            <c:invertIfNegative val="0"/>
            <c:bubble3D val="0"/>
            <c:spPr>
              <a:solidFill>
                <a:srgbClr val="C00000"/>
              </a:solidFill>
              <a:ln>
                <a:noFill/>
              </a:ln>
              <a:effectLst/>
            </c:spPr>
            <c:extLst>
              <c:ext xmlns:c16="http://schemas.microsoft.com/office/drawing/2014/chart" uri="{C3380CC4-5D6E-409C-BE32-E72D297353CC}">
                <c16:uniqueId val="{0000001B-547A-4BA5-BE05-53F538D511ED}"/>
              </c:ext>
            </c:extLst>
          </c:dPt>
          <c:dPt>
            <c:idx val="9"/>
            <c:invertIfNegative val="0"/>
            <c:bubble3D val="0"/>
            <c:spPr>
              <a:solidFill>
                <a:srgbClr val="C00000"/>
              </a:solidFill>
              <a:ln>
                <a:noFill/>
              </a:ln>
              <a:effectLst/>
            </c:spPr>
            <c:extLst>
              <c:ext xmlns:c16="http://schemas.microsoft.com/office/drawing/2014/chart" uri="{C3380CC4-5D6E-409C-BE32-E72D297353CC}">
                <c16:uniqueId val="{0000001D-547A-4BA5-BE05-53F538D511ED}"/>
              </c:ext>
            </c:extLst>
          </c:dPt>
          <c:dPt>
            <c:idx val="14"/>
            <c:invertIfNegative val="0"/>
            <c:bubble3D val="0"/>
            <c:spPr>
              <a:solidFill>
                <a:srgbClr val="C00000"/>
              </a:solidFill>
              <a:ln>
                <a:noFill/>
              </a:ln>
              <a:effectLst/>
            </c:spPr>
            <c:extLst>
              <c:ext xmlns:c16="http://schemas.microsoft.com/office/drawing/2014/chart" uri="{C3380CC4-5D6E-409C-BE32-E72D297353CC}">
                <c16:uniqueId val="{0000001F-547A-4BA5-BE05-53F538D511ED}"/>
              </c:ext>
            </c:extLst>
          </c:dPt>
          <c:dPt>
            <c:idx val="19"/>
            <c:invertIfNegative val="0"/>
            <c:bubble3D val="0"/>
            <c:spPr>
              <a:solidFill>
                <a:srgbClr val="C00000"/>
              </a:solidFill>
              <a:ln>
                <a:noFill/>
              </a:ln>
              <a:effectLst/>
            </c:spPr>
            <c:extLst>
              <c:ext xmlns:c16="http://schemas.microsoft.com/office/drawing/2014/chart" uri="{C3380CC4-5D6E-409C-BE32-E72D297353CC}">
                <c16:uniqueId val="{00000021-547A-4BA5-BE05-53F538D511ED}"/>
              </c:ext>
            </c:extLst>
          </c:dPt>
          <c:dPt>
            <c:idx val="24"/>
            <c:invertIfNegative val="0"/>
            <c:bubble3D val="0"/>
            <c:spPr>
              <a:solidFill>
                <a:srgbClr val="C00000"/>
              </a:solidFill>
              <a:ln>
                <a:noFill/>
              </a:ln>
              <a:effectLst/>
            </c:spPr>
            <c:extLst>
              <c:ext xmlns:c16="http://schemas.microsoft.com/office/drawing/2014/chart" uri="{C3380CC4-5D6E-409C-BE32-E72D297353CC}">
                <c16:uniqueId val="{00000023-547A-4BA5-BE05-53F538D511ED}"/>
              </c:ext>
            </c:extLst>
          </c:dPt>
          <c:dPt>
            <c:idx val="29"/>
            <c:invertIfNegative val="0"/>
            <c:bubble3D val="0"/>
            <c:spPr>
              <a:solidFill>
                <a:srgbClr val="C00000"/>
              </a:solidFill>
              <a:ln>
                <a:noFill/>
              </a:ln>
              <a:effectLst/>
            </c:spPr>
            <c:extLst>
              <c:ext xmlns:c16="http://schemas.microsoft.com/office/drawing/2014/chart" uri="{C3380CC4-5D6E-409C-BE32-E72D297353CC}">
                <c16:uniqueId val="{00000025-547A-4BA5-BE05-53F538D511ED}"/>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Outputs!$W$3:$W$37</c:f>
              <c:numCache>
                <c:formatCode>_(* #,##0_);_(* \(#,##0\);_(* "-"??_);_(@_)</c:formatCode>
                <c:ptCount val="35"/>
                <c:pt idx="0">
                  <c:v>1469099.88</c:v>
                </c:pt>
                <c:pt idx="1">
                  <c:v>1469099.88</c:v>
                </c:pt>
                <c:pt idx="2">
                  <c:v>1469099.88</c:v>
                </c:pt>
                <c:pt idx="3">
                  <c:v>1469099.88</c:v>
                </c:pt>
                <c:pt idx="4">
                  <c:v>1469099.88</c:v>
                </c:pt>
                <c:pt idx="5">
                  <c:v>1552352.88</c:v>
                </c:pt>
                <c:pt idx="6">
                  <c:v>1552352.88</c:v>
                </c:pt>
                <c:pt idx="7">
                  <c:v>1552352.88</c:v>
                </c:pt>
                <c:pt idx="8">
                  <c:v>1552352.88</c:v>
                </c:pt>
                <c:pt idx="9">
                  <c:v>1518408</c:v>
                </c:pt>
                <c:pt idx="10">
                  <c:v>1660216.25</c:v>
                </c:pt>
                <c:pt idx="11">
                  <c:v>1660216.25</c:v>
                </c:pt>
                <c:pt idx="12">
                  <c:v>1660216.25</c:v>
                </c:pt>
                <c:pt idx="13">
                  <c:v>1660216.25</c:v>
                </c:pt>
                <c:pt idx="14">
                  <c:v>1594491</c:v>
                </c:pt>
                <c:pt idx="15">
                  <c:v>1782187.25</c:v>
                </c:pt>
                <c:pt idx="16">
                  <c:v>1782187.25</c:v>
                </c:pt>
                <c:pt idx="17">
                  <c:v>1782187.25</c:v>
                </c:pt>
                <c:pt idx="18">
                  <c:v>1782187.25</c:v>
                </c:pt>
                <c:pt idx="19">
                  <c:v>1707833</c:v>
                </c:pt>
                <c:pt idx="20">
                  <c:v>1938591.88</c:v>
                </c:pt>
                <c:pt idx="21">
                  <c:v>1955601.13</c:v>
                </c:pt>
                <c:pt idx="22">
                  <c:v>1913262</c:v>
                </c:pt>
                <c:pt idx="23">
                  <c:v>1923863.75</c:v>
                </c:pt>
                <c:pt idx="24">
                  <c:v>1870119</c:v>
                </c:pt>
                <c:pt idx="25">
                  <c:v>2149350.75</c:v>
                </c:pt>
                <c:pt idx="26">
                  <c:v>2259849.5</c:v>
                </c:pt>
                <c:pt idx="27">
                  <c:v>1983321</c:v>
                </c:pt>
                <c:pt idx="28">
                  <c:v>2049012.75</c:v>
                </c:pt>
                <c:pt idx="29">
                  <c:v>2123783</c:v>
                </c:pt>
                <c:pt idx="30">
                  <c:v>2310767.25</c:v>
                </c:pt>
                <c:pt idx="31">
                  <c:v>2555195.5</c:v>
                </c:pt>
                <c:pt idx="32">
                  <c:v>1915158.13</c:v>
                </c:pt>
                <c:pt idx="33">
                  <c:v>2061338.38</c:v>
                </c:pt>
                <c:pt idx="34">
                  <c:v>0</c:v>
                </c:pt>
              </c:numCache>
            </c:numRef>
          </c:val>
          <c:extLst>
            <c:ext xmlns:c16="http://schemas.microsoft.com/office/drawing/2014/chart" uri="{C3380CC4-5D6E-409C-BE32-E72D297353CC}">
              <c16:uniqueId val="{00000026-547A-4BA5-BE05-53F538D511ED}"/>
            </c:ext>
          </c:extLst>
        </c:ser>
        <c:dLbls>
          <c:showLegendKey val="0"/>
          <c:showVal val="0"/>
          <c:showCatName val="0"/>
          <c:showSerName val="0"/>
          <c:showPercent val="0"/>
          <c:showBubbleSize val="0"/>
        </c:dLbls>
        <c:gapWidth val="40"/>
        <c:overlap val="100"/>
        <c:axId val="-177659808"/>
        <c:axId val="-177658720"/>
      </c:barChart>
      <c:catAx>
        <c:axId val="-177659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658720"/>
        <c:crosses val="autoZero"/>
        <c:auto val="1"/>
        <c:lblAlgn val="ctr"/>
        <c:lblOffset val="100"/>
        <c:tickLblSkip val="1"/>
        <c:noMultiLvlLbl val="0"/>
      </c:catAx>
      <c:valAx>
        <c:axId val="-177658720"/>
        <c:scaling>
          <c:orientation val="minMax"/>
          <c:max val="13000000"/>
          <c:min val="0"/>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659808"/>
        <c:crossesAt val="1"/>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Population</a:t>
            </a:r>
            <a:r>
              <a:rPr lang="en-US" baseline="0"/>
              <a:t> by Workforce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Outputs!$X$2</c:f>
              <c:strCache>
                <c:ptCount val="1"/>
                <c:pt idx="0">
                  <c:v>In Workforce</c:v>
                </c:pt>
              </c:strCache>
            </c:strRef>
          </c:tx>
          <c:spPr>
            <a:solidFill>
              <a:schemeClr val="accent1"/>
            </a:solidFill>
            <a:ln>
              <a:noFill/>
            </a:ln>
            <a:effectLst/>
          </c:spPr>
          <c:invertIfNegative val="0"/>
          <c:dPt>
            <c:idx val="4"/>
            <c:invertIfNegative val="0"/>
            <c:bubble3D val="0"/>
            <c:spPr>
              <a:solidFill>
                <a:srgbClr val="FFC000"/>
              </a:solidFill>
              <a:ln>
                <a:noFill/>
              </a:ln>
              <a:effectLst/>
            </c:spPr>
            <c:extLst>
              <c:ext xmlns:c16="http://schemas.microsoft.com/office/drawing/2014/chart" uri="{C3380CC4-5D6E-409C-BE32-E72D297353CC}">
                <c16:uniqueId val="{00000001-8D97-40CD-9887-741981EC974A}"/>
              </c:ext>
            </c:extLst>
          </c:dPt>
          <c:dPt>
            <c:idx val="9"/>
            <c:invertIfNegative val="0"/>
            <c:bubble3D val="0"/>
            <c:spPr>
              <a:solidFill>
                <a:srgbClr val="FFC000"/>
              </a:solidFill>
              <a:ln>
                <a:noFill/>
              </a:ln>
              <a:effectLst/>
            </c:spPr>
            <c:extLst>
              <c:ext xmlns:c16="http://schemas.microsoft.com/office/drawing/2014/chart" uri="{C3380CC4-5D6E-409C-BE32-E72D297353CC}">
                <c16:uniqueId val="{00000003-8D97-40CD-9887-741981EC974A}"/>
              </c:ext>
            </c:extLst>
          </c:dPt>
          <c:dPt>
            <c:idx val="14"/>
            <c:invertIfNegative val="0"/>
            <c:bubble3D val="0"/>
            <c:spPr>
              <a:solidFill>
                <a:srgbClr val="FFC000"/>
              </a:solidFill>
              <a:ln>
                <a:noFill/>
              </a:ln>
              <a:effectLst/>
            </c:spPr>
            <c:extLst>
              <c:ext xmlns:c16="http://schemas.microsoft.com/office/drawing/2014/chart" uri="{C3380CC4-5D6E-409C-BE32-E72D297353CC}">
                <c16:uniqueId val="{00000005-8D97-40CD-9887-741981EC974A}"/>
              </c:ext>
            </c:extLst>
          </c:dPt>
          <c:dPt>
            <c:idx val="19"/>
            <c:invertIfNegative val="0"/>
            <c:bubble3D val="0"/>
            <c:spPr>
              <a:solidFill>
                <a:srgbClr val="FFC000"/>
              </a:solidFill>
              <a:ln>
                <a:noFill/>
              </a:ln>
              <a:effectLst/>
            </c:spPr>
            <c:extLst>
              <c:ext xmlns:c16="http://schemas.microsoft.com/office/drawing/2014/chart" uri="{C3380CC4-5D6E-409C-BE32-E72D297353CC}">
                <c16:uniqueId val="{00000007-8D97-40CD-9887-741981EC974A}"/>
              </c:ext>
            </c:extLst>
          </c:dPt>
          <c:dPt>
            <c:idx val="24"/>
            <c:invertIfNegative val="0"/>
            <c:bubble3D val="0"/>
            <c:spPr>
              <a:solidFill>
                <a:srgbClr val="FFC000"/>
              </a:solidFill>
              <a:ln>
                <a:noFill/>
              </a:ln>
              <a:effectLst/>
            </c:spPr>
            <c:extLst>
              <c:ext xmlns:c16="http://schemas.microsoft.com/office/drawing/2014/chart" uri="{C3380CC4-5D6E-409C-BE32-E72D297353CC}">
                <c16:uniqueId val="{00000009-8D97-40CD-9887-741981EC974A}"/>
              </c:ext>
            </c:extLst>
          </c:dPt>
          <c:dPt>
            <c:idx val="29"/>
            <c:invertIfNegative val="0"/>
            <c:bubble3D val="0"/>
            <c:spPr>
              <a:solidFill>
                <a:srgbClr val="FFC000"/>
              </a:solidFill>
              <a:ln>
                <a:noFill/>
              </a:ln>
              <a:effectLst/>
            </c:spPr>
            <c:extLst>
              <c:ext xmlns:c16="http://schemas.microsoft.com/office/drawing/2014/chart" uri="{C3380CC4-5D6E-409C-BE32-E72D297353CC}">
                <c16:uniqueId val="{0000000B-8D97-40CD-9887-741981EC974A}"/>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Outputs!$X$3:$X$37</c:f>
              <c:numCache>
                <c:formatCode>_(* #,##0_);_(* \(#,##0\);_(* "-"??_);_(@_)</c:formatCode>
                <c:ptCount val="35"/>
                <c:pt idx="0">
                  <c:v>2923941.5</c:v>
                </c:pt>
                <c:pt idx="1">
                  <c:v>2923941.5</c:v>
                </c:pt>
                <c:pt idx="2">
                  <c:v>2923941.5</c:v>
                </c:pt>
                <c:pt idx="3">
                  <c:v>2923941.5</c:v>
                </c:pt>
                <c:pt idx="4">
                  <c:v>2923941.5</c:v>
                </c:pt>
                <c:pt idx="5">
                  <c:v>3063293.25</c:v>
                </c:pt>
                <c:pt idx="6">
                  <c:v>3063293.25</c:v>
                </c:pt>
                <c:pt idx="7">
                  <c:v>3063293.25</c:v>
                </c:pt>
                <c:pt idx="8">
                  <c:v>3063293.25</c:v>
                </c:pt>
                <c:pt idx="9">
                  <c:v>2944337</c:v>
                </c:pt>
                <c:pt idx="10">
                  <c:v>3225541</c:v>
                </c:pt>
                <c:pt idx="11">
                  <c:v>3225541</c:v>
                </c:pt>
                <c:pt idx="12">
                  <c:v>3225541</c:v>
                </c:pt>
                <c:pt idx="13">
                  <c:v>3225541</c:v>
                </c:pt>
                <c:pt idx="14">
                  <c:v>3089249</c:v>
                </c:pt>
                <c:pt idx="15">
                  <c:v>3388204.5</c:v>
                </c:pt>
                <c:pt idx="16">
                  <c:v>3388204.5</c:v>
                </c:pt>
                <c:pt idx="17">
                  <c:v>3388204.5</c:v>
                </c:pt>
                <c:pt idx="18">
                  <c:v>3388204.5</c:v>
                </c:pt>
                <c:pt idx="19">
                  <c:v>3244289</c:v>
                </c:pt>
                <c:pt idx="20">
                  <c:v>3572346</c:v>
                </c:pt>
                <c:pt idx="21">
                  <c:v>3603372.5</c:v>
                </c:pt>
                <c:pt idx="22">
                  <c:v>3543368.5</c:v>
                </c:pt>
                <c:pt idx="23">
                  <c:v>3573530</c:v>
                </c:pt>
                <c:pt idx="24">
                  <c:v>3472478</c:v>
                </c:pt>
                <c:pt idx="25">
                  <c:v>3802521</c:v>
                </c:pt>
                <c:pt idx="26">
                  <c:v>3965732.75</c:v>
                </c:pt>
                <c:pt idx="27">
                  <c:v>3662272.75</c:v>
                </c:pt>
                <c:pt idx="28">
                  <c:v>3787163.5</c:v>
                </c:pt>
                <c:pt idx="29">
                  <c:v>3796780</c:v>
                </c:pt>
                <c:pt idx="30">
                  <c:v>3953088.75</c:v>
                </c:pt>
                <c:pt idx="31">
                  <c:v>4309654</c:v>
                </c:pt>
                <c:pt idx="32">
                  <c:v>3662009</c:v>
                </c:pt>
                <c:pt idx="33">
                  <c:v>3896823</c:v>
                </c:pt>
                <c:pt idx="34">
                  <c:v>0</c:v>
                </c:pt>
              </c:numCache>
            </c:numRef>
          </c:val>
          <c:extLst>
            <c:ext xmlns:c16="http://schemas.microsoft.com/office/drawing/2014/chart" uri="{C3380CC4-5D6E-409C-BE32-E72D297353CC}">
              <c16:uniqueId val="{0000000C-8D97-40CD-9887-741981EC974A}"/>
            </c:ext>
          </c:extLst>
        </c:ser>
        <c:ser>
          <c:idx val="1"/>
          <c:order val="1"/>
          <c:tx>
            <c:strRef>
              <c:f>Outputs!$Y$2</c:f>
              <c:strCache>
                <c:ptCount val="1"/>
                <c:pt idx="0">
                  <c:v>Not in Workforce</c:v>
                </c:pt>
              </c:strCache>
            </c:strRef>
          </c:tx>
          <c:spPr>
            <a:solidFill>
              <a:schemeClr val="accent2"/>
            </a:solidFill>
            <a:ln>
              <a:noFill/>
            </a:ln>
            <a:effectLst/>
          </c:spPr>
          <c:invertIfNegative val="0"/>
          <c:dPt>
            <c:idx val="4"/>
            <c:invertIfNegative val="0"/>
            <c:bubble3D val="0"/>
            <c:spPr>
              <a:solidFill>
                <a:srgbClr val="92D050"/>
              </a:solidFill>
              <a:ln>
                <a:noFill/>
              </a:ln>
              <a:effectLst/>
            </c:spPr>
            <c:extLst>
              <c:ext xmlns:c16="http://schemas.microsoft.com/office/drawing/2014/chart" uri="{C3380CC4-5D6E-409C-BE32-E72D297353CC}">
                <c16:uniqueId val="{0000000E-8D97-40CD-9887-741981EC974A}"/>
              </c:ext>
            </c:extLst>
          </c:dPt>
          <c:dPt>
            <c:idx val="9"/>
            <c:invertIfNegative val="0"/>
            <c:bubble3D val="0"/>
            <c:spPr>
              <a:solidFill>
                <a:srgbClr val="92D050"/>
              </a:solidFill>
              <a:ln>
                <a:noFill/>
              </a:ln>
              <a:effectLst/>
            </c:spPr>
            <c:extLst>
              <c:ext xmlns:c16="http://schemas.microsoft.com/office/drawing/2014/chart" uri="{C3380CC4-5D6E-409C-BE32-E72D297353CC}">
                <c16:uniqueId val="{00000010-8D97-40CD-9887-741981EC974A}"/>
              </c:ext>
            </c:extLst>
          </c:dPt>
          <c:dPt>
            <c:idx val="14"/>
            <c:invertIfNegative val="0"/>
            <c:bubble3D val="0"/>
            <c:spPr>
              <a:solidFill>
                <a:srgbClr val="92D050"/>
              </a:solidFill>
              <a:ln>
                <a:noFill/>
              </a:ln>
              <a:effectLst/>
            </c:spPr>
            <c:extLst>
              <c:ext xmlns:c16="http://schemas.microsoft.com/office/drawing/2014/chart" uri="{C3380CC4-5D6E-409C-BE32-E72D297353CC}">
                <c16:uniqueId val="{00000012-8D97-40CD-9887-741981EC974A}"/>
              </c:ext>
            </c:extLst>
          </c:dPt>
          <c:dPt>
            <c:idx val="19"/>
            <c:invertIfNegative val="0"/>
            <c:bubble3D val="0"/>
            <c:spPr>
              <a:solidFill>
                <a:srgbClr val="92D050"/>
              </a:solidFill>
              <a:ln>
                <a:noFill/>
              </a:ln>
              <a:effectLst/>
            </c:spPr>
            <c:extLst>
              <c:ext xmlns:c16="http://schemas.microsoft.com/office/drawing/2014/chart" uri="{C3380CC4-5D6E-409C-BE32-E72D297353CC}">
                <c16:uniqueId val="{00000014-8D97-40CD-9887-741981EC974A}"/>
              </c:ext>
            </c:extLst>
          </c:dPt>
          <c:dPt>
            <c:idx val="24"/>
            <c:invertIfNegative val="0"/>
            <c:bubble3D val="0"/>
            <c:spPr>
              <a:solidFill>
                <a:srgbClr val="92D050"/>
              </a:solidFill>
              <a:ln>
                <a:noFill/>
              </a:ln>
              <a:effectLst/>
            </c:spPr>
            <c:extLst>
              <c:ext xmlns:c16="http://schemas.microsoft.com/office/drawing/2014/chart" uri="{C3380CC4-5D6E-409C-BE32-E72D297353CC}">
                <c16:uniqueId val="{00000016-8D97-40CD-9887-741981EC974A}"/>
              </c:ext>
            </c:extLst>
          </c:dPt>
          <c:dPt>
            <c:idx val="29"/>
            <c:invertIfNegative val="0"/>
            <c:bubble3D val="0"/>
            <c:spPr>
              <a:solidFill>
                <a:srgbClr val="92D050"/>
              </a:solidFill>
              <a:ln>
                <a:noFill/>
              </a:ln>
              <a:effectLst/>
            </c:spPr>
            <c:extLst>
              <c:ext xmlns:c16="http://schemas.microsoft.com/office/drawing/2014/chart" uri="{C3380CC4-5D6E-409C-BE32-E72D297353CC}">
                <c16:uniqueId val="{00000018-8D97-40CD-9887-741981EC974A}"/>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Outputs!$Y$3:$Y$37</c:f>
              <c:numCache>
                <c:formatCode>_(* #,##0_);_(* \(#,##0\);_(* "-"??_);_(@_)</c:formatCode>
                <c:ptCount val="35"/>
                <c:pt idx="0">
                  <c:v>2585170.5</c:v>
                </c:pt>
                <c:pt idx="1">
                  <c:v>2585170.5</c:v>
                </c:pt>
                <c:pt idx="2">
                  <c:v>2585170.5</c:v>
                </c:pt>
                <c:pt idx="3">
                  <c:v>2585170.5</c:v>
                </c:pt>
                <c:pt idx="4">
                  <c:v>2585170.5</c:v>
                </c:pt>
                <c:pt idx="5">
                  <c:v>2728285</c:v>
                </c:pt>
                <c:pt idx="6">
                  <c:v>2728285</c:v>
                </c:pt>
                <c:pt idx="7">
                  <c:v>2728285</c:v>
                </c:pt>
                <c:pt idx="8">
                  <c:v>2728285</c:v>
                </c:pt>
                <c:pt idx="9">
                  <c:v>2739358</c:v>
                </c:pt>
                <c:pt idx="10">
                  <c:v>2937626.25</c:v>
                </c:pt>
                <c:pt idx="11">
                  <c:v>2937626.25</c:v>
                </c:pt>
                <c:pt idx="12">
                  <c:v>2937626.25</c:v>
                </c:pt>
                <c:pt idx="13">
                  <c:v>2937626.25</c:v>
                </c:pt>
                <c:pt idx="14">
                  <c:v>2867256</c:v>
                </c:pt>
                <c:pt idx="15">
                  <c:v>3207662.25</c:v>
                </c:pt>
                <c:pt idx="16">
                  <c:v>3207662.25</c:v>
                </c:pt>
                <c:pt idx="17">
                  <c:v>3207662.25</c:v>
                </c:pt>
                <c:pt idx="18">
                  <c:v>3207662.25</c:v>
                </c:pt>
                <c:pt idx="19">
                  <c:v>3115309</c:v>
                </c:pt>
                <c:pt idx="20">
                  <c:v>3582379.75</c:v>
                </c:pt>
                <c:pt idx="21">
                  <c:v>3559497.25</c:v>
                </c:pt>
                <c:pt idx="22">
                  <c:v>3565587.75</c:v>
                </c:pt>
                <c:pt idx="23">
                  <c:v>3582250</c:v>
                </c:pt>
                <c:pt idx="24">
                  <c:v>3488795</c:v>
                </c:pt>
                <c:pt idx="25">
                  <c:v>4114829.75</c:v>
                </c:pt>
                <c:pt idx="26">
                  <c:v>3942784.25</c:v>
                </c:pt>
                <c:pt idx="27">
                  <c:v>3909127</c:v>
                </c:pt>
                <c:pt idx="28">
                  <c:v>4105585</c:v>
                </c:pt>
                <c:pt idx="29">
                  <c:v>4140786</c:v>
                </c:pt>
                <c:pt idx="30">
                  <c:v>4508570</c:v>
                </c:pt>
                <c:pt idx="31">
                  <c:v>4063192.75</c:v>
                </c:pt>
                <c:pt idx="32">
                  <c:v>3922498.5</c:v>
                </c:pt>
                <c:pt idx="33">
                  <c:v>4505030.5</c:v>
                </c:pt>
                <c:pt idx="34">
                  <c:v>0</c:v>
                </c:pt>
              </c:numCache>
            </c:numRef>
          </c:val>
          <c:extLst>
            <c:ext xmlns:c16="http://schemas.microsoft.com/office/drawing/2014/chart" uri="{C3380CC4-5D6E-409C-BE32-E72D297353CC}">
              <c16:uniqueId val="{00000019-8D97-40CD-9887-741981EC974A}"/>
            </c:ext>
          </c:extLst>
        </c:ser>
        <c:dLbls>
          <c:showLegendKey val="0"/>
          <c:showVal val="0"/>
          <c:showCatName val="0"/>
          <c:showSerName val="0"/>
          <c:showPercent val="0"/>
          <c:showBubbleSize val="0"/>
        </c:dLbls>
        <c:gapWidth val="40"/>
        <c:overlap val="100"/>
        <c:axId val="-2091960528"/>
        <c:axId val="-2091961072"/>
      </c:barChart>
      <c:catAx>
        <c:axId val="-20919605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961072"/>
        <c:crosses val="autoZero"/>
        <c:auto val="1"/>
        <c:lblAlgn val="ctr"/>
        <c:lblOffset val="100"/>
        <c:tickLblSkip val="1"/>
        <c:noMultiLvlLbl val="0"/>
      </c:catAx>
      <c:valAx>
        <c:axId val="-2091961072"/>
        <c:scaling>
          <c:orientation val="minMax"/>
          <c:max val="13000000"/>
          <c:min val="0"/>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960528"/>
        <c:crossesAt val="1"/>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Annual VMT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Outputs!$Z$2</c:f>
              <c:strCache>
                <c:ptCount val="1"/>
                <c:pt idx="0">
                  <c:v>Auto VMT/capita per year</c:v>
                </c:pt>
              </c:strCache>
            </c:strRef>
          </c:tx>
          <c:spPr>
            <a:solidFill>
              <a:schemeClr val="accent1"/>
            </a:solidFill>
            <a:ln>
              <a:noFill/>
            </a:ln>
            <a:effectLst/>
          </c:spPr>
          <c:invertIfNegative val="0"/>
          <c:dPt>
            <c:idx val="4"/>
            <c:invertIfNegative val="0"/>
            <c:bubble3D val="0"/>
            <c:spPr>
              <a:solidFill>
                <a:srgbClr val="FFC000"/>
              </a:solidFill>
              <a:ln>
                <a:noFill/>
              </a:ln>
              <a:effectLst/>
            </c:spPr>
            <c:extLst>
              <c:ext xmlns:c16="http://schemas.microsoft.com/office/drawing/2014/chart" uri="{C3380CC4-5D6E-409C-BE32-E72D297353CC}">
                <c16:uniqueId val="{00000001-CA49-49D2-AD1C-3DCFEC606D45}"/>
              </c:ext>
            </c:extLst>
          </c:dPt>
          <c:dPt>
            <c:idx val="9"/>
            <c:invertIfNegative val="0"/>
            <c:bubble3D val="0"/>
            <c:spPr>
              <a:solidFill>
                <a:srgbClr val="FFC000"/>
              </a:solidFill>
              <a:ln>
                <a:noFill/>
              </a:ln>
              <a:effectLst/>
            </c:spPr>
            <c:extLst>
              <c:ext xmlns:c16="http://schemas.microsoft.com/office/drawing/2014/chart" uri="{C3380CC4-5D6E-409C-BE32-E72D297353CC}">
                <c16:uniqueId val="{00000003-CA49-49D2-AD1C-3DCFEC606D45}"/>
              </c:ext>
            </c:extLst>
          </c:dPt>
          <c:dPt>
            <c:idx val="14"/>
            <c:invertIfNegative val="0"/>
            <c:bubble3D val="0"/>
            <c:spPr>
              <a:solidFill>
                <a:srgbClr val="FFC000"/>
              </a:solidFill>
              <a:ln>
                <a:noFill/>
              </a:ln>
              <a:effectLst/>
            </c:spPr>
            <c:extLst>
              <c:ext xmlns:c16="http://schemas.microsoft.com/office/drawing/2014/chart" uri="{C3380CC4-5D6E-409C-BE32-E72D297353CC}">
                <c16:uniqueId val="{00000005-CA49-49D2-AD1C-3DCFEC606D45}"/>
              </c:ext>
            </c:extLst>
          </c:dPt>
          <c:dPt>
            <c:idx val="19"/>
            <c:invertIfNegative val="0"/>
            <c:bubble3D val="0"/>
            <c:spPr>
              <a:solidFill>
                <a:srgbClr val="FFC000"/>
              </a:solidFill>
              <a:ln>
                <a:noFill/>
              </a:ln>
              <a:effectLst/>
            </c:spPr>
            <c:extLst>
              <c:ext xmlns:c16="http://schemas.microsoft.com/office/drawing/2014/chart" uri="{C3380CC4-5D6E-409C-BE32-E72D297353CC}">
                <c16:uniqueId val="{00000007-CA49-49D2-AD1C-3DCFEC606D45}"/>
              </c:ext>
            </c:extLst>
          </c:dPt>
          <c:dPt>
            <c:idx val="24"/>
            <c:invertIfNegative val="0"/>
            <c:bubble3D val="0"/>
            <c:spPr>
              <a:solidFill>
                <a:srgbClr val="FFC000"/>
              </a:solidFill>
              <a:ln>
                <a:noFill/>
              </a:ln>
              <a:effectLst/>
            </c:spPr>
            <c:extLst>
              <c:ext xmlns:c16="http://schemas.microsoft.com/office/drawing/2014/chart" uri="{C3380CC4-5D6E-409C-BE32-E72D297353CC}">
                <c16:uniqueId val="{00000009-CA49-49D2-AD1C-3DCFEC606D45}"/>
              </c:ext>
            </c:extLst>
          </c:dPt>
          <c:dPt>
            <c:idx val="29"/>
            <c:invertIfNegative val="0"/>
            <c:bubble3D val="0"/>
            <c:spPr>
              <a:solidFill>
                <a:srgbClr val="FFC000"/>
              </a:solidFill>
              <a:ln>
                <a:noFill/>
              </a:ln>
              <a:effectLst/>
            </c:spPr>
            <c:extLst>
              <c:ext xmlns:c16="http://schemas.microsoft.com/office/drawing/2014/chart" uri="{C3380CC4-5D6E-409C-BE32-E72D297353CC}">
                <c16:uniqueId val="{0000000B-CA49-49D2-AD1C-3DCFEC606D45}"/>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Outputs!$Z$3:$Z$37</c:f>
              <c:numCache>
                <c:formatCode>#,##0</c:formatCode>
                <c:ptCount val="35"/>
                <c:pt idx="0">
                  <c:v>10679.360089248503</c:v>
                </c:pt>
                <c:pt idx="1">
                  <c:v>10679.360089248503</c:v>
                </c:pt>
                <c:pt idx="2">
                  <c:v>10679.360089248503</c:v>
                </c:pt>
                <c:pt idx="3">
                  <c:v>10679.360089248503</c:v>
                </c:pt>
                <c:pt idx="4">
                  <c:v>10475.5</c:v>
                </c:pt>
                <c:pt idx="5">
                  <c:v>10520.92515196527</c:v>
                </c:pt>
                <c:pt idx="6">
                  <c:v>10520.92515196527</c:v>
                </c:pt>
                <c:pt idx="7">
                  <c:v>10520.92515196527</c:v>
                </c:pt>
                <c:pt idx="8">
                  <c:v>10520.92515196527</c:v>
                </c:pt>
                <c:pt idx="9">
                  <c:v>10548.5</c:v>
                </c:pt>
                <c:pt idx="10">
                  <c:v>10468.170345369095</c:v>
                </c:pt>
                <c:pt idx="11">
                  <c:v>10468.170345369095</c:v>
                </c:pt>
                <c:pt idx="12">
                  <c:v>10468.170345369095</c:v>
                </c:pt>
                <c:pt idx="13">
                  <c:v>10468.170345369095</c:v>
                </c:pt>
                <c:pt idx="14">
                  <c:v>10548.5</c:v>
                </c:pt>
                <c:pt idx="15">
                  <c:v>10322.920735171007</c:v>
                </c:pt>
                <c:pt idx="16">
                  <c:v>10322.920735171007</c:v>
                </c:pt>
                <c:pt idx="17">
                  <c:v>10322.920735171007</c:v>
                </c:pt>
                <c:pt idx="18">
                  <c:v>10322.920735171007</c:v>
                </c:pt>
                <c:pt idx="19">
                  <c:v>10439</c:v>
                </c:pt>
                <c:pt idx="20">
                  <c:v>9982.0232746167803</c:v>
                </c:pt>
                <c:pt idx="21">
                  <c:v>10489.255097790938</c:v>
                </c:pt>
                <c:pt idx="22">
                  <c:v>9067.0211594001576</c:v>
                </c:pt>
                <c:pt idx="23">
                  <c:v>8944.1431625902424</c:v>
                </c:pt>
                <c:pt idx="24">
                  <c:v>10293</c:v>
                </c:pt>
                <c:pt idx="25">
                  <c:v>8758.1908935889951</c:v>
                </c:pt>
                <c:pt idx="26">
                  <c:v>10467.465452751761</c:v>
                </c:pt>
                <c:pt idx="27">
                  <c:v>7290.9132766368593</c:v>
                </c:pt>
                <c:pt idx="28">
                  <c:v>7175.9394233833755</c:v>
                </c:pt>
                <c:pt idx="29">
                  <c:v>10001</c:v>
                </c:pt>
                <c:pt idx="30">
                  <c:v>7672.1335423743012</c:v>
                </c:pt>
                <c:pt idx="31">
                  <c:v>10854.855252187674</c:v>
                </c:pt>
                <c:pt idx="32">
                  <c:v>6069.4368144536738</c:v>
                </c:pt>
                <c:pt idx="33">
                  <c:v>5488.0005822524754</c:v>
                </c:pt>
                <c:pt idx="34" formatCode="_(* #,##0_);_(* \(#,##0\);_(* &quot;-&quot;??_);_(@_)">
                  <c:v>0</c:v>
                </c:pt>
              </c:numCache>
            </c:numRef>
          </c:val>
          <c:extLst>
            <c:ext xmlns:c16="http://schemas.microsoft.com/office/drawing/2014/chart" uri="{C3380CC4-5D6E-409C-BE32-E72D297353CC}">
              <c16:uniqueId val="{0000000C-CA49-49D2-AD1C-3DCFEC606D45}"/>
            </c:ext>
          </c:extLst>
        </c:ser>
        <c:dLbls>
          <c:showLegendKey val="0"/>
          <c:showVal val="0"/>
          <c:showCatName val="0"/>
          <c:showSerName val="0"/>
          <c:showPercent val="0"/>
          <c:showBubbleSize val="0"/>
        </c:dLbls>
        <c:gapWidth val="40"/>
        <c:axId val="-2091953456"/>
        <c:axId val="-2091952912"/>
      </c:barChart>
      <c:catAx>
        <c:axId val="-20919534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952912"/>
        <c:crosses val="autoZero"/>
        <c:auto val="1"/>
        <c:lblAlgn val="ctr"/>
        <c:lblOffset val="100"/>
        <c:noMultiLvlLbl val="0"/>
      </c:catAx>
      <c:valAx>
        <c:axId val="-2091952912"/>
        <c:scaling>
          <c:orientation val="minMax"/>
          <c:max val="15000"/>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953456"/>
        <c:crossesAt val="1"/>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Total Population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Outputs!$AA$2</c:f>
              <c:strCache>
                <c:ptCount val="1"/>
                <c:pt idx="0">
                  <c:v>Population</c:v>
                </c:pt>
              </c:strCache>
            </c:strRef>
          </c:tx>
          <c:spPr>
            <a:solidFill>
              <a:schemeClr val="accent1"/>
            </a:solidFill>
            <a:ln>
              <a:noFill/>
            </a:ln>
            <a:effectLst/>
          </c:spPr>
          <c:invertIfNegative val="0"/>
          <c:dPt>
            <c:idx val="4"/>
            <c:invertIfNegative val="0"/>
            <c:bubble3D val="0"/>
            <c:spPr>
              <a:solidFill>
                <a:srgbClr val="FFC000"/>
              </a:solidFill>
              <a:ln>
                <a:noFill/>
              </a:ln>
              <a:effectLst/>
            </c:spPr>
            <c:extLst>
              <c:ext xmlns:c16="http://schemas.microsoft.com/office/drawing/2014/chart" uri="{C3380CC4-5D6E-409C-BE32-E72D297353CC}">
                <c16:uniqueId val="{00000001-7934-4360-A180-F3B2D62F7945}"/>
              </c:ext>
            </c:extLst>
          </c:dPt>
          <c:dPt>
            <c:idx val="9"/>
            <c:invertIfNegative val="0"/>
            <c:bubble3D val="0"/>
            <c:spPr>
              <a:solidFill>
                <a:srgbClr val="FFC000"/>
              </a:solidFill>
              <a:ln>
                <a:noFill/>
              </a:ln>
              <a:effectLst/>
            </c:spPr>
            <c:extLst>
              <c:ext xmlns:c16="http://schemas.microsoft.com/office/drawing/2014/chart" uri="{C3380CC4-5D6E-409C-BE32-E72D297353CC}">
                <c16:uniqueId val="{00000003-7934-4360-A180-F3B2D62F7945}"/>
              </c:ext>
            </c:extLst>
          </c:dPt>
          <c:dPt>
            <c:idx val="14"/>
            <c:invertIfNegative val="0"/>
            <c:bubble3D val="0"/>
            <c:spPr>
              <a:solidFill>
                <a:srgbClr val="FFC000"/>
              </a:solidFill>
              <a:ln>
                <a:noFill/>
              </a:ln>
              <a:effectLst/>
            </c:spPr>
            <c:extLst>
              <c:ext xmlns:c16="http://schemas.microsoft.com/office/drawing/2014/chart" uri="{C3380CC4-5D6E-409C-BE32-E72D297353CC}">
                <c16:uniqueId val="{00000005-7934-4360-A180-F3B2D62F7945}"/>
              </c:ext>
            </c:extLst>
          </c:dPt>
          <c:dPt>
            <c:idx val="19"/>
            <c:invertIfNegative val="0"/>
            <c:bubble3D val="0"/>
            <c:spPr>
              <a:solidFill>
                <a:srgbClr val="FFC000"/>
              </a:solidFill>
              <a:ln>
                <a:noFill/>
              </a:ln>
              <a:effectLst/>
            </c:spPr>
            <c:extLst>
              <c:ext xmlns:c16="http://schemas.microsoft.com/office/drawing/2014/chart" uri="{C3380CC4-5D6E-409C-BE32-E72D297353CC}">
                <c16:uniqueId val="{00000007-7934-4360-A180-F3B2D62F7945}"/>
              </c:ext>
            </c:extLst>
          </c:dPt>
          <c:dPt>
            <c:idx val="24"/>
            <c:invertIfNegative val="0"/>
            <c:bubble3D val="0"/>
            <c:spPr>
              <a:solidFill>
                <a:srgbClr val="FFC000"/>
              </a:solidFill>
              <a:ln>
                <a:noFill/>
              </a:ln>
              <a:effectLst/>
            </c:spPr>
            <c:extLst>
              <c:ext xmlns:c16="http://schemas.microsoft.com/office/drawing/2014/chart" uri="{C3380CC4-5D6E-409C-BE32-E72D297353CC}">
                <c16:uniqueId val="{00000009-7934-4360-A180-F3B2D62F7945}"/>
              </c:ext>
            </c:extLst>
          </c:dPt>
          <c:dPt>
            <c:idx val="29"/>
            <c:invertIfNegative val="0"/>
            <c:bubble3D val="0"/>
            <c:spPr>
              <a:solidFill>
                <a:srgbClr val="FFC000"/>
              </a:solidFill>
              <a:ln>
                <a:noFill/>
              </a:ln>
              <a:effectLst/>
            </c:spPr>
            <c:extLst>
              <c:ext xmlns:c16="http://schemas.microsoft.com/office/drawing/2014/chart" uri="{C3380CC4-5D6E-409C-BE32-E72D297353CC}">
                <c16:uniqueId val="{0000000B-7934-4360-A180-F3B2D62F7945}"/>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Outputs!$AA$3:$AA$37</c:f>
              <c:numCache>
                <c:formatCode>#,##0</c:formatCode>
                <c:ptCount val="35"/>
                <c:pt idx="0">
                  <c:v>5509112</c:v>
                </c:pt>
                <c:pt idx="1">
                  <c:v>5509112</c:v>
                </c:pt>
                <c:pt idx="2">
                  <c:v>5509112</c:v>
                </c:pt>
                <c:pt idx="3">
                  <c:v>5509112</c:v>
                </c:pt>
                <c:pt idx="4">
                  <c:v>5509112</c:v>
                </c:pt>
                <c:pt idx="5">
                  <c:v>5791578.25</c:v>
                </c:pt>
                <c:pt idx="6">
                  <c:v>5791578.25</c:v>
                </c:pt>
                <c:pt idx="7">
                  <c:v>5791578.25</c:v>
                </c:pt>
                <c:pt idx="8">
                  <c:v>5791578.25</c:v>
                </c:pt>
                <c:pt idx="9">
                  <c:v>5683695</c:v>
                </c:pt>
                <c:pt idx="10">
                  <c:v>6163167.25</c:v>
                </c:pt>
                <c:pt idx="11">
                  <c:v>6163167.25</c:v>
                </c:pt>
                <c:pt idx="12">
                  <c:v>6163167.25</c:v>
                </c:pt>
                <c:pt idx="13">
                  <c:v>6163167.25</c:v>
                </c:pt>
                <c:pt idx="14">
                  <c:v>5956505</c:v>
                </c:pt>
                <c:pt idx="15">
                  <c:v>6595866.75</c:v>
                </c:pt>
                <c:pt idx="16">
                  <c:v>6595866.75</c:v>
                </c:pt>
                <c:pt idx="17">
                  <c:v>6595866.75</c:v>
                </c:pt>
                <c:pt idx="18">
                  <c:v>6595866.75</c:v>
                </c:pt>
                <c:pt idx="19">
                  <c:v>6359598</c:v>
                </c:pt>
                <c:pt idx="20">
                  <c:v>7154725.75</c:v>
                </c:pt>
                <c:pt idx="21">
                  <c:v>7162869.75</c:v>
                </c:pt>
                <c:pt idx="22">
                  <c:v>7108956.25</c:v>
                </c:pt>
                <c:pt idx="23">
                  <c:v>7155780</c:v>
                </c:pt>
                <c:pt idx="24">
                  <c:v>6961273</c:v>
                </c:pt>
                <c:pt idx="25">
                  <c:v>7917350.75</c:v>
                </c:pt>
                <c:pt idx="26">
                  <c:v>7908517</c:v>
                </c:pt>
                <c:pt idx="27">
                  <c:v>7571399.75</c:v>
                </c:pt>
                <c:pt idx="28">
                  <c:v>7892748.5</c:v>
                </c:pt>
                <c:pt idx="29">
                  <c:v>7937566</c:v>
                </c:pt>
                <c:pt idx="30">
                  <c:v>8461658.75</c:v>
                </c:pt>
                <c:pt idx="31">
                  <c:v>8372846.75</c:v>
                </c:pt>
                <c:pt idx="32">
                  <c:v>7584507.5</c:v>
                </c:pt>
                <c:pt idx="33">
                  <c:v>8401853.5</c:v>
                </c:pt>
                <c:pt idx="34" formatCode="_(* #,##0_);_(* \(#,##0\);_(* &quot;-&quot;??_);_(@_)">
                  <c:v>0</c:v>
                </c:pt>
              </c:numCache>
            </c:numRef>
          </c:val>
          <c:extLst>
            <c:ext xmlns:c16="http://schemas.microsoft.com/office/drawing/2014/chart" uri="{C3380CC4-5D6E-409C-BE32-E72D297353CC}">
              <c16:uniqueId val="{0000000C-7934-4360-A180-F3B2D62F7945}"/>
            </c:ext>
          </c:extLst>
        </c:ser>
        <c:dLbls>
          <c:showLegendKey val="0"/>
          <c:showVal val="0"/>
          <c:showCatName val="0"/>
          <c:showSerName val="0"/>
          <c:showPercent val="0"/>
          <c:showBubbleSize val="0"/>
        </c:dLbls>
        <c:gapWidth val="40"/>
        <c:axId val="-2091966512"/>
        <c:axId val="-2091965968"/>
      </c:barChart>
      <c:catAx>
        <c:axId val="-20919665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965968"/>
        <c:crosses val="autoZero"/>
        <c:auto val="1"/>
        <c:lblAlgn val="ctr"/>
        <c:lblOffset val="100"/>
        <c:noMultiLvlLbl val="0"/>
      </c:catAx>
      <c:valAx>
        <c:axId val="-2091965968"/>
        <c:scaling>
          <c:orientation val="minMax"/>
          <c:max val="12000000"/>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966512"/>
        <c:crossesAt val="1"/>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Trips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Outputs!$E$2</c:f>
              <c:strCache>
                <c:ptCount val="1"/>
                <c:pt idx="0">
                  <c:v>WorkTrips</c:v>
                </c:pt>
              </c:strCache>
            </c:strRef>
          </c:tx>
          <c:spPr>
            <a:solidFill>
              <a:schemeClr val="accent1"/>
            </a:solidFill>
            <a:ln>
              <a:noFill/>
            </a:ln>
            <a:effectLst/>
          </c:spPr>
          <c:invertIfNegative val="0"/>
          <c:dPt>
            <c:idx val="4"/>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1-BF81-4D73-843E-B296CBEBE99C}"/>
              </c:ext>
            </c:extLst>
          </c:dPt>
          <c:dPt>
            <c:idx val="9"/>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3-BF81-4D73-843E-B296CBEBE99C}"/>
              </c:ext>
            </c:extLst>
          </c:dPt>
          <c:dPt>
            <c:idx val="14"/>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5-BF81-4D73-843E-B296CBEBE99C}"/>
              </c:ext>
            </c:extLst>
          </c:dPt>
          <c:dPt>
            <c:idx val="19"/>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7-BF81-4D73-843E-B296CBEBE99C}"/>
              </c:ext>
            </c:extLst>
          </c:dPt>
          <c:dPt>
            <c:idx val="24"/>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9-BF81-4D73-843E-B296CBEBE99C}"/>
              </c:ext>
            </c:extLst>
          </c:dPt>
          <c:dPt>
            <c:idx val="29"/>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B-BF81-4D73-843E-B296CBEBE99C}"/>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Outputs!$E$3:$E$37</c:f>
              <c:numCache>
                <c:formatCode>_(* #,##0_);_(* \(#,##0\);_(* "-"??_);_(@_)</c:formatCode>
                <c:ptCount val="35"/>
                <c:pt idx="0">
                  <c:v>6854209</c:v>
                </c:pt>
                <c:pt idx="1">
                  <c:v>6854209</c:v>
                </c:pt>
                <c:pt idx="2">
                  <c:v>6854209</c:v>
                </c:pt>
                <c:pt idx="3">
                  <c:v>6854209</c:v>
                </c:pt>
                <c:pt idx="4">
                  <c:v>6719973</c:v>
                </c:pt>
                <c:pt idx="5">
                  <c:v>7076207.5</c:v>
                </c:pt>
                <c:pt idx="6">
                  <c:v>7076207.5</c:v>
                </c:pt>
                <c:pt idx="7">
                  <c:v>7076207.5</c:v>
                </c:pt>
                <c:pt idx="8">
                  <c:v>7076207.5</c:v>
                </c:pt>
                <c:pt idx="9">
                  <c:v>7085410</c:v>
                </c:pt>
                <c:pt idx="10">
                  <c:v>7448595.5</c:v>
                </c:pt>
                <c:pt idx="11">
                  <c:v>7448595.5</c:v>
                </c:pt>
                <c:pt idx="12">
                  <c:v>7448595.5</c:v>
                </c:pt>
                <c:pt idx="13">
                  <c:v>7448595.5</c:v>
                </c:pt>
                <c:pt idx="14">
                  <c:v>7404117</c:v>
                </c:pt>
                <c:pt idx="15">
                  <c:v>7782911</c:v>
                </c:pt>
                <c:pt idx="16">
                  <c:v>7782911</c:v>
                </c:pt>
                <c:pt idx="17">
                  <c:v>7782911</c:v>
                </c:pt>
                <c:pt idx="18">
                  <c:v>7782911</c:v>
                </c:pt>
                <c:pt idx="19">
                  <c:v>7747679</c:v>
                </c:pt>
                <c:pt idx="20">
                  <c:v>8338208.5</c:v>
                </c:pt>
                <c:pt idx="21">
                  <c:v>8410662</c:v>
                </c:pt>
                <c:pt idx="22">
                  <c:v>7853889.5</c:v>
                </c:pt>
                <c:pt idx="23">
                  <c:v>7918685.5</c:v>
                </c:pt>
                <c:pt idx="24">
                  <c:v>8269462</c:v>
                </c:pt>
                <c:pt idx="25">
                  <c:v>7667298</c:v>
                </c:pt>
                <c:pt idx="26">
                  <c:v>7999028.5</c:v>
                </c:pt>
                <c:pt idx="27">
                  <c:v>7809834.5</c:v>
                </c:pt>
                <c:pt idx="28">
                  <c:v>7616045.5</c:v>
                </c:pt>
                <c:pt idx="29">
                  <c:v>9034207</c:v>
                </c:pt>
                <c:pt idx="30">
                  <c:v>7017839.5</c:v>
                </c:pt>
                <c:pt idx="31">
                  <c:v>7658685.5</c:v>
                </c:pt>
                <c:pt idx="32">
                  <c:v>7798055</c:v>
                </c:pt>
                <c:pt idx="33">
                  <c:v>6883173.5</c:v>
                </c:pt>
                <c:pt idx="34">
                  <c:v>0</c:v>
                </c:pt>
              </c:numCache>
            </c:numRef>
          </c:val>
          <c:extLst>
            <c:ext xmlns:c16="http://schemas.microsoft.com/office/drawing/2014/chart" uri="{C3380CC4-5D6E-409C-BE32-E72D297353CC}">
              <c16:uniqueId val="{0000000C-BF81-4D73-843E-B296CBEBE99C}"/>
            </c:ext>
          </c:extLst>
        </c:ser>
        <c:ser>
          <c:idx val="1"/>
          <c:order val="1"/>
          <c:tx>
            <c:strRef>
              <c:f>Outputs!$F$2</c:f>
              <c:strCache>
                <c:ptCount val="1"/>
                <c:pt idx="0">
                  <c:v>NonWorkTrips</c:v>
                </c:pt>
              </c:strCache>
            </c:strRef>
          </c:tx>
          <c:spPr>
            <a:solidFill>
              <a:schemeClr val="accent2"/>
            </a:solidFill>
            <a:ln>
              <a:noFill/>
            </a:ln>
            <a:effectLst/>
          </c:spPr>
          <c:invertIfNegative val="0"/>
          <c:dPt>
            <c:idx val="4"/>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E-BF81-4D73-843E-B296CBEBE99C}"/>
              </c:ext>
            </c:extLst>
          </c:dPt>
          <c:dPt>
            <c:idx val="9"/>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0-BF81-4D73-843E-B296CBEBE99C}"/>
              </c:ext>
            </c:extLst>
          </c:dPt>
          <c:dPt>
            <c:idx val="14"/>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2-BF81-4D73-843E-B296CBEBE99C}"/>
              </c:ext>
            </c:extLst>
          </c:dPt>
          <c:dPt>
            <c:idx val="19"/>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4-BF81-4D73-843E-B296CBEBE99C}"/>
              </c:ext>
            </c:extLst>
          </c:dPt>
          <c:dPt>
            <c:idx val="24"/>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6-BF81-4D73-843E-B296CBEBE99C}"/>
              </c:ext>
            </c:extLst>
          </c:dPt>
          <c:dPt>
            <c:idx val="29"/>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8-BF81-4D73-843E-B296CBEBE99C}"/>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Outputs!$F$3:$F$37</c:f>
              <c:numCache>
                <c:formatCode>_(* #,##0_);_(* \(#,##0\);_(* "-"??_);_(@_)</c:formatCode>
                <c:ptCount val="35"/>
                <c:pt idx="0">
                  <c:v>12108041</c:v>
                </c:pt>
                <c:pt idx="1">
                  <c:v>12108041</c:v>
                </c:pt>
                <c:pt idx="2">
                  <c:v>12108041</c:v>
                </c:pt>
                <c:pt idx="3">
                  <c:v>12108041</c:v>
                </c:pt>
                <c:pt idx="4">
                  <c:v>12517561</c:v>
                </c:pt>
                <c:pt idx="5">
                  <c:v>12574511</c:v>
                </c:pt>
                <c:pt idx="6">
                  <c:v>12574511</c:v>
                </c:pt>
                <c:pt idx="7">
                  <c:v>12574511</c:v>
                </c:pt>
                <c:pt idx="8">
                  <c:v>12108041</c:v>
                </c:pt>
                <c:pt idx="9">
                  <c:v>12780796</c:v>
                </c:pt>
                <c:pt idx="10">
                  <c:v>13432439</c:v>
                </c:pt>
                <c:pt idx="11">
                  <c:v>13432439</c:v>
                </c:pt>
                <c:pt idx="12">
                  <c:v>13432439</c:v>
                </c:pt>
                <c:pt idx="13">
                  <c:v>13432439</c:v>
                </c:pt>
                <c:pt idx="14">
                  <c:v>13287174</c:v>
                </c:pt>
                <c:pt idx="15">
                  <c:v>14470249</c:v>
                </c:pt>
                <c:pt idx="16">
                  <c:v>14470249</c:v>
                </c:pt>
                <c:pt idx="17">
                  <c:v>14470249</c:v>
                </c:pt>
                <c:pt idx="18">
                  <c:v>14470249</c:v>
                </c:pt>
                <c:pt idx="19">
                  <c:v>14163775</c:v>
                </c:pt>
                <c:pt idx="20">
                  <c:v>15054934</c:v>
                </c:pt>
                <c:pt idx="21">
                  <c:v>16623991</c:v>
                </c:pt>
                <c:pt idx="22">
                  <c:v>14983331</c:v>
                </c:pt>
                <c:pt idx="23">
                  <c:v>15061492</c:v>
                </c:pt>
                <c:pt idx="24">
                  <c:v>15550811</c:v>
                </c:pt>
                <c:pt idx="25">
                  <c:v>16877196</c:v>
                </c:pt>
                <c:pt idx="26">
                  <c:v>20153306</c:v>
                </c:pt>
                <c:pt idx="27">
                  <c:v>14469737</c:v>
                </c:pt>
                <c:pt idx="28">
                  <c:v>16854726</c:v>
                </c:pt>
                <c:pt idx="29">
                  <c:v>17795642</c:v>
                </c:pt>
                <c:pt idx="30">
                  <c:v>17233956</c:v>
                </c:pt>
                <c:pt idx="31">
                  <c:v>23042494</c:v>
                </c:pt>
                <c:pt idx="32">
                  <c:v>12856261</c:v>
                </c:pt>
                <c:pt idx="33">
                  <c:v>17201938</c:v>
                </c:pt>
                <c:pt idx="34">
                  <c:v>0</c:v>
                </c:pt>
              </c:numCache>
            </c:numRef>
          </c:val>
          <c:extLst>
            <c:ext xmlns:c16="http://schemas.microsoft.com/office/drawing/2014/chart" uri="{C3380CC4-5D6E-409C-BE32-E72D297353CC}">
              <c16:uniqueId val="{00000019-BF81-4D73-843E-B296CBEBE99C}"/>
            </c:ext>
          </c:extLst>
        </c:ser>
        <c:dLbls>
          <c:showLegendKey val="0"/>
          <c:showVal val="0"/>
          <c:showCatName val="0"/>
          <c:showSerName val="0"/>
          <c:showPercent val="0"/>
          <c:showBubbleSize val="0"/>
        </c:dLbls>
        <c:gapWidth val="40"/>
        <c:overlap val="100"/>
        <c:axId val="-2091964336"/>
        <c:axId val="-1512434176"/>
      </c:barChart>
      <c:catAx>
        <c:axId val="-2091964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2434176"/>
        <c:crosses val="autoZero"/>
        <c:auto val="1"/>
        <c:lblAlgn val="ctr"/>
        <c:lblOffset val="100"/>
        <c:noMultiLvlLbl val="0"/>
      </c:catAx>
      <c:valAx>
        <c:axId val="-151243417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964336"/>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Work Trips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Outputs!$G$2</c:f>
              <c:strCache>
                <c:ptCount val="1"/>
                <c:pt idx="0">
                  <c:v>CarDriverWorkTrips</c:v>
                </c:pt>
              </c:strCache>
            </c:strRef>
          </c:tx>
          <c:spPr>
            <a:solidFill>
              <a:schemeClr val="accent1"/>
            </a:solidFill>
            <a:ln>
              <a:noFill/>
            </a:ln>
            <a:effectLst/>
          </c:spPr>
          <c:invertIfNegative val="0"/>
          <c:dPt>
            <c:idx val="4"/>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1-2768-409C-96E5-B795D06EFB7B}"/>
              </c:ext>
            </c:extLst>
          </c:dPt>
          <c:dPt>
            <c:idx val="9"/>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3-2768-409C-96E5-B795D06EFB7B}"/>
              </c:ext>
            </c:extLst>
          </c:dPt>
          <c:dPt>
            <c:idx val="14"/>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5-2768-409C-96E5-B795D06EFB7B}"/>
              </c:ext>
            </c:extLst>
          </c:dPt>
          <c:dPt>
            <c:idx val="19"/>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7-2768-409C-96E5-B795D06EFB7B}"/>
              </c:ext>
            </c:extLst>
          </c:dPt>
          <c:dPt>
            <c:idx val="24"/>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9-2768-409C-96E5-B795D06EFB7B}"/>
              </c:ext>
            </c:extLst>
          </c:dPt>
          <c:dPt>
            <c:idx val="29"/>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B-2768-409C-96E5-B795D06EFB7B}"/>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Outputs!$G$3:$G$37</c:f>
              <c:numCache>
                <c:formatCode>_(* #,##0_);_(* \(#,##0\);_(* "-"??_);_(@_)</c:formatCode>
                <c:ptCount val="35"/>
                <c:pt idx="0">
                  <c:v>5173887.5</c:v>
                </c:pt>
                <c:pt idx="1">
                  <c:v>5173887.5</c:v>
                </c:pt>
                <c:pt idx="2">
                  <c:v>5173887.5</c:v>
                </c:pt>
                <c:pt idx="3">
                  <c:v>5173887.5</c:v>
                </c:pt>
                <c:pt idx="4">
                  <c:v>5056511</c:v>
                </c:pt>
                <c:pt idx="5">
                  <c:v>5347543.5</c:v>
                </c:pt>
                <c:pt idx="6">
                  <c:v>5347543.5</c:v>
                </c:pt>
                <c:pt idx="7">
                  <c:v>5347543.5</c:v>
                </c:pt>
                <c:pt idx="8">
                  <c:v>5347543.5</c:v>
                </c:pt>
                <c:pt idx="9">
                  <c:v>5339093</c:v>
                </c:pt>
                <c:pt idx="10">
                  <c:v>5637741.5</c:v>
                </c:pt>
                <c:pt idx="11">
                  <c:v>5637741.5</c:v>
                </c:pt>
                <c:pt idx="12">
                  <c:v>5637741.5</c:v>
                </c:pt>
                <c:pt idx="13">
                  <c:v>5637741.5</c:v>
                </c:pt>
                <c:pt idx="14">
                  <c:v>5596786</c:v>
                </c:pt>
                <c:pt idx="15">
                  <c:v>5896609</c:v>
                </c:pt>
                <c:pt idx="16">
                  <c:v>5896609</c:v>
                </c:pt>
                <c:pt idx="17">
                  <c:v>5896609</c:v>
                </c:pt>
                <c:pt idx="18">
                  <c:v>5896609</c:v>
                </c:pt>
                <c:pt idx="19">
                  <c:v>5867214</c:v>
                </c:pt>
                <c:pt idx="20">
                  <c:v>6272436</c:v>
                </c:pt>
                <c:pt idx="21">
                  <c:v>6370576</c:v>
                </c:pt>
                <c:pt idx="22">
                  <c:v>5872367.5</c:v>
                </c:pt>
                <c:pt idx="23">
                  <c:v>5925044</c:v>
                </c:pt>
                <c:pt idx="24">
                  <c:v>6273071</c:v>
                </c:pt>
                <c:pt idx="25">
                  <c:v>5719176</c:v>
                </c:pt>
                <c:pt idx="26">
                  <c:v>6047065.5</c:v>
                </c:pt>
                <c:pt idx="27">
                  <c:v>5730664.5</c:v>
                </c:pt>
                <c:pt idx="28">
                  <c:v>5602877</c:v>
                </c:pt>
                <c:pt idx="29">
                  <c:v>6828353</c:v>
                </c:pt>
                <c:pt idx="30">
                  <c:v>5165584.5</c:v>
                </c:pt>
                <c:pt idx="31">
                  <c:v>5786286.5</c:v>
                </c:pt>
                <c:pt idx="32">
                  <c:v>5638795.5</c:v>
                </c:pt>
                <c:pt idx="33">
                  <c:v>4968317.5</c:v>
                </c:pt>
                <c:pt idx="34">
                  <c:v>0</c:v>
                </c:pt>
              </c:numCache>
            </c:numRef>
          </c:val>
          <c:extLst>
            <c:ext xmlns:c16="http://schemas.microsoft.com/office/drawing/2014/chart" uri="{C3380CC4-5D6E-409C-BE32-E72D297353CC}">
              <c16:uniqueId val="{0000000C-2768-409C-96E5-B795D06EFB7B}"/>
            </c:ext>
          </c:extLst>
        </c:ser>
        <c:ser>
          <c:idx val="1"/>
          <c:order val="1"/>
          <c:tx>
            <c:strRef>
              <c:f>Outputs!$H$2</c:f>
              <c:strCache>
                <c:ptCount val="1"/>
                <c:pt idx="0">
                  <c:v>CarPassengerWorkTrips</c:v>
                </c:pt>
              </c:strCache>
            </c:strRef>
          </c:tx>
          <c:spPr>
            <a:solidFill>
              <a:schemeClr val="accent2"/>
            </a:solidFill>
            <a:ln>
              <a:noFill/>
            </a:ln>
            <a:effectLst/>
          </c:spPr>
          <c:invertIfNegative val="0"/>
          <c:dPt>
            <c:idx val="4"/>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E-2768-409C-96E5-B795D06EFB7B}"/>
              </c:ext>
            </c:extLst>
          </c:dPt>
          <c:dPt>
            <c:idx val="9"/>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10-2768-409C-96E5-B795D06EFB7B}"/>
              </c:ext>
            </c:extLst>
          </c:dPt>
          <c:dPt>
            <c:idx val="14"/>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12-2768-409C-96E5-B795D06EFB7B}"/>
              </c:ext>
            </c:extLst>
          </c:dPt>
          <c:dPt>
            <c:idx val="19"/>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14-2768-409C-96E5-B795D06EFB7B}"/>
              </c:ext>
            </c:extLst>
          </c:dPt>
          <c:dPt>
            <c:idx val="24"/>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16-2768-409C-96E5-B795D06EFB7B}"/>
              </c:ext>
            </c:extLst>
          </c:dPt>
          <c:dPt>
            <c:idx val="29"/>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18-2768-409C-96E5-B795D06EFB7B}"/>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Outputs!$H$3:$H$37</c:f>
              <c:numCache>
                <c:formatCode>_(* #,##0_);_(* \(#,##0\);_(* "-"??_);_(@_)</c:formatCode>
                <c:ptCount val="35"/>
                <c:pt idx="0">
                  <c:v>1189440.3799999999</c:v>
                </c:pt>
                <c:pt idx="1">
                  <c:v>1189440.3799999999</c:v>
                </c:pt>
                <c:pt idx="2">
                  <c:v>1189440.3799999999</c:v>
                </c:pt>
                <c:pt idx="3">
                  <c:v>1189440.3799999999</c:v>
                </c:pt>
                <c:pt idx="4">
                  <c:v>1128054</c:v>
                </c:pt>
                <c:pt idx="5">
                  <c:v>1214569.25</c:v>
                </c:pt>
                <c:pt idx="6">
                  <c:v>1214569.25</c:v>
                </c:pt>
                <c:pt idx="7">
                  <c:v>1214569.25</c:v>
                </c:pt>
                <c:pt idx="8">
                  <c:v>1214569.25</c:v>
                </c:pt>
                <c:pt idx="9">
                  <c:v>1175291</c:v>
                </c:pt>
                <c:pt idx="10">
                  <c:v>1256930.8799999999</c:v>
                </c:pt>
                <c:pt idx="11">
                  <c:v>1256930.8799999999</c:v>
                </c:pt>
                <c:pt idx="12">
                  <c:v>1256930.8799999999</c:v>
                </c:pt>
                <c:pt idx="13">
                  <c:v>1256930.8799999999</c:v>
                </c:pt>
                <c:pt idx="14">
                  <c:v>1214536</c:v>
                </c:pt>
                <c:pt idx="15">
                  <c:v>1293187.6299999999</c:v>
                </c:pt>
                <c:pt idx="16">
                  <c:v>1293187.6299999999</c:v>
                </c:pt>
                <c:pt idx="17">
                  <c:v>1293187.6299999999</c:v>
                </c:pt>
                <c:pt idx="18">
                  <c:v>1293187.6299999999</c:v>
                </c:pt>
                <c:pt idx="19">
                  <c:v>1264822</c:v>
                </c:pt>
                <c:pt idx="20">
                  <c:v>1372133.88</c:v>
                </c:pt>
                <c:pt idx="21">
                  <c:v>1380498.5</c:v>
                </c:pt>
                <c:pt idx="22">
                  <c:v>1290922.5</c:v>
                </c:pt>
                <c:pt idx="23">
                  <c:v>1254159.75</c:v>
                </c:pt>
                <c:pt idx="24">
                  <c:v>1347992</c:v>
                </c:pt>
                <c:pt idx="25">
                  <c:v>1267854.8799999999</c:v>
                </c:pt>
                <c:pt idx="26">
                  <c:v>1297359.25</c:v>
                </c:pt>
                <c:pt idx="27">
                  <c:v>1280687</c:v>
                </c:pt>
                <c:pt idx="28">
                  <c:v>1105798.1299999999</c:v>
                </c:pt>
                <c:pt idx="29">
                  <c:v>1471719</c:v>
                </c:pt>
                <c:pt idx="30">
                  <c:v>1165733.5</c:v>
                </c:pt>
                <c:pt idx="31">
                  <c:v>1220383.8799999999</c:v>
                </c:pt>
                <c:pt idx="32">
                  <c:v>1284632.75</c:v>
                </c:pt>
                <c:pt idx="33">
                  <c:v>906132.31</c:v>
                </c:pt>
                <c:pt idx="34">
                  <c:v>0</c:v>
                </c:pt>
              </c:numCache>
            </c:numRef>
          </c:val>
          <c:extLst>
            <c:ext xmlns:c16="http://schemas.microsoft.com/office/drawing/2014/chart" uri="{C3380CC4-5D6E-409C-BE32-E72D297353CC}">
              <c16:uniqueId val="{00000019-2768-409C-96E5-B795D06EFB7B}"/>
            </c:ext>
          </c:extLst>
        </c:ser>
        <c:ser>
          <c:idx val="2"/>
          <c:order val="2"/>
          <c:tx>
            <c:strRef>
              <c:f>Outputs!$I$2</c:f>
              <c:strCache>
                <c:ptCount val="1"/>
                <c:pt idx="0">
                  <c:v>TransitWorkTrips</c:v>
                </c:pt>
              </c:strCache>
            </c:strRef>
          </c:tx>
          <c:spPr>
            <a:solidFill>
              <a:schemeClr val="accent3"/>
            </a:solidFill>
            <a:ln>
              <a:noFill/>
            </a:ln>
            <a:effectLst/>
          </c:spPr>
          <c:invertIfNegative val="0"/>
          <c:dPt>
            <c:idx val="4"/>
            <c:invertIfNegative val="0"/>
            <c:bubble3D val="0"/>
            <c:spPr>
              <a:solidFill>
                <a:srgbClr val="C00000"/>
              </a:solidFill>
              <a:ln>
                <a:noFill/>
              </a:ln>
              <a:effectLst/>
            </c:spPr>
            <c:extLst>
              <c:ext xmlns:c16="http://schemas.microsoft.com/office/drawing/2014/chart" uri="{C3380CC4-5D6E-409C-BE32-E72D297353CC}">
                <c16:uniqueId val="{0000001B-2768-409C-96E5-B795D06EFB7B}"/>
              </c:ext>
            </c:extLst>
          </c:dPt>
          <c:dPt>
            <c:idx val="9"/>
            <c:invertIfNegative val="0"/>
            <c:bubble3D val="0"/>
            <c:spPr>
              <a:solidFill>
                <a:srgbClr val="C00000"/>
              </a:solidFill>
              <a:ln>
                <a:noFill/>
              </a:ln>
              <a:effectLst/>
            </c:spPr>
            <c:extLst>
              <c:ext xmlns:c16="http://schemas.microsoft.com/office/drawing/2014/chart" uri="{C3380CC4-5D6E-409C-BE32-E72D297353CC}">
                <c16:uniqueId val="{0000001D-2768-409C-96E5-B795D06EFB7B}"/>
              </c:ext>
            </c:extLst>
          </c:dPt>
          <c:dPt>
            <c:idx val="14"/>
            <c:invertIfNegative val="0"/>
            <c:bubble3D val="0"/>
            <c:spPr>
              <a:solidFill>
                <a:srgbClr val="C00000"/>
              </a:solidFill>
              <a:ln>
                <a:noFill/>
              </a:ln>
              <a:effectLst/>
            </c:spPr>
            <c:extLst>
              <c:ext xmlns:c16="http://schemas.microsoft.com/office/drawing/2014/chart" uri="{C3380CC4-5D6E-409C-BE32-E72D297353CC}">
                <c16:uniqueId val="{0000001F-2768-409C-96E5-B795D06EFB7B}"/>
              </c:ext>
            </c:extLst>
          </c:dPt>
          <c:dPt>
            <c:idx val="19"/>
            <c:invertIfNegative val="0"/>
            <c:bubble3D val="0"/>
            <c:spPr>
              <a:solidFill>
                <a:srgbClr val="C00000"/>
              </a:solidFill>
              <a:ln>
                <a:noFill/>
              </a:ln>
              <a:effectLst/>
            </c:spPr>
            <c:extLst>
              <c:ext xmlns:c16="http://schemas.microsoft.com/office/drawing/2014/chart" uri="{C3380CC4-5D6E-409C-BE32-E72D297353CC}">
                <c16:uniqueId val="{00000021-2768-409C-96E5-B795D06EFB7B}"/>
              </c:ext>
            </c:extLst>
          </c:dPt>
          <c:dPt>
            <c:idx val="24"/>
            <c:invertIfNegative val="0"/>
            <c:bubble3D val="0"/>
            <c:spPr>
              <a:solidFill>
                <a:srgbClr val="C00000"/>
              </a:solidFill>
              <a:ln>
                <a:noFill/>
              </a:ln>
              <a:effectLst/>
            </c:spPr>
            <c:extLst>
              <c:ext xmlns:c16="http://schemas.microsoft.com/office/drawing/2014/chart" uri="{C3380CC4-5D6E-409C-BE32-E72D297353CC}">
                <c16:uniqueId val="{00000023-2768-409C-96E5-B795D06EFB7B}"/>
              </c:ext>
            </c:extLst>
          </c:dPt>
          <c:dPt>
            <c:idx val="29"/>
            <c:invertIfNegative val="0"/>
            <c:bubble3D val="0"/>
            <c:spPr>
              <a:solidFill>
                <a:srgbClr val="C00000"/>
              </a:solidFill>
              <a:ln>
                <a:noFill/>
              </a:ln>
              <a:effectLst/>
            </c:spPr>
            <c:extLst>
              <c:ext xmlns:c16="http://schemas.microsoft.com/office/drawing/2014/chart" uri="{C3380CC4-5D6E-409C-BE32-E72D297353CC}">
                <c16:uniqueId val="{00000025-2768-409C-96E5-B795D06EFB7B}"/>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Outputs!$I$3:$I$37</c:f>
              <c:numCache>
                <c:formatCode>_(* #,##0_);_(* \(#,##0\);_(* "-"??_);_(@_)</c:formatCode>
                <c:ptCount val="35"/>
                <c:pt idx="0">
                  <c:v>169515.48</c:v>
                </c:pt>
                <c:pt idx="1">
                  <c:v>169515.48</c:v>
                </c:pt>
                <c:pt idx="2">
                  <c:v>169515.48</c:v>
                </c:pt>
                <c:pt idx="3">
                  <c:v>169515.48</c:v>
                </c:pt>
                <c:pt idx="4">
                  <c:v>179552</c:v>
                </c:pt>
                <c:pt idx="5">
                  <c:v>177607.47</c:v>
                </c:pt>
                <c:pt idx="6">
                  <c:v>177607.47</c:v>
                </c:pt>
                <c:pt idx="7">
                  <c:v>177607.47</c:v>
                </c:pt>
                <c:pt idx="8">
                  <c:v>177607.47</c:v>
                </c:pt>
                <c:pt idx="9">
                  <c:v>192918</c:v>
                </c:pt>
                <c:pt idx="10">
                  <c:v>191722.67</c:v>
                </c:pt>
                <c:pt idx="11">
                  <c:v>191722.67</c:v>
                </c:pt>
                <c:pt idx="12">
                  <c:v>191722.67</c:v>
                </c:pt>
                <c:pt idx="13">
                  <c:v>191722.67</c:v>
                </c:pt>
                <c:pt idx="14">
                  <c:v>198599</c:v>
                </c:pt>
                <c:pt idx="15">
                  <c:v>206115.38</c:v>
                </c:pt>
                <c:pt idx="16">
                  <c:v>206115.38</c:v>
                </c:pt>
                <c:pt idx="17">
                  <c:v>206115.38</c:v>
                </c:pt>
                <c:pt idx="18">
                  <c:v>206115.38</c:v>
                </c:pt>
                <c:pt idx="19">
                  <c:v>205579</c:v>
                </c:pt>
                <c:pt idx="20">
                  <c:v>241174.09</c:v>
                </c:pt>
                <c:pt idx="21">
                  <c:v>230675.34</c:v>
                </c:pt>
                <c:pt idx="22">
                  <c:v>238504.08</c:v>
                </c:pt>
                <c:pt idx="23">
                  <c:v>229808.52</c:v>
                </c:pt>
                <c:pt idx="24">
                  <c:v>213422</c:v>
                </c:pt>
                <c:pt idx="25">
                  <c:v>235184.98</c:v>
                </c:pt>
                <c:pt idx="26">
                  <c:v>230597.36</c:v>
                </c:pt>
                <c:pt idx="27">
                  <c:v>270370.38</c:v>
                </c:pt>
                <c:pt idx="28">
                  <c:v>260112.52</c:v>
                </c:pt>
                <c:pt idx="29">
                  <c:v>258864</c:v>
                </c:pt>
                <c:pt idx="30">
                  <c:v>235695.5</c:v>
                </c:pt>
                <c:pt idx="31">
                  <c:v>230438.66</c:v>
                </c:pt>
                <c:pt idx="32">
                  <c:v>289084.65999999997</c:v>
                </c:pt>
                <c:pt idx="33">
                  <c:v>268178</c:v>
                </c:pt>
                <c:pt idx="34">
                  <c:v>0</c:v>
                </c:pt>
              </c:numCache>
            </c:numRef>
          </c:val>
          <c:extLst>
            <c:ext xmlns:c16="http://schemas.microsoft.com/office/drawing/2014/chart" uri="{C3380CC4-5D6E-409C-BE32-E72D297353CC}">
              <c16:uniqueId val="{00000026-2768-409C-96E5-B795D06EFB7B}"/>
            </c:ext>
          </c:extLst>
        </c:ser>
        <c:ser>
          <c:idx val="3"/>
          <c:order val="3"/>
          <c:tx>
            <c:strRef>
              <c:f>Outputs!$J$2</c:f>
              <c:strCache>
                <c:ptCount val="1"/>
                <c:pt idx="0">
                  <c:v>WalkBikeWorkTrips</c:v>
                </c:pt>
              </c:strCache>
            </c:strRef>
          </c:tx>
          <c:spPr>
            <a:solidFill>
              <a:schemeClr val="accent4"/>
            </a:solidFill>
            <a:ln>
              <a:noFill/>
            </a:ln>
            <a:effectLst/>
          </c:spPr>
          <c:invertIfNegative val="0"/>
          <c:dPt>
            <c:idx val="4"/>
            <c:invertIfNegative val="0"/>
            <c:bubble3D val="0"/>
            <c:spPr>
              <a:solidFill>
                <a:schemeClr val="accent1">
                  <a:lumMod val="75000"/>
                </a:schemeClr>
              </a:solidFill>
              <a:ln>
                <a:noFill/>
              </a:ln>
              <a:effectLst/>
            </c:spPr>
            <c:extLst>
              <c:ext xmlns:c16="http://schemas.microsoft.com/office/drawing/2014/chart" uri="{C3380CC4-5D6E-409C-BE32-E72D297353CC}">
                <c16:uniqueId val="{00000028-2768-409C-96E5-B795D06EFB7B}"/>
              </c:ext>
            </c:extLst>
          </c:dPt>
          <c:dPt>
            <c:idx val="9"/>
            <c:invertIfNegative val="0"/>
            <c:bubble3D val="0"/>
            <c:spPr>
              <a:solidFill>
                <a:schemeClr val="accent1">
                  <a:lumMod val="75000"/>
                </a:schemeClr>
              </a:solidFill>
              <a:ln>
                <a:noFill/>
              </a:ln>
              <a:effectLst/>
            </c:spPr>
            <c:extLst>
              <c:ext xmlns:c16="http://schemas.microsoft.com/office/drawing/2014/chart" uri="{C3380CC4-5D6E-409C-BE32-E72D297353CC}">
                <c16:uniqueId val="{0000002A-2768-409C-96E5-B795D06EFB7B}"/>
              </c:ext>
            </c:extLst>
          </c:dPt>
          <c:dPt>
            <c:idx val="14"/>
            <c:invertIfNegative val="0"/>
            <c:bubble3D val="0"/>
            <c:spPr>
              <a:solidFill>
                <a:schemeClr val="accent1">
                  <a:lumMod val="75000"/>
                </a:schemeClr>
              </a:solidFill>
              <a:ln>
                <a:noFill/>
              </a:ln>
              <a:effectLst/>
            </c:spPr>
            <c:extLst>
              <c:ext xmlns:c16="http://schemas.microsoft.com/office/drawing/2014/chart" uri="{C3380CC4-5D6E-409C-BE32-E72D297353CC}">
                <c16:uniqueId val="{0000002C-2768-409C-96E5-B795D06EFB7B}"/>
              </c:ext>
            </c:extLst>
          </c:dPt>
          <c:dPt>
            <c:idx val="19"/>
            <c:invertIfNegative val="0"/>
            <c:bubble3D val="0"/>
            <c:spPr>
              <a:solidFill>
                <a:schemeClr val="accent1">
                  <a:lumMod val="75000"/>
                </a:schemeClr>
              </a:solidFill>
              <a:ln>
                <a:noFill/>
              </a:ln>
              <a:effectLst/>
            </c:spPr>
            <c:extLst>
              <c:ext xmlns:c16="http://schemas.microsoft.com/office/drawing/2014/chart" uri="{C3380CC4-5D6E-409C-BE32-E72D297353CC}">
                <c16:uniqueId val="{0000002E-2768-409C-96E5-B795D06EFB7B}"/>
              </c:ext>
            </c:extLst>
          </c:dPt>
          <c:dPt>
            <c:idx val="24"/>
            <c:invertIfNegative val="0"/>
            <c:bubble3D val="0"/>
            <c:spPr>
              <a:solidFill>
                <a:schemeClr val="accent1">
                  <a:lumMod val="75000"/>
                </a:schemeClr>
              </a:solidFill>
              <a:ln>
                <a:noFill/>
              </a:ln>
              <a:effectLst/>
            </c:spPr>
            <c:extLst>
              <c:ext xmlns:c16="http://schemas.microsoft.com/office/drawing/2014/chart" uri="{C3380CC4-5D6E-409C-BE32-E72D297353CC}">
                <c16:uniqueId val="{00000030-2768-409C-96E5-B795D06EFB7B}"/>
              </c:ext>
            </c:extLst>
          </c:dPt>
          <c:dPt>
            <c:idx val="29"/>
            <c:invertIfNegative val="0"/>
            <c:bubble3D val="0"/>
            <c:spPr>
              <a:solidFill>
                <a:schemeClr val="accent1">
                  <a:lumMod val="75000"/>
                </a:schemeClr>
              </a:solidFill>
              <a:ln>
                <a:noFill/>
              </a:ln>
              <a:effectLst/>
            </c:spPr>
            <c:extLst>
              <c:ext xmlns:c16="http://schemas.microsoft.com/office/drawing/2014/chart" uri="{C3380CC4-5D6E-409C-BE32-E72D297353CC}">
                <c16:uniqueId val="{00000032-2768-409C-96E5-B795D06EFB7B}"/>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Outputs!$J$3:$J$37</c:f>
              <c:numCache>
                <c:formatCode>_(* #,##0_);_(* \(#,##0\);_(* "-"??_);_(@_)</c:formatCode>
                <c:ptCount val="35"/>
                <c:pt idx="0">
                  <c:v>321373.21999999997</c:v>
                </c:pt>
                <c:pt idx="1">
                  <c:v>321373.21999999997</c:v>
                </c:pt>
                <c:pt idx="2">
                  <c:v>321373.21999999997</c:v>
                </c:pt>
                <c:pt idx="3">
                  <c:v>321373.21999999997</c:v>
                </c:pt>
                <c:pt idx="4">
                  <c:v>355856</c:v>
                </c:pt>
                <c:pt idx="5">
                  <c:v>336493.28</c:v>
                </c:pt>
                <c:pt idx="6">
                  <c:v>336493.28</c:v>
                </c:pt>
                <c:pt idx="7">
                  <c:v>336493.28</c:v>
                </c:pt>
                <c:pt idx="8">
                  <c:v>336493.28</c:v>
                </c:pt>
                <c:pt idx="9">
                  <c:v>378108</c:v>
                </c:pt>
                <c:pt idx="10">
                  <c:v>362200.13</c:v>
                </c:pt>
                <c:pt idx="11">
                  <c:v>362200.13</c:v>
                </c:pt>
                <c:pt idx="12">
                  <c:v>362200.13</c:v>
                </c:pt>
                <c:pt idx="13">
                  <c:v>362200.13</c:v>
                </c:pt>
                <c:pt idx="14">
                  <c:v>394196</c:v>
                </c:pt>
                <c:pt idx="15">
                  <c:v>387006.19</c:v>
                </c:pt>
                <c:pt idx="16">
                  <c:v>387006.19</c:v>
                </c:pt>
                <c:pt idx="17">
                  <c:v>387006.19</c:v>
                </c:pt>
                <c:pt idx="18">
                  <c:v>387006.19</c:v>
                </c:pt>
                <c:pt idx="19">
                  <c:v>410064</c:v>
                </c:pt>
                <c:pt idx="20">
                  <c:v>452467.94</c:v>
                </c:pt>
                <c:pt idx="21">
                  <c:v>428908.5</c:v>
                </c:pt>
                <c:pt idx="22">
                  <c:v>452101.31</c:v>
                </c:pt>
                <c:pt idx="23">
                  <c:v>509661.97</c:v>
                </c:pt>
                <c:pt idx="24">
                  <c:v>434977</c:v>
                </c:pt>
                <c:pt idx="25">
                  <c:v>445087.53</c:v>
                </c:pt>
                <c:pt idx="26">
                  <c:v>424026.44</c:v>
                </c:pt>
                <c:pt idx="27">
                  <c:v>528105.5</c:v>
                </c:pt>
                <c:pt idx="28">
                  <c:v>647260.56000000006</c:v>
                </c:pt>
                <c:pt idx="29">
                  <c:v>475271</c:v>
                </c:pt>
                <c:pt idx="30">
                  <c:v>450826.97</c:v>
                </c:pt>
                <c:pt idx="31">
                  <c:v>421582.47</c:v>
                </c:pt>
                <c:pt idx="32">
                  <c:v>585539.18999999994</c:v>
                </c:pt>
                <c:pt idx="33">
                  <c:v>740542.69</c:v>
                </c:pt>
                <c:pt idx="34">
                  <c:v>0</c:v>
                </c:pt>
              </c:numCache>
            </c:numRef>
          </c:val>
          <c:extLst>
            <c:ext xmlns:c16="http://schemas.microsoft.com/office/drawing/2014/chart" uri="{C3380CC4-5D6E-409C-BE32-E72D297353CC}">
              <c16:uniqueId val="{00000033-2768-409C-96E5-B795D06EFB7B}"/>
            </c:ext>
          </c:extLst>
        </c:ser>
        <c:dLbls>
          <c:showLegendKey val="0"/>
          <c:showVal val="0"/>
          <c:showCatName val="0"/>
          <c:showSerName val="0"/>
          <c:showPercent val="0"/>
          <c:showBubbleSize val="0"/>
        </c:dLbls>
        <c:gapWidth val="40"/>
        <c:overlap val="100"/>
        <c:axId val="-1512412416"/>
        <c:axId val="-1512433088"/>
      </c:barChart>
      <c:catAx>
        <c:axId val="-151241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2433088"/>
        <c:crosses val="autoZero"/>
        <c:auto val="1"/>
        <c:lblAlgn val="ctr"/>
        <c:lblOffset val="100"/>
        <c:noMultiLvlLbl val="0"/>
      </c:catAx>
      <c:valAx>
        <c:axId val="-151243308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2412416"/>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NonWork Trips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Outputs!$K$2</c:f>
              <c:strCache>
                <c:ptCount val="1"/>
                <c:pt idx="0">
                  <c:v>CarDriverNonWorkTrips</c:v>
                </c:pt>
              </c:strCache>
            </c:strRef>
          </c:tx>
          <c:spPr>
            <a:solidFill>
              <a:schemeClr val="accent1"/>
            </a:solidFill>
            <a:ln>
              <a:noFill/>
            </a:ln>
            <a:effectLst/>
          </c:spPr>
          <c:invertIfNegative val="0"/>
          <c:dPt>
            <c:idx val="4"/>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1-8084-4C67-8641-8A64EB58D9E1}"/>
              </c:ext>
            </c:extLst>
          </c:dPt>
          <c:dPt>
            <c:idx val="9"/>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3-8084-4C67-8641-8A64EB58D9E1}"/>
              </c:ext>
            </c:extLst>
          </c:dPt>
          <c:dPt>
            <c:idx val="14"/>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5-8084-4C67-8641-8A64EB58D9E1}"/>
              </c:ext>
            </c:extLst>
          </c:dPt>
          <c:dPt>
            <c:idx val="19"/>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7-8084-4C67-8641-8A64EB58D9E1}"/>
              </c:ext>
            </c:extLst>
          </c:dPt>
          <c:dPt>
            <c:idx val="24"/>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9-8084-4C67-8641-8A64EB58D9E1}"/>
              </c:ext>
            </c:extLst>
          </c:dPt>
          <c:dPt>
            <c:idx val="29"/>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B-8084-4C67-8641-8A64EB58D9E1}"/>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Outputs!$K$3:$K$37</c:f>
              <c:numCache>
                <c:formatCode>_(* #,##0_);_(* \(#,##0\);_(* "-"??_);_(@_)</c:formatCode>
                <c:ptCount val="35"/>
                <c:pt idx="0">
                  <c:v>4408959.5</c:v>
                </c:pt>
                <c:pt idx="1">
                  <c:v>4408959.5</c:v>
                </c:pt>
                <c:pt idx="2">
                  <c:v>4408959.5</c:v>
                </c:pt>
                <c:pt idx="3">
                  <c:v>4408959.5</c:v>
                </c:pt>
                <c:pt idx="4">
                  <c:v>4699398</c:v>
                </c:pt>
                <c:pt idx="5">
                  <c:v>4618690</c:v>
                </c:pt>
                <c:pt idx="6">
                  <c:v>4618690</c:v>
                </c:pt>
                <c:pt idx="7">
                  <c:v>4618690</c:v>
                </c:pt>
                <c:pt idx="8">
                  <c:v>4618690</c:v>
                </c:pt>
                <c:pt idx="9">
                  <c:v>4882344</c:v>
                </c:pt>
                <c:pt idx="10">
                  <c:v>4998210.5</c:v>
                </c:pt>
                <c:pt idx="11">
                  <c:v>4998210.5</c:v>
                </c:pt>
                <c:pt idx="12">
                  <c:v>4998210.5</c:v>
                </c:pt>
                <c:pt idx="13">
                  <c:v>4998210.5</c:v>
                </c:pt>
                <c:pt idx="14">
                  <c:v>5159644</c:v>
                </c:pt>
                <c:pt idx="15">
                  <c:v>5452492</c:v>
                </c:pt>
                <c:pt idx="16">
                  <c:v>5452492</c:v>
                </c:pt>
                <c:pt idx="17">
                  <c:v>5452492</c:v>
                </c:pt>
                <c:pt idx="18">
                  <c:v>5452492</c:v>
                </c:pt>
                <c:pt idx="19">
                  <c:v>5526111</c:v>
                </c:pt>
                <c:pt idx="20">
                  <c:v>5660037.5</c:v>
                </c:pt>
                <c:pt idx="21">
                  <c:v>6358911</c:v>
                </c:pt>
                <c:pt idx="22">
                  <c:v>5553658</c:v>
                </c:pt>
                <c:pt idx="23">
                  <c:v>5325356.5</c:v>
                </c:pt>
                <c:pt idx="24">
                  <c:v>6066518</c:v>
                </c:pt>
                <c:pt idx="25">
                  <c:v>6303811.5</c:v>
                </c:pt>
                <c:pt idx="26">
                  <c:v>7913444.5</c:v>
                </c:pt>
                <c:pt idx="27">
                  <c:v>5268538.5</c:v>
                </c:pt>
                <c:pt idx="28">
                  <c:v>5876757.5</c:v>
                </c:pt>
                <c:pt idx="29">
                  <c:v>6864398</c:v>
                </c:pt>
                <c:pt idx="30">
                  <c:v>6336385.5</c:v>
                </c:pt>
                <c:pt idx="31">
                  <c:v>9318495</c:v>
                </c:pt>
                <c:pt idx="32">
                  <c:v>4660341.5</c:v>
                </c:pt>
                <c:pt idx="33">
                  <c:v>5909740.5</c:v>
                </c:pt>
                <c:pt idx="34">
                  <c:v>0</c:v>
                </c:pt>
              </c:numCache>
            </c:numRef>
          </c:val>
          <c:extLst>
            <c:ext xmlns:c16="http://schemas.microsoft.com/office/drawing/2014/chart" uri="{C3380CC4-5D6E-409C-BE32-E72D297353CC}">
              <c16:uniqueId val="{0000000C-8084-4C67-8641-8A64EB58D9E1}"/>
            </c:ext>
          </c:extLst>
        </c:ser>
        <c:ser>
          <c:idx val="1"/>
          <c:order val="1"/>
          <c:tx>
            <c:strRef>
              <c:f>Outputs!$L$2</c:f>
              <c:strCache>
                <c:ptCount val="1"/>
                <c:pt idx="0">
                  <c:v>CarPassengerNonWorkTrips</c:v>
                </c:pt>
              </c:strCache>
            </c:strRef>
          </c:tx>
          <c:spPr>
            <a:solidFill>
              <a:schemeClr val="accent2"/>
            </a:solidFill>
            <a:ln>
              <a:noFill/>
            </a:ln>
            <a:effectLst/>
          </c:spPr>
          <c:invertIfNegative val="0"/>
          <c:dPt>
            <c:idx val="4"/>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E-8084-4C67-8641-8A64EB58D9E1}"/>
              </c:ext>
            </c:extLst>
          </c:dPt>
          <c:dPt>
            <c:idx val="9"/>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10-8084-4C67-8641-8A64EB58D9E1}"/>
              </c:ext>
            </c:extLst>
          </c:dPt>
          <c:dPt>
            <c:idx val="14"/>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2-8084-4C67-8641-8A64EB58D9E1}"/>
              </c:ext>
            </c:extLst>
          </c:dPt>
          <c:dPt>
            <c:idx val="19"/>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4-8084-4C67-8641-8A64EB58D9E1}"/>
              </c:ext>
            </c:extLst>
          </c:dPt>
          <c:dPt>
            <c:idx val="24"/>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6-8084-4C67-8641-8A64EB58D9E1}"/>
              </c:ext>
            </c:extLst>
          </c:dPt>
          <c:dPt>
            <c:idx val="29"/>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18-8084-4C67-8641-8A64EB58D9E1}"/>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Outputs!$L$3:$L$37</c:f>
              <c:numCache>
                <c:formatCode>_(* #,##0_);_(* \(#,##0\);_(* "-"??_);_(@_)</c:formatCode>
                <c:ptCount val="35"/>
                <c:pt idx="0">
                  <c:v>6195695</c:v>
                </c:pt>
                <c:pt idx="1">
                  <c:v>6195695</c:v>
                </c:pt>
                <c:pt idx="2">
                  <c:v>6195695</c:v>
                </c:pt>
                <c:pt idx="3">
                  <c:v>6195695</c:v>
                </c:pt>
                <c:pt idx="4">
                  <c:v>6114477</c:v>
                </c:pt>
                <c:pt idx="5">
                  <c:v>6396266.5</c:v>
                </c:pt>
                <c:pt idx="6">
                  <c:v>6396266.5</c:v>
                </c:pt>
                <c:pt idx="7">
                  <c:v>6396266.5</c:v>
                </c:pt>
                <c:pt idx="8">
                  <c:v>6396266.5</c:v>
                </c:pt>
                <c:pt idx="9">
                  <c:v>6176842</c:v>
                </c:pt>
                <c:pt idx="10">
                  <c:v>6763286.5</c:v>
                </c:pt>
                <c:pt idx="11">
                  <c:v>6763286.5</c:v>
                </c:pt>
                <c:pt idx="12">
                  <c:v>6763286.5</c:v>
                </c:pt>
                <c:pt idx="13">
                  <c:v>6763286.5</c:v>
                </c:pt>
                <c:pt idx="14">
                  <c:v>6374701</c:v>
                </c:pt>
                <c:pt idx="15">
                  <c:v>7204250.5</c:v>
                </c:pt>
                <c:pt idx="16">
                  <c:v>7204250.5</c:v>
                </c:pt>
                <c:pt idx="17">
                  <c:v>7204250.5</c:v>
                </c:pt>
                <c:pt idx="18">
                  <c:v>7204250.5</c:v>
                </c:pt>
                <c:pt idx="19">
                  <c:v>6798167</c:v>
                </c:pt>
                <c:pt idx="20">
                  <c:v>7378455.5</c:v>
                </c:pt>
                <c:pt idx="21">
                  <c:v>8155587.5</c:v>
                </c:pt>
                <c:pt idx="22">
                  <c:v>7321163</c:v>
                </c:pt>
                <c:pt idx="23">
                  <c:v>7500986</c:v>
                </c:pt>
                <c:pt idx="24">
                  <c:v>7479242</c:v>
                </c:pt>
                <c:pt idx="25">
                  <c:v>8183935</c:v>
                </c:pt>
                <c:pt idx="26">
                  <c:v>9628938</c:v>
                </c:pt>
                <c:pt idx="27">
                  <c:v>6888948.5</c:v>
                </c:pt>
                <c:pt idx="28">
                  <c:v>7862059</c:v>
                </c:pt>
                <c:pt idx="29">
                  <c:v>8602427</c:v>
                </c:pt>
                <c:pt idx="30">
                  <c:v>8232770.5</c:v>
                </c:pt>
                <c:pt idx="31">
                  <c:v>10694413</c:v>
                </c:pt>
                <c:pt idx="32">
                  <c:v>5987396</c:v>
                </c:pt>
                <c:pt idx="33">
                  <c:v>7445143.5</c:v>
                </c:pt>
                <c:pt idx="34">
                  <c:v>0</c:v>
                </c:pt>
              </c:numCache>
            </c:numRef>
          </c:val>
          <c:extLst>
            <c:ext xmlns:c16="http://schemas.microsoft.com/office/drawing/2014/chart" uri="{C3380CC4-5D6E-409C-BE32-E72D297353CC}">
              <c16:uniqueId val="{00000019-8084-4C67-8641-8A64EB58D9E1}"/>
            </c:ext>
          </c:extLst>
        </c:ser>
        <c:ser>
          <c:idx val="2"/>
          <c:order val="2"/>
          <c:tx>
            <c:strRef>
              <c:f>Outputs!$M$2</c:f>
              <c:strCache>
                <c:ptCount val="1"/>
                <c:pt idx="0">
                  <c:v>TransitNonWorkTrips</c:v>
                </c:pt>
              </c:strCache>
            </c:strRef>
          </c:tx>
          <c:spPr>
            <a:solidFill>
              <a:schemeClr val="accent3"/>
            </a:solidFill>
            <a:ln>
              <a:noFill/>
            </a:ln>
            <a:effectLst/>
          </c:spPr>
          <c:invertIfNegative val="0"/>
          <c:dPt>
            <c:idx val="4"/>
            <c:invertIfNegative val="0"/>
            <c:bubble3D val="0"/>
            <c:spPr>
              <a:solidFill>
                <a:srgbClr val="C00000"/>
              </a:solidFill>
              <a:ln>
                <a:noFill/>
              </a:ln>
              <a:effectLst/>
            </c:spPr>
            <c:extLst>
              <c:ext xmlns:c16="http://schemas.microsoft.com/office/drawing/2014/chart" uri="{C3380CC4-5D6E-409C-BE32-E72D297353CC}">
                <c16:uniqueId val="{0000001B-8084-4C67-8641-8A64EB58D9E1}"/>
              </c:ext>
            </c:extLst>
          </c:dPt>
          <c:dPt>
            <c:idx val="9"/>
            <c:invertIfNegative val="0"/>
            <c:bubble3D val="0"/>
            <c:spPr>
              <a:solidFill>
                <a:srgbClr val="C00000"/>
              </a:solidFill>
              <a:ln>
                <a:noFill/>
              </a:ln>
              <a:effectLst/>
            </c:spPr>
            <c:extLst>
              <c:ext xmlns:c16="http://schemas.microsoft.com/office/drawing/2014/chart" uri="{C3380CC4-5D6E-409C-BE32-E72D297353CC}">
                <c16:uniqueId val="{0000001D-8084-4C67-8641-8A64EB58D9E1}"/>
              </c:ext>
            </c:extLst>
          </c:dPt>
          <c:dPt>
            <c:idx val="14"/>
            <c:invertIfNegative val="0"/>
            <c:bubble3D val="0"/>
            <c:spPr>
              <a:solidFill>
                <a:srgbClr val="C00000"/>
              </a:solidFill>
              <a:ln>
                <a:noFill/>
              </a:ln>
              <a:effectLst/>
            </c:spPr>
            <c:extLst>
              <c:ext xmlns:c16="http://schemas.microsoft.com/office/drawing/2014/chart" uri="{C3380CC4-5D6E-409C-BE32-E72D297353CC}">
                <c16:uniqueId val="{0000001F-8084-4C67-8641-8A64EB58D9E1}"/>
              </c:ext>
            </c:extLst>
          </c:dPt>
          <c:dPt>
            <c:idx val="19"/>
            <c:invertIfNegative val="0"/>
            <c:bubble3D val="0"/>
            <c:spPr>
              <a:solidFill>
                <a:srgbClr val="C00000"/>
              </a:solidFill>
              <a:ln>
                <a:noFill/>
              </a:ln>
              <a:effectLst/>
            </c:spPr>
            <c:extLst>
              <c:ext xmlns:c16="http://schemas.microsoft.com/office/drawing/2014/chart" uri="{C3380CC4-5D6E-409C-BE32-E72D297353CC}">
                <c16:uniqueId val="{00000021-8084-4C67-8641-8A64EB58D9E1}"/>
              </c:ext>
            </c:extLst>
          </c:dPt>
          <c:dPt>
            <c:idx val="24"/>
            <c:invertIfNegative val="0"/>
            <c:bubble3D val="0"/>
            <c:spPr>
              <a:solidFill>
                <a:srgbClr val="C00000"/>
              </a:solidFill>
              <a:ln>
                <a:noFill/>
              </a:ln>
              <a:effectLst/>
            </c:spPr>
            <c:extLst>
              <c:ext xmlns:c16="http://schemas.microsoft.com/office/drawing/2014/chart" uri="{C3380CC4-5D6E-409C-BE32-E72D297353CC}">
                <c16:uniqueId val="{00000023-8084-4C67-8641-8A64EB58D9E1}"/>
              </c:ext>
            </c:extLst>
          </c:dPt>
          <c:dPt>
            <c:idx val="29"/>
            <c:invertIfNegative val="0"/>
            <c:bubble3D val="0"/>
            <c:spPr>
              <a:solidFill>
                <a:srgbClr val="C00000"/>
              </a:solidFill>
              <a:ln>
                <a:noFill/>
              </a:ln>
              <a:effectLst/>
            </c:spPr>
            <c:extLst>
              <c:ext xmlns:c16="http://schemas.microsoft.com/office/drawing/2014/chart" uri="{C3380CC4-5D6E-409C-BE32-E72D297353CC}">
                <c16:uniqueId val="{00000025-8084-4C67-8641-8A64EB58D9E1}"/>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Outputs!$M$3:$M$37</c:f>
              <c:numCache>
                <c:formatCode>_(* #,##0_);_(* \(#,##0\);_(* "-"??_);_(@_)</c:formatCode>
                <c:ptCount val="35"/>
                <c:pt idx="0">
                  <c:v>913909.94</c:v>
                </c:pt>
                <c:pt idx="1">
                  <c:v>913909.94</c:v>
                </c:pt>
                <c:pt idx="2">
                  <c:v>913909.94</c:v>
                </c:pt>
                <c:pt idx="3">
                  <c:v>913909.94</c:v>
                </c:pt>
                <c:pt idx="4">
                  <c:v>1094758</c:v>
                </c:pt>
                <c:pt idx="5">
                  <c:v>946450.31</c:v>
                </c:pt>
                <c:pt idx="6">
                  <c:v>946450.31</c:v>
                </c:pt>
                <c:pt idx="7">
                  <c:v>946450.31</c:v>
                </c:pt>
                <c:pt idx="8">
                  <c:v>946450.31</c:v>
                </c:pt>
                <c:pt idx="9">
                  <c:v>1104378</c:v>
                </c:pt>
                <c:pt idx="10">
                  <c:v>1012945.44</c:v>
                </c:pt>
                <c:pt idx="11">
                  <c:v>1012945.44</c:v>
                </c:pt>
                <c:pt idx="12">
                  <c:v>1012945.44</c:v>
                </c:pt>
                <c:pt idx="13">
                  <c:v>1012945.44</c:v>
                </c:pt>
                <c:pt idx="14">
                  <c:v>1117289</c:v>
                </c:pt>
                <c:pt idx="15">
                  <c:v>1102847.75</c:v>
                </c:pt>
                <c:pt idx="16">
                  <c:v>1102847.75</c:v>
                </c:pt>
                <c:pt idx="17">
                  <c:v>1102847.75</c:v>
                </c:pt>
                <c:pt idx="18">
                  <c:v>1102847.75</c:v>
                </c:pt>
                <c:pt idx="19">
                  <c:v>1160879</c:v>
                </c:pt>
                <c:pt idx="20">
                  <c:v>1243459.3799999999</c:v>
                </c:pt>
                <c:pt idx="21">
                  <c:v>1298576.75</c:v>
                </c:pt>
                <c:pt idx="22">
                  <c:v>1302618.75</c:v>
                </c:pt>
                <c:pt idx="23">
                  <c:v>1330127.75</c:v>
                </c:pt>
                <c:pt idx="24">
                  <c:v>1262886</c:v>
                </c:pt>
                <c:pt idx="25">
                  <c:v>1523420</c:v>
                </c:pt>
                <c:pt idx="26">
                  <c:v>1660950.88</c:v>
                </c:pt>
                <c:pt idx="27">
                  <c:v>1484467.63</c:v>
                </c:pt>
                <c:pt idx="28">
                  <c:v>1859170.63</c:v>
                </c:pt>
                <c:pt idx="29">
                  <c:v>1463745</c:v>
                </c:pt>
                <c:pt idx="30">
                  <c:v>1751242.75</c:v>
                </c:pt>
                <c:pt idx="31">
                  <c:v>1995631.38</c:v>
                </c:pt>
                <c:pt idx="32">
                  <c:v>1478988.25</c:v>
                </c:pt>
                <c:pt idx="33">
                  <c:v>2327500.75</c:v>
                </c:pt>
                <c:pt idx="34">
                  <c:v>0</c:v>
                </c:pt>
              </c:numCache>
            </c:numRef>
          </c:val>
          <c:extLst>
            <c:ext xmlns:c16="http://schemas.microsoft.com/office/drawing/2014/chart" uri="{C3380CC4-5D6E-409C-BE32-E72D297353CC}">
              <c16:uniqueId val="{00000026-8084-4C67-8641-8A64EB58D9E1}"/>
            </c:ext>
          </c:extLst>
        </c:ser>
        <c:ser>
          <c:idx val="3"/>
          <c:order val="3"/>
          <c:tx>
            <c:strRef>
              <c:f>Outputs!$N$2</c:f>
              <c:strCache>
                <c:ptCount val="1"/>
                <c:pt idx="0">
                  <c:v>WalkBikeNonWorkTrips</c:v>
                </c:pt>
              </c:strCache>
            </c:strRef>
          </c:tx>
          <c:spPr>
            <a:solidFill>
              <a:schemeClr val="accent4"/>
            </a:solidFill>
            <a:ln>
              <a:noFill/>
            </a:ln>
            <a:effectLst/>
          </c:spPr>
          <c:invertIfNegative val="0"/>
          <c:dPt>
            <c:idx val="4"/>
            <c:invertIfNegative val="0"/>
            <c:bubble3D val="0"/>
            <c:spPr>
              <a:solidFill>
                <a:schemeClr val="accent5">
                  <a:lumMod val="75000"/>
                </a:schemeClr>
              </a:solidFill>
              <a:ln>
                <a:noFill/>
              </a:ln>
              <a:effectLst/>
            </c:spPr>
            <c:extLst>
              <c:ext xmlns:c16="http://schemas.microsoft.com/office/drawing/2014/chart" uri="{C3380CC4-5D6E-409C-BE32-E72D297353CC}">
                <c16:uniqueId val="{00000028-8084-4C67-8641-8A64EB58D9E1}"/>
              </c:ext>
            </c:extLst>
          </c:dPt>
          <c:dPt>
            <c:idx val="9"/>
            <c:invertIfNegative val="0"/>
            <c:bubble3D val="0"/>
            <c:spPr>
              <a:solidFill>
                <a:schemeClr val="accent5">
                  <a:lumMod val="75000"/>
                </a:schemeClr>
              </a:solidFill>
              <a:ln>
                <a:noFill/>
              </a:ln>
              <a:effectLst/>
            </c:spPr>
            <c:extLst>
              <c:ext xmlns:c16="http://schemas.microsoft.com/office/drawing/2014/chart" uri="{C3380CC4-5D6E-409C-BE32-E72D297353CC}">
                <c16:uniqueId val="{0000002A-8084-4C67-8641-8A64EB58D9E1}"/>
              </c:ext>
            </c:extLst>
          </c:dPt>
          <c:dPt>
            <c:idx val="14"/>
            <c:invertIfNegative val="0"/>
            <c:bubble3D val="0"/>
            <c:spPr>
              <a:solidFill>
                <a:schemeClr val="accent5">
                  <a:lumMod val="75000"/>
                </a:schemeClr>
              </a:solidFill>
              <a:ln>
                <a:noFill/>
              </a:ln>
              <a:effectLst/>
            </c:spPr>
            <c:extLst>
              <c:ext xmlns:c16="http://schemas.microsoft.com/office/drawing/2014/chart" uri="{C3380CC4-5D6E-409C-BE32-E72D297353CC}">
                <c16:uniqueId val="{0000002C-8084-4C67-8641-8A64EB58D9E1}"/>
              </c:ext>
            </c:extLst>
          </c:dPt>
          <c:dPt>
            <c:idx val="19"/>
            <c:invertIfNegative val="0"/>
            <c:bubble3D val="0"/>
            <c:spPr>
              <a:solidFill>
                <a:schemeClr val="accent5">
                  <a:lumMod val="75000"/>
                </a:schemeClr>
              </a:solidFill>
              <a:ln>
                <a:noFill/>
              </a:ln>
              <a:effectLst/>
            </c:spPr>
            <c:extLst>
              <c:ext xmlns:c16="http://schemas.microsoft.com/office/drawing/2014/chart" uri="{C3380CC4-5D6E-409C-BE32-E72D297353CC}">
                <c16:uniqueId val="{0000002E-8084-4C67-8641-8A64EB58D9E1}"/>
              </c:ext>
            </c:extLst>
          </c:dPt>
          <c:dPt>
            <c:idx val="24"/>
            <c:invertIfNegative val="0"/>
            <c:bubble3D val="0"/>
            <c:spPr>
              <a:solidFill>
                <a:schemeClr val="accent5">
                  <a:lumMod val="75000"/>
                </a:schemeClr>
              </a:solidFill>
              <a:ln>
                <a:noFill/>
              </a:ln>
              <a:effectLst/>
            </c:spPr>
            <c:extLst>
              <c:ext xmlns:c16="http://schemas.microsoft.com/office/drawing/2014/chart" uri="{C3380CC4-5D6E-409C-BE32-E72D297353CC}">
                <c16:uniqueId val="{00000030-8084-4C67-8641-8A64EB58D9E1}"/>
              </c:ext>
            </c:extLst>
          </c:dPt>
          <c:dPt>
            <c:idx val="29"/>
            <c:invertIfNegative val="0"/>
            <c:bubble3D val="0"/>
            <c:spPr>
              <a:solidFill>
                <a:schemeClr val="accent5">
                  <a:lumMod val="75000"/>
                </a:schemeClr>
              </a:solidFill>
              <a:ln>
                <a:noFill/>
              </a:ln>
              <a:effectLst/>
            </c:spPr>
            <c:extLst>
              <c:ext xmlns:c16="http://schemas.microsoft.com/office/drawing/2014/chart" uri="{C3380CC4-5D6E-409C-BE32-E72D297353CC}">
                <c16:uniqueId val="{00000032-8084-4C67-8641-8A64EB58D9E1}"/>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Outputs!$N$3:$N$37</c:f>
              <c:numCache>
                <c:formatCode>_(* #,##0_);_(* \(#,##0\);_(* "-"??_);_(@_)</c:formatCode>
                <c:ptCount val="35"/>
                <c:pt idx="0">
                  <c:v>589466.06000000006</c:v>
                </c:pt>
                <c:pt idx="1">
                  <c:v>589466.06000000006</c:v>
                </c:pt>
                <c:pt idx="2">
                  <c:v>589466.06000000006</c:v>
                </c:pt>
                <c:pt idx="3">
                  <c:v>589466.06000000006</c:v>
                </c:pt>
                <c:pt idx="4">
                  <c:v>608928</c:v>
                </c:pt>
                <c:pt idx="5">
                  <c:v>613137.63</c:v>
                </c:pt>
                <c:pt idx="6">
                  <c:v>613137.63</c:v>
                </c:pt>
                <c:pt idx="7">
                  <c:v>613137.63</c:v>
                </c:pt>
                <c:pt idx="8">
                  <c:v>613137.63</c:v>
                </c:pt>
                <c:pt idx="9">
                  <c:v>617232</c:v>
                </c:pt>
                <c:pt idx="10">
                  <c:v>657968.56000000006</c:v>
                </c:pt>
                <c:pt idx="11">
                  <c:v>657968.56000000006</c:v>
                </c:pt>
                <c:pt idx="12">
                  <c:v>657968.56000000006</c:v>
                </c:pt>
                <c:pt idx="13">
                  <c:v>657968.56000000006</c:v>
                </c:pt>
                <c:pt idx="14">
                  <c:v>635540</c:v>
                </c:pt>
                <c:pt idx="15">
                  <c:v>710682.25</c:v>
                </c:pt>
                <c:pt idx="16">
                  <c:v>710682.25</c:v>
                </c:pt>
                <c:pt idx="17">
                  <c:v>710682.25</c:v>
                </c:pt>
                <c:pt idx="18">
                  <c:v>710682.25</c:v>
                </c:pt>
                <c:pt idx="19">
                  <c:v>678618</c:v>
                </c:pt>
                <c:pt idx="20">
                  <c:v>772980.69</c:v>
                </c:pt>
                <c:pt idx="21">
                  <c:v>810878.63</c:v>
                </c:pt>
                <c:pt idx="22">
                  <c:v>805865.25</c:v>
                </c:pt>
                <c:pt idx="23">
                  <c:v>905026.5</c:v>
                </c:pt>
                <c:pt idx="24">
                  <c:v>742165</c:v>
                </c:pt>
                <c:pt idx="25">
                  <c:v>866042.56</c:v>
                </c:pt>
                <c:pt idx="26">
                  <c:v>949913.25</c:v>
                </c:pt>
                <c:pt idx="27">
                  <c:v>827775.38</c:v>
                </c:pt>
                <c:pt idx="28">
                  <c:v>1256756.6299999999</c:v>
                </c:pt>
                <c:pt idx="29">
                  <c:v>865072</c:v>
                </c:pt>
                <c:pt idx="30">
                  <c:v>913537.38</c:v>
                </c:pt>
                <c:pt idx="31">
                  <c:v>1033970.38</c:v>
                </c:pt>
                <c:pt idx="32">
                  <c:v>729548.31</c:v>
                </c:pt>
                <c:pt idx="33">
                  <c:v>1519549.38</c:v>
                </c:pt>
                <c:pt idx="34">
                  <c:v>0</c:v>
                </c:pt>
              </c:numCache>
            </c:numRef>
          </c:val>
          <c:extLst>
            <c:ext xmlns:c16="http://schemas.microsoft.com/office/drawing/2014/chart" uri="{C3380CC4-5D6E-409C-BE32-E72D297353CC}">
              <c16:uniqueId val="{00000033-8084-4C67-8641-8A64EB58D9E1}"/>
            </c:ext>
          </c:extLst>
        </c:ser>
        <c:dLbls>
          <c:showLegendKey val="0"/>
          <c:showVal val="0"/>
          <c:showCatName val="0"/>
          <c:showSerName val="0"/>
          <c:showPercent val="0"/>
          <c:showBubbleSize val="0"/>
        </c:dLbls>
        <c:gapWidth val="40"/>
        <c:overlap val="100"/>
        <c:axId val="-1512423840"/>
        <c:axId val="-284398352"/>
      </c:barChart>
      <c:catAx>
        <c:axId val="-15124238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4398352"/>
        <c:crosses val="autoZero"/>
        <c:auto val="1"/>
        <c:lblAlgn val="ctr"/>
        <c:lblOffset val="100"/>
        <c:noMultiLvlLbl val="0"/>
      </c:catAx>
      <c:valAx>
        <c:axId val="-28439835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2423840"/>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Population</a:t>
            </a:r>
            <a:r>
              <a:rPr lang="en-US" baseline="0"/>
              <a:t> by Age Group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Outputs!$O$2</c:f>
              <c:strCache>
                <c:ptCount val="1"/>
                <c:pt idx="0">
                  <c:v>Age  0-15</c:v>
                </c:pt>
              </c:strCache>
            </c:strRef>
          </c:tx>
          <c:spPr>
            <a:solidFill>
              <a:schemeClr val="accent1"/>
            </a:solidFill>
            <a:ln>
              <a:noFill/>
            </a:ln>
            <a:effectLst/>
          </c:spPr>
          <c:invertIfNegative val="0"/>
          <c:dPt>
            <c:idx val="4"/>
            <c:invertIfNegative val="0"/>
            <c:bubble3D val="0"/>
            <c:spPr>
              <a:solidFill>
                <a:srgbClr val="FFC000"/>
              </a:solidFill>
              <a:ln>
                <a:noFill/>
              </a:ln>
              <a:effectLst/>
            </c:spPr>
            <c:extLst>
              <c:ext xmlns:c16="http://schemas.microsoft.com/office/drawing/2014/chart" uri="{C3380CC4-5D6E-409C-BE32-E72D297353CC}">
                <c16:uniqueId val="{00000001-7E25-45C8-88E9-906C3707AA2E}"/>
              </c:ext>
            </c:extLst>
          </c:dPt>
          <c:dPt>
            <c:idx val="9"/>
            <c:invertIfNegative val="0"/>
            <c:bubble3D val="0"/>
            <c:spPr>
              <a:solidFill>
                <a:srgbClr val="FFC000"/>
              </a:solidFill>
              <a:ln>
                <a:noFill/>
              </a:ln>
              <a:effectLst/>
            </c:spPr>
            <c:extLst>
              <c:ext xmlns:c16="http://schemas.microsoft.com/office/drawing/2014/chart" uri="{C3380CC4-5D6E-409C-BE32-E72D297353CC}">
                <c16:uniqueId val="{00000003-7E25-45C8-88E9-906C3707AA2E}"/>
              </c:ext>
            </c:extLst>
          </c:dPt>
          <c:dPt>
            <c:idx val="14"/>
            <c:invertIfNegative val="0"/>
            <c:bubble3D val="0"/>
            <c:spPr>
              <a:solidFill>
                <a:srgbClr val="FFC000"/>
              </a:solidFill>
              <a:ln>
                <a:noFill/>
              </a:ln>
              <a:effectLst/>
            </c:spPr>
            <c:extLst>
              <c:ext xmlns:c16="http://schemas.microsoft.com/office/drawing/2014/chart" uri="{C3380CC4-5D6E-409C-BE32-E72D297353CC}">
                <c16:uniqueId val="{00000005-7E25-45C8-88E9-906C3707AA2E}"/>
              </c:ext>
            </c:extLst>
          </c:dPt>
          <c:dPt>
            <c:idx val="19"/>
            <c:invertIfNegative val="0"/>
            <c:bubble3D val="0"/>
            <c:spPr>
              <a:solidFill>
                <a:srgbClr val="FFC000"/>
              </a:solidFill>
              <a:ln>
                <a:noFill/>
              </a:ln>
              <a:effectLst/>
            </c:spPr>
            <c:extLst>
              <c:ext xmlns:c16="http://schemas.microsoft.com/office/drawing/2014/chart" uri="{C3380CC4-5D6E-409C-BE32-E72D297353CC}">
                <c16:uniqueId val="{00000007-7E25-45C8-88E9-906C3707AA2E}"/>
              </c:ext>
            </c:extLst>
          </c:dPt>
          <c:dPt>
            <c:idx val="24"/>
            <c:invertIfNegative val="0"/>
            <c:bubble3D val="0"/>
            <c:spPr>
              <a:solidFill>
                <a:srgbClr val="FFC000"/>
              </a:solidFill>
              <a:ln>
                <a:noFill/>
              </a:ln>
              <a:effectLst/>
            </c:spPr>
            <c:extLst>
              <c:ext xmlns:c16="http://schemas.microsoft.com/office/drawing/2014/chart" uri="{C3380CC4-5D6E-409C-BE32-E72D297353CC}">
                <c16:uniqueId val="{00000009-7E25-45C8-88E9-906C3707AA2E}"/>
              </c:ext>
            </c:extLst>
          </c:dPt>
          <c:dPt>
            <c:idx val="29"/>
            <c:invertIfNegative val="0"/>
            <c:bubble3D val="0"/>
            <c:spPr>
              <a:solidFill>
                <a:srgbClr val="FFC000"/>
              </a:solidFill>
              <a:ln>
                <a:noFill/>
              </a:ln>
              <a:effectLst/>
            </c:spPr>
            <c:extLst>
              <c:ext xmlns:c16="http://schemas.microsoft.com/office/drawing/2014/chart" uri="{C3380CC4-5D6E-409C-BE32-E72D297353CC}">
                <c16:uniqueId val="{0000000B-7E25-45C8-88E9-906C3707AA2E}"/>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Outputs!$O$3:$O$37</c:f>
              <c:numCache>
                <c:formatCode>_(* #,##0_);_(* \(#,##0\);_(* "-"??_);_(@_)</c:formatCode>
                <c:ptCount val="35"/>
                <c:pt idx="0">
                  <c:v>1235655.75</c:v>
                </c:pt>
                <c:pt idx="1">
                  <c:v>1235655.75</c:v>
                </c:pt>
                <c:pt idx="2">
                  <c:v>1235655.75</c:v>
                </c:pt>
                <c:pt idx="3">
                  <c:v>1235655.75</c:v>
                </c:pt>
                <c:pt idx="4">
                  <c:v>1235655.75</c:v>
                </c:pt>
                <c:pt idx="5">
                  <c:v>1287487</c:v>
                </c:pt>
                <c:pt idx="6">
                  <c:v>1287487</c:v>
                </c:pt>
                <c:pt idx="7">
                  <c:v>1287487</c:v>
                </c:pt>
                <c:pt idx="8">
                  <c:v>1287487</c:v>
                </c:pt>
                <c:pt idx="9">
                  <c:v>1239182</c:v>
                </c:pt>
                <c:pt idx="10">
                  <c:v>1362694.75</c:v>
                </c:pt>
                <c:pt idx="11">
                  <c:v>1362694.75</c:v>
                </c:pt>
                <c:pt idx="12">
                  <c:v>1362694.75</c:v>
                </c:pt>
                <c:pt idx="13">
                  <c:v>1362694.75</c:v>
                </c:pt>
                <c:pt idx="14">
                  <c:v>1257537</c:v>
                </c:pt>
                <c:pt idx="15">
                  <c:v>1449304.75</c:v>
                </c:pt>
                <c:pt idx="16">
                  <c:v>1449304.75</c:v>
                </c:pt>
                <c:pt idx="17">
                  <c:v>1449304.75</c:v>
                </c:pt>
                <c:pt idx="18">
                  <c:v>1449304.75</c:v>
                </c:pt>
                <c:pt idx="19">
                  <c:v>1307970</c:v>
                </c:pt>
                <c:pt idx="20">
                  <c:v>1539328.5</c:v>
                </c:pt>
                <c:pt idx="21">
                  <c:v>1541224.25</c:v>
                </c:pt>
                <c:pt idx="22">
                  <c:v>1527013.13</c:v>
                </c:pt>
                <c:pt idx="23">
                  <c:v>1540962</c:v>
                </c:pt>
                <c:pt idx="24">
                  <c:v>1427713</c:v>
                </c:pt>
                <c:pt idx="25">
                  <c:v>1629157</c:v>
                </c:pt>
                <c:pt idx="26">
                  <c:v>1580956.75</c:v>
                </c:pt>
                <c:pt idx="27">
                  <c:v>1490470.25</c:v>
                </c:pt>
                <c:pt idx="28">
                  <c:v>1594925.75</c:v>
                </c:pt>
                <c:pt idx="29">
                  <c:v>1635503</c:v>
                </c:pt>
                <c:pt idx="30">
                  <c:v>1653697.38</c:v>
                </c:pt>
                <c:pt idx="31">
                  <c:v>1508550.25</c:v>
                </c:pt>
                <c:pt idx="32">
                  <c:v>1291233.75</c:v>
                </c:pt>
                <c:pt idx="33">
                  <c:v>1558875</c:v>
                </c:pt>
                <c:pt idx="34">
                  <c:v>0</c:v>
                </c:pt>
              </c:numCache>
            </c:numRef>
          </c:val>
          <c:extLst>
            <c:ext xmlns:c16="http://schemas.microsoft.com/office/drawing/2014/chart" uri="{C3380CC4-5D6E-409C-BE32-E72D297353CC}">
              <c16:uniqueId val="{0000000C-7E25-45C8-88E9-906C3707AA2E}"/>
            </c:ext>
          </c:extLst>
        </c:ser>
        <c:ser>
          <c:idx val="1"/>
          <c:order val="1"/>
          <c:tx>
            <c:strRef>
              <c:f>Outputs!$P$2</c:f>
              <c:strCache>
                <c:ptCount val="1"/>
                <c:pt idx="0">
                  <c:v>Age 16-29</c:v>
                </c:pt>
              </c:strCache>
            </c:strRef>
          </c:tx>
          <c:spPr>
            <a:solidFill>
              <a:schemeClr val="accent2"/>
            </a:solidFill>
            <a:ln>
              <a:noFill/>
            </a:ln>
            <a:effectLst/>
          </c:spPr>
          <c:invertIfNegative val="0"/>
          <c:dPt>
            <c:idx val="4"/>
            <c:invertIfNegative val="0"/>
            <c:bubble3D val="0"/>
            <c:spPr>
              <a:solidFill>
                <a:srgbClr val="92D050"/>
              </a:solidFill>
              <a:ln>
                <a:noFill/>
              </a:ln>
              <a:effectLst/>
            </c:spPr>
            <c:extLst>
              <c:ext xmlns:c16="http://schemas.microsoft.com/office/drawing/2014/chart" uri="{C3380CC4-5D6E-409C-BE32-E72D297353CC}">
                <c16:uniqueId val="{0000000E-7E25-45C8-88E9-906C3707AA2E}"/>
              </c:ext>
            </c:extLst>
          </c:dPt>
          <c:dPt>
            <c:idx val="9"/>
            <c:invertIfNegative val="0"/>
            <c:bubble3D val="0"/>
            <c:spPr>
              <a:solidFill>
                <a:srgbClr val="92D050"/>
              </a:solidFill>
              <a:ln>
                <a:noFill/>
              </a:ln>
              <a:effectLst/>
            </c:spPr>
            <c:extLst>
              <c:ext xmlns:c16="http://schemas.microsoft.com/office/drawing/2014/chart" uri="{C3380CC4-5D6E-409C-BE32-E72D297353CC}">
                <c16:uniqueId val="{00000010-7E25-45C8-88E9-906C3707AA2E}"/>
              </c:ext>
            </c:extLst>
          </c:dPt>
          <c:dPt>
            <c:idx val="14"/>
            <c:invertIfNegative val="0"/>
            <c:bubble3D val="0"/>
            <c:spPr>
              <a:solidFill>
                <a:srgbClr val="92D050"/>
              </a:solidFill>
              <a:ln>
                <a:noFill/>
              </a:ln>
              <a:effectLst/>
            </c:spPr>
            <c:extLst>
              <c:ext xmlns:c16="http://schemas.microsoft.com/office/drawing/2014/chart" uri="{C3380CC4-5D6E-409C-BE32-E72D297353CC}">
                <c16:uniqueId val="{00000012-7E25-45C8-88E9-906C3707AA2E}"/>
              </c:ext>
            </c:extLst>
          </c:dPt>
          <c:dPt>
            <c:idx val="19"/>
            <c:invertIfNegative val="0"/>
            <c:bubble3D val="0"/>
            <c:spPr>
              <a:solidFill>
                <a:srgbClr val="92D050"/>
              </a:solidFill>
              <a:ln>
                <a:noFill/>
              </a:ln>
              <a:effectLst/>
            </c:spPr>
            <c:extLst>
              <c:ext xmlns:c16="http://schemas.microsoft.com/office/drawing/2014/chart" uri="{C3380CC4-5D6E-409C-BE32-E72D297353CC}">
                <c16:uniqueId val="{00000014-7E25-45C8-88E9-906C3707AA2E}"/>
              </c:ext>
            </c:extLst>
          </c:dPt>
          <c:dPt>
            <c:idx val="24"/>
            <c:invertIfNegative val="0"/>
            <c:bubble3D val="0"/>
            <c:spPr>
              <a:solidFill>
                <a:srgbClr val="92D050"/>
              </a:solidFill>
              <a:ln>
                <a:noFill/>
              </a:ln>
              <a:effectLst/>
            </c:spPr>
            <c:extLst>
              <c:ext xmlns:c16="http://schemas.microsoft.com/office/drawing/2014/chart" uri="{C3380CC4-5D6E-409C-BE32-E72D297353CC}">
                <c16:uniqueId val="{00000016-7E25-45C8-88E9-906C3707AA2E}"/>
              </c:ext>
            </c:extLst>
          </c:dPt>
          <c:dPt>
            <c:idx val="29"/>
            <c:invertIfNegative val="0"/>
            <c:bubble3D val="0"/>
            <c:spPr>
              <a:solidFill>
                <a:srgbClr val="92D050"/>
              </a:solidFill>
              <a:ln>
                <a:noFill/>
              </a:ln>
              <a:effectLst/>
            </c:spPr>
            <c:extLst>
              <c:ext xmlns:c16="http://schemas.microsoft.com/office/drawing/2014/chart" uri="{C3380CC4-5D6E-409C-BE32-E72D297353CC}">
                <c16:uniqueId val="{00000018-7E25-45C8-88E9-906C3707AA2E}"/>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Outputs!$P$3:$P$37</c:f>
              <c:numCache>
                <c:formatCode>_(* #,##0_);_(* \(#,##0\);_(* "-"??_);_(@_)</c:formatCode>
                <c:ptCount val="35"/>
                <c:pt idx="0">
                  <c:v>1016967</c:v>
                </c:pt>
                <c:pt idx="1">
                  <c:v>1016967</c:v>
                </c:pt>
                <c:pt idx="2">
                  <c:v>1016967</c:v>
                </c:pt>
                <c:pt idx="3">
                  <c:v>1016967</c:v>
                </c:pt>
                <c:pt idx="4">
                  <c:v>1016967</c:v>
                </c:pt>
                <c:pt idx="5">
                  <c:v>1090713.25</c:v>
                </c:pt>
                <c:pt idx="6">
                  <c:v>1090713.25</c:v>
                </c:pt>
                <c:pt idx="7">
                  <c:v>1090713.25</c:v>
                </c:pt>
                <c:pt idx="8">
                  <c:v>1090713.25</c:v>
                </c:pt>
                <c:pt idx="9">
                  <c:v>1043446</c:v>
                </c:pt>
                <c:pt idx="10">
                  <c:v>1149795.25</c:v>
                </c:pt>
                <c:pt idx="11">
                  <c:v>1149795.25</c:v>
                </c:pt>
                <c:pt idx="12">
                  <c:v>1149795.25</c:v>
                </c:pt>
                <c:pt idx="13">
                  <c:v>1149795.25</c:v>
                </c:pt>
                <c:pt idx="14">
                  <c:v>1078926</c:v>
                </c:pt>
                <c:pt idx="15">
                  <c:v>1195259.25</c:v>
                </c:pt>
                <c:pt idx="16">
                  <c:v>1195259.25</c:v>
                </c:pt>
                <c:pt idx="17">
                  <c:v>1195259.25</c:v>
                </c:pt>
                <c:pt idx="18">
                  <c:v>1195259.25</c:v>
                </c:pt>
                <c:pt idx="19">
                  <c:v>1129633</c:v>
                </c:pt>
                <c:pt idx="20">
                  <c:v>1250043.5</c:v>
                </c:pt>
                <c:pt idx="21">
                  <c:v>1251236.1299999999</c:v>
                </c:pt>
                <c:pt idx="22">
                  <c:v>1241764.3799999999</c:v>
                </c:pt>
                <c:pt idx="23">
                  <c:v>1249385.75</c:v>
                </c:pt>
                <c:pt idx="24">
                  <c:v>1149953</c:v>
                </c:pt>
                <c:pt idx="25">
                  <c:v>1328922</c:v>
                </c:pt>
                <c:pt idx="26">
                  <c:v>1326576</c:v>
                </c:pt>
                <c:pt idx="27">
                  <c:v>1267108.3799999999</c:v>
                </c:pt>
                <c:pt idx="28">
                  <c:v>1320374.6299999999</c:v>
                </c:pt>
                <c:pt idx="29">
                  <c:v>1237121</c:v>
                </c:pt>
                <c:pt idx="30">
                  <c:v>1382506.25</c:v>
                </c:pt>
                <c:pt idx="31">
                  <c:v>1346323.38</c:v>
                </c:pt>
                <c:pt idx="32">
                  <c:v>1204537.5</c:v>
                </c:pt>
                <c:pt idx="33">
                  <c:v>1350356.25</c:v>
                </c:pt>
                <c:pt idx="34">
                  <c:v>0</c:v>
                </c:pt>
              </c:numCache>
            </c:numRef>
          </c:val>
          <c:extLst>
            <c:ext xmlns:c16="http://schemas.microsoft.com/office/drawing/2014/chart" uri="{C3380CC4-5D6E-409C-BE32-E72D297353CC}">
              <c16:uniqueId val="{00000019-7E25-45C8-88E9-906C3707AA2E}"/>
            </c:ext>
          </c:extLst>
        </c:ser>
        <c:ser>
          <c:idx val="2"/>
          <c:order val="2"/>
          <c:tx>
            <c:strRef>
              <c:f>Outputs!$Q$2</c:f>
              <c:strCache>
                <c:ptCount val="1"/>
                <c:pt idx="0">
                  <c:v>Age 30-44</c:v>
                </c:pt>
              </c:strCache>
            </c:strRef>
          </c:tx>
          <c:spPr>
            <a:solidFill>
              <a:schemeClr val="accent3"/>
            </a:solidFill>
            <a:ln>
              <a:noFill/>
            </a:ln>
            <a:effectLst/>
          </c:spPr>
          <c:invertIfNegative val="0"/>
          <c:dPt>
            <c:idx val="4"/>
            <c:invertIfNegative val="0"/>
            <c:bubble3D val="0"/>
            <c:spPr>
              <a:solidFill>
                <a:srgbClr val="C00000"/>
              </a:solidFill>
              <a:ln>
                <a:noFill/>
              </a:ln>
              <a:effectLst/>
            </c:spPr>
            <c:extLst>
              <c:ext xmlns:c16="http://schemas.microsoft.com/office/drawing/2014/chart" uri="{C3380CC4-5D6E-409C-BE32-E72D297353CC}">
                <c16:uniqueId val="{0000001B-7E25-45C8-88E9-906C3707AA2E}"/>
              </c:ext>
            </c:extLst>
          </c:dPt>
          <c:dPt>
            <c:idx val="9"/>
            <c:invertIfNegative val="0"/>
            <c:bubble3D val="0"/>
            <c:spPr>
              <a:solidFill>
                <a:srgbClr val="C00000"/>
              </a:solidFill>
              <a:ln>
                <a:noFill/>
              </a:ln>
              <a:effectLst/>
            </c:spPr>
            <c:extLst>
              <c:ext xmlns:c16="http://schemas.microsoft.com/office/drawing/2014/chart" uri="{C3380CC4-5D6E-409C-BE32-E72D297353CC}">
                <c16:uniqueId val="{0000001D-7E25-45C8-88E9-906C3707AA2E}"/>
              </c:ext>
            </c:extLst>
          </c:dPt>
          <c:dPt>
            <c:idx val="14"/>
            <c:invertIfNegative val="0"/>
            <c:bubble3D val="0"/>
            <c:spPr>
              <a:solidFill>
                <a:srgbClr val="C00000"/>
              </a:solidFill>
              <a:ln>
                <a:noFill/>
              </a:ln>
              <a:effectLst/>
            </c:spPr>
            <c:extLst>
              <c:ext xmlns:c16="http://schemas.microsoft.com/office/drawing/2014/chart" uri="{C3380CC4-5D6E-409C-BE32-E72D297353CC}">
                <c16:uniqueId val="{0000001F-7E25-45C8-88E9-906C3707AA2E}"/>
              </c:ext>
            </c:extLst>
          </c:dPt>
          <c:dPt>
            <c:idx val="19"/>
            <c:invertIfNegative val="0"/>
            <c:bubble3D val="0"/>
            <c:spPr>
              <a:solidFill>
                <a:srgbClr val="C00000"/>
              </a:solidFill>
              <a:ln>
                <a:noFill/>
              </a:ln>
              <a:effectLst/>
            </c:spPr>
            <c:extLst>
              <c:ext xmlns:c16="http://schemas.microsoft.com/office/drawing/2014/chart" uri="{C3380CC4-5D6E-409C-BE32-E72D297353CC}">
                <c16:uniqueId val="{00000021-7E25-45C8-88E9-906C3707AA2E}"/>
              </c:ext>
            </c:extLst>
          </c:dPt>
          <c:dPt>
            <c:idx val="24"/>
            <c:invertIfNegative val="0"/>
            <c:bubble3D val="0"/>
            <c:spPr>
              <a:solidFill>
                <a:srgbClr val="C00000"/>
              </a:solidFill>
              <a:ln>
                <a:noFill/>
              </a:ln>
              <a:effectLst/>
            </c:spPr>
            <c:extLst>
              <c:ext xmlns:c16="http://schemas.microsoft.com/office/drawing/2014/chart" uri="{C3380CC4-5D6E-409C-BE32-E72D297353CC}">
                <c16:uniqueId val="{00000023-7E25-45C8-88E9-906C3707AA2E}"/>
              </c:ext>
            </c:extLst>
          </c:dPt>
          <c:dPt>
            <c:idx val="29"/>
            <c:invertIfNegative val="0"/>
            <c:bubble3D val="0"/>
            <c:spPr>
              <a:solidFill>
                <a:srgbClr val="C00000"/>
              </a:solidFill>
              <a:ln>
                <a:noFill/>
              </a:ln>
              <a:effectLst/>
            </c:spPr>
            <c:extLst>
              <c:ext xmlns:c16="http://schemas.microsoft.com/office/drawing/2014/chart" uri="{C3380CC4-5D6E-409C-BE32-E72D297353CC}">
                <c16:uniqueId val="{00000025-7E25-45C8-88E9-906C3707AA2E}"/>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Outputs!$Q$3:$Q$37</c:f>
              <c:numCache>
                <c:formatCode>_(* #,##0_);_(* \(#,##0\);_(* "-"??_);_(@_)</c:formatCode>
                <c:ptCount val="35"/>
                <c:pt idx="0">
                  <c:v>1202378.6299999999</c:v>
                </c:pt>
                <c:pt idx="1">
                  <c:v>1202378.6299999999</c:v>
                </c:pt>
                <c:pt idx="2">
                  <c:v>1202378.6299999999</c:v>
                </c:pt>
                <c:pt idx="3">
                  <c:v>1202378.6299999999</c:v>
                </c:pt>
                <c:pt idx="4">
                  <c:v>1202378.6299999999</c:v>
                </c:pt>
                <c:pt idx="5">
                  <c:v>1239215.5</c:v>
                </c:pt>
                <c:pt idx="6">
                  <c:v>1239215.5</c:v>
                </c:pt>
                <c:pt idx="7">
                  <c:v>1239215.5</c:v>
                </c:pt>
                <c:pt idx="8">
                  <c:v>1239215.5</c:v>
                </c:pt>
                <c:pt idx="9">
                  <c:v>1217358</c:v>
                </c:pt>
                <c:pt idx="10">
                  <c:v>1300285.5</c:v>
                </c:pt>
                <c:pt idx="11">
                  <c:v>1300285.5</c:v>
                </c:pt>
                <c:pt idx="12">
                  <c:v>1300285.5</c:v>
                </c:pt>
                <c:pt idx="13">
                  <c:v>1300285.5</c:v>
                </c:pt>
                <c:pt idx="14">
                  <c:v>1269422</c:v>
                </c:pt>
                <c:pt idx="15">
                  <c:v>1373785</c:v>
                </c:pt>
                <c:pt idx="16">
                  <c:v>1373785</c:v>
                </c:pt>
                <c:pt idx="17">
                  <c:v>1373785</c:v>
                </c:pt>
                <c:pt idx="18">
                  <c:v>1373785</c:v>
                </c:pt>
                <c:pt idx="19">
                  <c:v>1348370</c:v>
                </c:pt>
                <c:pt idx="20">
                  <c:v>1460412.5</c:v>
                </c:pt>
                <c:pt idx="21">
                  <c:v>1462607</c:v>
                </c:pt>
                <c:pt idx="22">
                  <c:v>1455910.25</c:v>
                </c:pt>
                <c:pt idx="23">
                  <c:v>1460668.63</c:v>
                </c:pt>
                <c:pt idx="24">
                  <c:v>1491386</c:v>
                </c:pt>
                <c:pt idx="25">
                  <c:v>1568099.5</c:v>
                </c:pt>
                <c:pt idx="26">
                  <c:v>1569654.75</c:v>
                </c:pt>
                <c:pt idx="27">
                  <c:v>1528360.38</c:v>
                </c:pt>
                <c:pt idx="28">
                  <c:v>1558245.13</c:v>
                </c:pt>
                <c:pt idx="29">
                  <c:v>1622510</c:v>
                </c:pt>
                <c:pt idx="30">
                  <c:v>1637182.88</c:v>
                </c:pt>
                <c:pt idx="31">
                  <c:v>1626539.38</c:v>
                </c:pt>
                <c:pt idx="32">
                  <c:v>1535287.88</c:v>
                </c:pt>
                <c:pt idx="33">
                  <c:v>1611958.13</c:v>
                </c:pt>
                <c:pt idx="34">
                  <c:v>0</c:v>
                </c:pt>
              </c:numCache>
            </c:numRef>
          </c:val>
          <c:extLst>
            <c:ext xmlns:c16="http://schemas.microsoft.com/office/drawing/2014/chart" uri="{C3380CC4-5D6E-409C-BE32-E72D297353CC}">
              <c16:uniqueId val="{00000026-7E25-45C8-88E9-906C3707AA2E}"/>
            </c:ext>
          </c:extLst>
        </c:ser>
        <c:ser>
          <c:idx val="3"/>
          <c:order val="3"/>
          <c:tx>
            <c:strRef>
              <c:f>Outputs!$R$2</c:f>
              <c:strCache>
                <c:ptCount val="1"/>
                <c:pt idx="0">
                  <c:v>Age 45-59</c:v>
                </c:pt>
              </c:strCache>
            </c:strRef>
          </c:tx>
          <c:spPr>
            <a:solidFill>
              <a:schemeClr val="accent4"/>
            </a:solidFill>
            <a:ln>
              <a:noFill/>
            </a:ln>
            <a:effectLst/>
          </c:spPr>
          <c:invertIfNegative val="0"/>
          <c:dPt>
            <c:idx val="4"/>
            <c:invertIfNegative val="0"/>
            <c:bubble3D val="0"/>
            <c:spPr>
              <a:solidFill>
                <a:srgbClr val="FFFF00"/>
              </a:solidFill>
              <a:ln>
                <a:noFill/>
              </a:ln>
              <a:effectLst/>
            </c:spPr>
            <c:extLst>
              <c:ext xmlns:c16="http://schemas.microsoft.com/office/drawing/2014/chart" uri="{C3380CC4-5D6E-409C-BE32-E72D297353CC}">
                <c16:uniqueId val="{00000028-7E25-45C8-88E9-906C3707AA2E}"/>
              </c:ext>
            </c:extLst>
          </c:dPt>
          <c:dPt>
            <c:idx val="9"/>
            <c:invertIfNegative val="0"/>
            <c:bubble3D val="0"/>
            <c:spPr>
              <a:solidFill>
                <a:srgbClr val="FFFF00"/>
              </a:solidFill>
              <a:ln>
                <a:noFill/>
              </a:ln>
              <a:effectLst/>
            </c:spPr>
            <c:extLst>
              <c:ext xmlns:c16="http://schemas.microsoft.com/office/drawing/2014/chart" uri="{C3380CC4-5D6E-409C-BE32-E72D297353CC}">
                <c16:uniqueId val="{0000002A-7E25-45C8-88E9-906C3707AA2E}"/>
              </c:ext>
            </c:extLst>
          </c:dPt>
          <c:dPt>
            <c:idx val="14"/>
            <c:invertIfNegative val="0"/>
            <c:bubble3D val="0"/>
            <c:spPr>
              <a:solidFill>
                <a:srgbClr val="FFFF00"/>
              </a:solidFill>
              <a:ln>
                <a:noFill/>
              </a:ln>
              <a:effectLst/>
            </c:spPr>
            <c:extLst>
              <c:ext xmlns:c16="http://schemas.microsoft.com/office/drawing/2014/chart" uri="{C3380CC4-5D6E-409C-BE32-E72D297353CC}">
                <c16:uniqueId val="{0000002C-7E25-45C8-88E9-906C3707AA2E}"/>
              </c:ext>
            </c:extLst>
          </c:dPt>
          <c:dPt>
            <c:idx val="19"/>
            <c:invertIfNegative val="0"/>
            <c:bubble3D val="0"/>
            <c:spPr>
              <a:solidFill>
                <a:srgbClr val="FFFF00"/>
              </a:solidFill>
              <a:ln>
                <a:noFill/>
              </a:ln>
              <a:effectLst/>
            </c:spPr>
            <c:extLst>
              <c:ext xmlns:c16="http://schemas.microsoft.com/office/drawing/2014/chart" uri="{C3380CC4-5D6E-409C-BE32-E72D297353CC}">
                <c16:uniqueId val="{0000002E-7E25-45C8-88E9-906C3707AA2E}"/>
              </c:ext>
            </c:extLst>
          </c:dPt>
          <c:dPt>
            <c:idx val="24"/>
            <c:invertIfNegative val="0"/>
            <c:bubble3D val="0"/>
            <c:spPr>
              <a:solidFill>
                <a:srgbClr val="FFFF00"/>
              </a:solidFill>
              <a:ln>
                <a:noFill/>
              </a:ln>
              <a:effectLst/>
            </c:spPr>
            <c:extLst>
              <c:ext xmlns:c16="http://schemas.microsoft.com/office/drawing/2014/chart" uri="{C3380CC4-5D6E-409C-BE32-E72D297353CC}">
                <c16:uniqueId val="{00000030-7E25-45C8-88E9-906C3707AA2E}"/>
              </c:ext>
            </c:extLst>
          </c:dPt>
          <c:dPt>
            <c:idx val="29"/>
            <c:invertIfNegative val="0"/>
            <c:bubble3D val="0"/>
            <c:spPr>
              <a:solidFill>
                <a:srgbClr val="FFFF00"/>
              </a:solidFill>
              <a:ln>
                <a:noFill/>
              </a:ln>
              <a:effectLst/>
            </c:spPr>
            <c:extLst>
              <c:ext xmlns:c16="http://schemas.microsoft.com/office/drawing/2014/chart" uri="{C3380CC4-5D6E-409C-BE32-E72D297353CC}">
                <c16:uniqueId val="{00000032-7E25-45C8-88E9-906C3707AA2E}"/>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Outputs!$R$3:$R$37</c:f>
              <c:numCache>
                <c:formatCode>_(* #,##0_);_(* \(#,##0\);_(* "-"??_);_(@_)</c:formatCode>
                <c:ptCount val="35"/>
                <c:pt idx="0">
                  <c:v>1169330.1299999999</c:v>
                </c:pt>
                <c:pt idx="1">
                  <c:v>1169330.1299999999</c:v>
                </c:pt>
                <c:pt idx="2">
                  <c:v>1169330.1299999999</c:v>
                </c:pt>
                <c:pt idx="3">
                  <c:v>1169330.1299999999</c:v>
                </c:pt>
                <c:pt idx="4">
                  <c:v>1169330.1299999999</c:v>
                </c:pt>
                <c:pt idx="5">
                  <c:v>1181534.6299999999</c:v>
                </c:pt>
                <c:pt idx="6">
                  <c:v>1181534.6299999999</c:v>
                </c:pt>
                <c:pt idx="7">
                  <c:v>1181534.6299999999</c:v>
                </c:pt>
                <c:pt idx="8">
                  <c:v>1181534.6299999999</c:v>
                </c:pt>
                <c:pt idx="9">
                  <c:v>1219716</c:v>
                </c:pt>
                <c:pt idx="10">
                  <c:v>1208223.25</c:v>
                </c:pt>
                <c:pt idx="11">
                  <c:v>1208223.25</c:v>
                </c:pt>
                <c:pt idx="12">
                  <c:v>1208223.25</c:v>
                </c:pt>
                <c:pt idx="13">
                  <c:v>1208223.25</c:v>
                </c:pt>
                <c:pt idx="14">
                  <c:v>1257485</c:v>
                </c:pt>
                <c:pt idx="15">
                  <c:v>1254873.5</c:v>
                </c:pt>
                <c:pt idx="16">
                  <c:v>1254873.5</c:v>
                </c:pt>
                <c:pt idx="17">
                  <c:v>1254873.5</c:v>
                </c:pt>
                <c:pt idx="18">
                  <c:v>1254873.5</c:v>
                </c:pt>
                <c:pt idx="19">
                  <c:v>1301703</c:v>
                </c:pt>
                <c:pt idx="20">
                  <c:v>1334478.8799999999</c:v>
                </c:pt>
                <c:pt idx="21">
                  <c:v>1336563</c:v>
                </c:pt>
                <c:pt idx="22">
                  <c:v>1332769.3799999999</c:v>
                </c:pt>
                <c:pt idx="23">
                  <c:v>1335173</c:v>
                </c:pt>
                <c:pt idx="24">
                  <c:v>1354485</c:v>
                </c:pt>
                <c:pt idx="25">
                  <c:v>1460275.38</c:v>
                </c:pt>
                <c:pt idx="26">
                  <c:v>1466991.5</c:v>
                </c:pt>
                <c:pt idx="27">
                  <c:v>1445921.88</c:v>
                </c:pt>
                <c:pt idx="28">
                  <c:v>1461163</c:v>
                </c:pt>
                <c:pt idx="29">
                  <c:v>1544285</c:v>
                </c:pt>
                <c:pt idx="30">
                  <c:v>1553663</c:v>
                </c:pt>
                <c:pt idx="31">
                  <c:v>1561468.88</c:v>
                </c:pt>
                <c:pt idx="32">
                  <c:v>1519482.63</c:v>
                </c:pt>
                <c:pt idx="33">
                  <c:v>1554407.13</c:v>
                </c:pt>
                <c:pt idx="34">
                  <c:v>0</c:v>
                </c:pt>
              </c:numCache>
            </c:numRef>
          </c:val>
          <c:extLst>
            <c:ext xmlns:c16="http://schemas.microsoft.com/office/drawing/2014/chart" uri="{C3380CC4-5D6E-409C-BE32-E72D297353CC}">
              <c16:uniqueId val="{00000033-7E25-45C8-88E9-906C3707AA2E}"/>
            </c:ext>
          </c:extLst>
        </c:ser>
        <c:ser>
          <c:idx val="4"/>
          <c:order val="4"/>
          <c:tx>
            <c:strRef>
              <c:f>Outputs!$S$2</c:f>
              <c:strCache>
                <c:ptCount val="1"/>
                <c:pt idx="0">
                  <c:v>Age 60-74</c:v>
                </c:pt>
              </c:strCache>
            </c:strRef>
          </c:tx>
          <c:spPr>
            <a:solidFill>
              <a:schemeClr val="accent5"/>
            </a:solidFill>
            <a:ln>
              <a:noFill/>
            </a:ln>
            <a:effectLst/>
          </c:spPr>
          <c:invertIfNegative val="0"/>
          <c:dPt>
            <c:idx val="4"/>
            <c:invertIfNegative val="0"/>
            <c:bubble3D val="0"/>
            <c:spPr>
              <a:solidFill>
                <a:srgbClr val="FF0000"/>
              </a:solidFill>
              <a:ln>
                <a:noFill/>
              </a:ln>
              <a:effectLst/>
            </c:spPr>
            <c:extLst>
              <c:ext xmlns:c16="http://schemas.microsoft.com/office/drawing/2014/chart" uri="{C3380CC4-5D6E-409C-BE32-E72D297353CC}">
                <c16:uniqueId val="{00000035-7E25-45C8-88E9-906C3707AA2E}"/>
              </c:ext>
            </c:extLst>
          </c:dPt>
          <c:dPt>
            <c:idx val="9"/>
            <c:invertIfNegative val="0"/>
            <c:bubble3D val="0"/>
            <c:spPr>
              <a:solidFill>
                <a:srgbClr val="FF0000"/>
              </a:solidFill>
              <a:ln>
                <a:noFill/>
              </a:ln>
              <a:effectLst/>
            </c:spPr>
            <c:extLst>
              <c:ext xmlns:c16="http://schemas.microsoft.com/office/drawing/2014/chart" uri="{C3380CC4-5D6E-409C-BE32-E72D297353CC}">
                <c16:uniqueId val="{00000037-7E25-45C8-88E9-906C3707AA2E}"/>
              </c:ext>
            </c:extLst>
          </c:dPt>
          <c:dPt>
            <c:idx val="14"/>
            <c:invertIfNegative val="0"/>
            <c:bubble3D val="0"/>
            <c:spPr>
              <a:solidFill>
                <a:srgbClr val="FF0000"/>
              </a:solidFill>
              <a:ln>
                <a:noFill/>
              </a:ln>
              <a:effectLst/>
            </c:spPr>
            <c:extLst>
              <c:ext xmlns:c16="http://schemas.microsoft.com/office/drawing/2014/chart" uri="{C3380CC4-5D6E-409C-BE32-E72D297353CC}">
                <c16:uniqueId val="{00000039-7E25-45C8-88E9-906C3707AA2E}"/>
              </c:ext>
            </c:extLst>
          </c:dPt>
          <c:dPt>
            <c:idx val="19"/>
            <c:invertIfNegative val="0"/>
            <c:bubble3D val="0"/>
            <c:spPr>
              <a:solidFill>
                <a:srgbClr val="FF0000"/>
              </a:solidFill>
              <a:ln>
                <a:noFill/>
              </a:ln>
              <a:effectLst/>
            </c:spPr>
            <c:extLst>
              <c:ext xmlns:c16="http://schemas.microsoft.com/office/drawing/2014/chart" uri="{C3380CC4-5D6E-409C-BE32-E72D297353CC}">
                <c16:uniqueId val="{0000003B-7E25-45C8-88E9-906C3707AA2E}"/>
              </c:ext>
            </c:extLst>
          </c:dPt>
          <c:dPt>
            <c:idx val="24"/>
            <c:invertIfNegative val="0"/>
            <c:bubble3D val="0"/>
            <c:spPr>
              <a:solidFill>
                <a:srgbClr val="FF0000"/>
              </a:solidFill>
              <a:ln>
                <a:noFill/>
              </a:ln>
              <a:effectLst/>
            </c:spPr>
            <c:extLst>
              <c:ext xmlns:c16="http://schemas.microsoft.com/office/drawing/2014/chart" uri="{C3380CC4-5D6E-409C-BE32-E72D297353CC}">
                <c16:uniqueId val="{0000003D-7E25-45C8-88E9-906C3707AA2E}"/>
              </c:ext>
            </c:extLst>
          </c:dPt>
          <c:dPt>
            <c:idx val="29"/>
            <c:invertIfNegative val="0"/>
            <c:bubble3D val="0"/>
            <c:spPr>
              <a:solidFill>
                <a:srgbClr val="FF0000"/>
              </a:solidFill>
              <a:ln>
                <a:noFill/>
              </a:ln>
              <a:effectLst/>
            </c:spPr>
            <c:extLst>
              <c:ext xmlns:c16="http://schemas.microsoft.com/office/drawing/2014/chart" uri="{C3380CC4-5D6E-409C-BE32-E72D297353CC}">
                <c16:uniqueId val="{0000003F-7E25-45C8-88E9-906C3707AA2E}"/>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Outputs!$S$3:$S$37</c:f>
              <c:numCache>
                <c:formatCode>_(* #,##0_);_(* \(#,##0\);_(* "-"??_);_(@_)</c:formatCode>
                <c:ptCount val="35"/>
                <c:pt idx="0">
                  <c:v>666817.06000000006</c:v>
                </c:pt>
                <c:pt idx="1">
                  <c:v>666817.06000000006</c:v>
                </c:pt>
                <c:pt idx="2">
                  <c:v>666817.06000000006</c:v>
                </c:pt>
                <c:pt idx="3">
                  <c:v>666817.06000000006</c:v>
                </c:pt>
                <c:pt idx="4">
                  <c:v>666817.06000000006</c:v>
                </c:pt>
                <c:pt idx="5">
                  <c:v>722470.88</c:v>
                </c:pt>
                <c:pt idx="6">
                  <c:v>722470.88</c:v>
                </c:pt>
                <c:pt idx="7">
                  <c:v>722470.88</c:v>
                </c:pt>
                <c:pt idx="8">
                  <c:v>722470.88</c:v>
                </c:pt>
                <c:pt idx="9">
                  <c:v>722935</c:v>
                </c:pt>
                <c:pt idx="10">
                  <c:v>796167.5</c:v>
                </c:pt>
                <c:pt idx="11">
                  <c:v>796167.5</c:v>
                </c:pt>
                <c:pt idx="12">
                  <c:v>796167.5</c:v>
                </c:pt>
                <c:pt idx="13">
                  <c:v>796167.5</c:v>
                </c:pt>
                <c:pt idx="14">
                  <c:v>807933</c:v>
                </c:pt>
                <c:pt idx="15">
                  <c:v>881900.69</c:v>
                </c:pt>
                <c:pt idx="16">
                  <c:v>881900.69</c:v>
                </c:pt>
                <c:pt idx="17">
                  <c:v>881900.69</c:v>
                </c:pt>
                <c:pt idx="18">
                  <c:v>881900.69</c:v>
                </c:pt>
                <c:pt idx="19">
                  <c:v>901584</c:v>
                </c:pt>
                <c:pt idx="20">
                  <c:v>995495</c:v>
                </c:pt>
                <c:pt idx="21">
                  <c:v>996686.81</c:v>
                </c:pt>
                <c:pt idx="22">
                  <c:v>992080.13</c:v>
                </c:pt>
                <c:pt idx="23">
                  <c:v>995647.44</c:v>
                </c:pt>
                <c:pt idx="24">
                  <c:v>1037483</c:v>
                </c:pt>
                <c:pt idx="25">
                  <c:v>1156909.8799999999</c:v>
                </c:pt>
                <c:pt idx="26">
                  <c:v>1165912.1299999999</c:v>
                </c:pt>
                <c:pt idx="27">
                  <c:v>1139632.25</c:v>
                </c:pt>
                <c:pt idx="28">
                  <c:v>1162180</c:v>
                </c:pt>
                <c:pt idx="29">
                  <c:v>1150349</c:v>
                </c:pt>
                <c:pt idx="30">
                  <c:v>1281921.25</c:v>
                </c:pt>
                <c:pt idx="31">
                  <c:v>1301871.3799999999</c:v>
                </c:pt>
                <c:pt idx="32">
                  <c:v>1247628.75</c:v>
                </c:pt>
                <c:pt idx="33">
                  <c:v>1299211.5</c:v>
                </c:pt>
                <c:pt idx="34">
                  <c:v>0</c:v>
                </c:pt>
              </c:numCache>
            </c:numRef>
          </c:val>
          <c:extLst>
            <c:ext xmlns:c16="http://schemas.microsoft.com/office/drawing/2014/chart" uri="{C3380CC4-5D6E-409C-BE32-E72D297353CC}">
              <c16:uniqueId val="{00000040-7E25-45C8-88E9-906C3707AA2E}"/>
            </c:ext>
          </c:extLst>
        </c:ser>
        <c:ser>
          <c:idx val="5"/>
          <c:order val="5"/>
          <c:tx>
            <c:strRef>
              <c:f>Outputs!$T$2</c:f>
              <c:strCache>
                <c:ptCount val="1"/>
                <c:pt idx="0">
                  <c:v>Age 75+up</c:v>
                </c:pt>
              </c:strCache>
            </c:strRef>
          </c:tx>
          <c:spPr>
            <a:solidFill>
              <a:schemeClr val="accent6"/>
            </a:solidFill>
            <a:ln>
              <a:noFill/>
            </a:ln>
            <a:effectLst/>
          </c:spPr>
          <c:invertIfNegative val="0"/>
          <c:dPt>
            <c:idx val="4"/>
            <c:invertIfNegative val="0"/>
            <c:bubble3D val="0"/>
            <c:spPr>
              <a:solidFill>
                <a:schemeClr val="accent4">
                  <a:lumMod val="75000"/>
                </a:schemeClr>
              </a:solidFill>
              <a:ln>
                <a:noFill/>
              </a:ln>
              <a:effectLst/>
            </c:spPr>
            <c:extLst>
              <c:ext xmlns:c16="http://schemas.microsoft.com/office/drawing/2014/chart" uri="{C3380CC4-5D6E-409C-BE32-E72D297353CC}">
                <c16:uniqueId val="{00000042-7E25-45C8-88E9-906C3707AA2E}"/>
              </c:ext>
            </c:extLst>
          </c:dPt>
          <c:dPt>
            <c:idx val="9"/>
            <c:invertIfNegative val="0"/>
            <c:bubble3D val="0"/>
            <c:spPr>
              <a:solidFill>
                <a:schemeClr val="accent4">
                  <a:lumMod val="75000"/>
                </a:schemeClr>
              </a:solidFill>
              <a:ln>
                <a:noFill/>
              </a:ln>
              <a:effectLst/>
            </c:spPr>
            <c:extLst>
              <c:ext xmlns:c16="http://schemas.microsoft.com/office/drawing/2014/chart" uri="{C3380CC4-5D6E-409C-BE32-E72D297353CC}">
                <c16:uniqueId val="{00000044-7E25-45C8-88E9-906C3707AA2E}"/>
              </c:ext>
            </c:extLst>
          </c:dPt>
          <c:dPt>
            <c:idx val="14"/>
            <c:invertIfNegative val="0"/>
            <c:bubble3D val="0"/>
            <c:spPr>
              <a:solidFill>
                <a:schemeClr val="accent4">
                  <a:lumMod val="75000"/>
                </a:schemeClr>
              </a:solidFill>
              <a:ln>
                <a:noFill/>
              </a:ln>
              <a:effectLst/>
            </c:spPr>
            <c:extLst>
              <c:ext xmlns:c16="http://schemas.microsoft.com/office/drawing/2014/chart" uri="{C3380CC4-5D6E-409C-BE32-E72D297353CC}">
                <c16:uniqueId val="{00000046-7E25-45C8-88E9-906C3707AA2E}"/>
              </c:ext>
            </c:extLst>
          </c:dPt>
          <c:dPt>
            <c:idx val="19"/>
            <c:invertIfNegative val="0"/>
            <c:bubble3D val="0"/>
            <c:spPr>
              <a:solidFill>
                <a:schemeClr val="accent4">
                  <a:lumMod val="75000"/>
                </a:schemeClr>
              </a:solidFill>
              <a:ln>
                <a:noFill/>
              </a:ln>
              <a:effectLst/>
            </c:spPr>
            <c:extLst>
              <c:ext xmlns:c16="http://schemas.microsoft.com/office/drawing/2014/chart" uri="{C3380CC4-5D6E-409C-BE32-E72D297353CC}">
                <c16:uniqueId val="{00000048-7E25-45C8-88E9-906C3707AA2E}"/>
              </c:ext>
            </c:extLst>
          </c:dPt>
          <c:dPt>
            <c:idx val="24"/>
            <c:invertIfNegative val="0"/>
            <c:bubble3D val="0"/>
            <c:spPr>
              <a:solidFill>
                <a:schemeClr val="accent4">
                  <a:lumMod val="75000"/>
                </a:schemeClr>
              </a:solidFill>
              <a:ln>
                <a:noFill/>
              </a:ln>
              <a:effectLst/>
            </c:spPr>
            <c:extLst>
              <c:ext xmlns:c16="http://schemas.microsoft.com/office/drawing/2014/chart" uri="{C3380CC4-5D6E-409C-BE32-E72D297353CC}">
                <c16:uniqueId val="{0000004A-7E25-45C8-88E9-906C3707AA2E}"/>
              </c:ext>
            </c:extLst>
          </c:dPt>
          <c:dPt>
            <c:idx val="29"/>
            <c:invertIfNegative val="0"/>
            <c:bubble3D val="0"/>
            <c:spPr>
              <a:solidFill>
                <a:schemeClr val="accent4">
                  <a:lumMod val="75000"/>
                </a:schemeClr>
              </a:solidFill>
              <a:ln>
                <a:noFill/>
              </a:ln>
              <a:effectLst/>
            </c:spPr>
            <c:extLst>
              <c:ext xmlns:c16="http://schemas.microsoft.com/office/drawing/2014/chart" uri="{C3380CC4-5D6E-409C-BE32-E72D297353CC}">
                <c16:uniqueId val="{0000004C-7E25-45C8-88E9-906C3707AA2E}"/>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Outputs!$T$3:$T$37</c:f>
              <c:numCache>
                <c:formatCode>_(* #,##0_);_(* \(#,##0\);_(* "-"??_);_(@_)</c:formatCode>
                <c:ptCount val="35"/>
                <c:pt idx="0">
                  <c:v>217962.97</c:v>
                </c:pt>
                <c:pt idx="1">
                  <c:v>217962.97</c:v>
                </c:pt>
                <c:pt idx="2">
                  <c:v>217962.97</c:v>
                </c:pt>
                <c:pt idx="3">
                  <c:v>217962.97</c:v>
                </c:pt>
                <c:pt idx="4">
                  <c:v>217962.97</c:v>
                </c:pt>
                <c:pt idx="5">
                  <c:v>270157.28000000003</c:v>
                </c:pt>
                <c:pt idx="6">
                  <c:v>270157.28000000003</c:v>
                </c:pt>
                <c:pt idx="7">
                  <c:v>270157.28000000003</c:v>
                </c:pt>
                <c:pt idx="8">
                  <c:v>270157.28000000003</c:v>
                </c:pt>
                <c:pt idx="9">
                  <c:v>241058</c:v>
                </c:pt>
                <c:pt idx="10">
                  <c:v>345999.5</c:v>
                </c:pt>
                <c:pt idx="11">
                  <c:v>345999.5</c:v>
                </c:pt>
                <c:pt idx="12">
                  <c:v>345999.5</c:v>
                </c:pt>
                <c:pt idx="13">
                  <c:v>345999.5</c:v>
                </c:pt>
                <c:pt idx="14">
                  <c:v>285202</c:v>
                </c:pt>
                <c:pt idx="15">
                  <c:v>440749.78</c:v>
                </c:pt>
                <c:pt idx="16">
                  <c:v>440749.78</c:v>
                </c:pt>
                <c:pt idx="17">
                  <c:v>440749.78</c:v>
                </c:pt>
                <c:pt idx="18">
                  <c:v>440749.78</c:v>
                </c:pt>
                <c:pt idx="19">
                  <c:v>370338</c:v>
                </c:pt>
                <c:pt idx="20">
                  <c:v>574965.06000000006</c:v>
                </c:pt>
                <c:pt idx="21">
                  <c:v>574559.56000000006</c:v>
                </c:pt>
                <c:pt idx="22">
                  <c:v>559420.88</c:v>
                </c:pt>
                <c:pt idx="23">
                  <c:v>573947.5</c:v>
                </c:pt>
                <c:pt idx="24">
                  <c:v>500253</c:v>
                </c:pt>
                <c:pt idx="25">
                  <c:v>773989.31</c:v>
                </c:pt>
                <c:pt idx="26">
                  <c:v>798422.06</c:v>
                </c:pt>
                <c:pt idx="27">
                  <c:v>699897.81</c:v>
                </c:pt>
                <c:pt idx="28">
                  <c:v>795859.13</c:v>
                </c:pt>
                <c:pt idx="29">
                  <c:v>747798</c:v>
                </c:pt>
                <c:pt idx="30">
                  <c:v>952686.94</c:v>
                </c:pt>
                <c:pt idx="31">
                  <c:v>1028094.38</c:v>
                </c:pt>
                <c:pt idx="32">
                  <c:v>786327.56</c:v>
                </c:pt>
                <c:pt idx="33">
                  <c:v>1027042.81</c:v>
                </c:pt>
                <c:pt idx="34">
                  <c:v>0</c:v>
                </c:pt>
              </c:numCache>
            </c:numRef>
          </c:val>
          <c:extLst>
            <c:ext xmlns:c16="http://schemas.microsoft.com/office/drawing/2014/chart" uri="{C3380CC4-5D6E-409C-BE32-E72D297353CC}">
              <c16:uniqueId val="{0000004D-7E25-45C8-88E9-906C3707AA2E}"/>
            </c:ext>
          </c:extLst>
        </c:ser>
        <c:dLbls>
          <c:showLegendKey val="0"/>
          <c:showVal val="0"/>
          <c:showCatName val="0"/>
          <c:showSerName val="0"/>
          <c:showPercent val="0"/>
          <c:showBubbleSize val="0"/>
        </c:dLbls>
        <c:gapWidth val="40"/>
        <c:overlap val="100"/>
        <c:axId val="-284397808"/>
        <c:axId val="-284397264"/>
      </c:barChart>
      <c:catAx>
        <c:axId val="-284397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4397264"/>
        <c:crosses val="autoZero"/>
        <c:auto val="1"/>
        <c:lblAlgn val="ctr"/>
        <c:lblOffset val="100"/>
        <c:noMultiLvlLbl val="0"/>
      </c:catAx>
      <c:valAx>
        <c:axId val="-284397264"/>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4397808"/>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Population</a:t>
            </a:r>
            <a:r>
              <a:rPr lang="en-US" baseline="0"/>
              <a:t> by Income Level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Outputs!$U$2</c:f>
              <c:strCache>
                <c:ptCount val="1"/>
                <c:pt idx="0">
                  <c:v>Lower Income</c:v>
                </c:pt>
              </c:strCache>
            </c:strRef>
          </c:tx>
          <c:spPr>
            <a:solidFill>
              <a:schemeClr val="accent1"/>
            </a:solidFill>
            <a:ln>
              <a:noFill/>
            </a:ln>
            <a:effectLst/>
          </c:spPr>
          <c:invertIfNegative val="0"/>
          <c:dPt>
            <c:idx val="4"/>
            <c:invertIfNegative val="0"/>
            <c:bubble3D val="0"/>
            <c:spPr>
              <a:solidFill>
                <a:srgbClr val="FFC000"/>
              </a:solidFill>
              <a:ln>
                <a:noFill/>
              </a:ln>
              <a:effectLst/>
            </c:spPr>
            <c:extLst>
              <c:ext xmlns:c16="http://schemas.microsoft.com/office/drawing/2014/chart" uri="{C3380CC4-5D6E-409C-BE32-E72D297353CC}">
                <c16:uniqueId val="{00000001-FDC7-4005-BBCA-00CE0AC30D39}"/>
              </c:ext>
            </c:extLst>
          </c:dPt>
          <c:dPt>
            <c:idx val="9"/>
            <c:invertIfNegative val="0"/>
            <c:bubble3D val="0"/>
            <c:spPr>
              <a:solidFill>
                <a:srgbClr val="FFC000"/>
              </a:solidFill>
              <a:ln>
                <a:noFill/>
              </a:ln>
              <a:effectLst/>
            </c:spPr>
            <c:extLst>
              <c:ext xmlns:c16="http://schemas.microsoft.com/office/drawing/2014/chart" uri="{C3380CC4-5D6E-409C-BE32-E72D297353CC}">
                <c16:uniqueId val="{00000003-FDC7-4005-BBCA-00CE0AC30D39}"/>
              </c:ext>
            </c:extLst>
          </c:dPt>
          <c:dPt>
            <c:idx val="14"/>
            <c:invertIfNegative val="0"/>
            <c:bubble3D val="0"/>
            <c:spPr>
              <a:solidFill>
                <a:srgbClr val="FFC000"/>
              </a:solidFill>
              <a:ln>
                <a:noFill/>
              </a:ln>
              <a:effectLst/>
            </c:spPr>
            <c:extLst>
              <c:ext xmlns:c16="http://schemas.microsoft.com/office/drawing/2014/chart" uri="{C3380CC4-5D6E-409C-BE32-E72D297353CC}">
                <c16:uniqueId val="{00000005-FDC7-4005-BBCA-00CE0AC30D39}"/>
              </c:ext>
            </c:extLst>
          </c:dPt>
          <c:dPt>
            <c:idx val="19"/>
            <c:invertIfNegative val="0"/>
            <c:bubble3D val="0"/>
            <c:spPr>
              <a:solidFill>
                <a:srgbClr val="FFC000"/>
              </a:solidFill>
              <a:ln>
                <a:noFill/>
              </a:ln>
              <a:effectLst/>
            </c:spPr>
            <c:extLst>
              <c:ext xmlns:c16="http://schemas.microsoft.com/office/drawing/2014/chart" uri="{C3380CC4-5D6E-409C-BE32-E72D297353CC}">
                <c16:uniqueId val="{00000007-FDC7-4005-BBCA-00CE0AC30D39}"/>
              </c:ext>
            </c:extLst>
          </c:dPt>
          <c:dPt>
            <c:idx val="24"/>
            <c:invertIfNegative val="0"/>
            <c:bubble3D val="0"/>
            <c:spPr>
              <a:solidFill>
                <a:srgbClr val="FFC000"/>
              </a:solidFill>
              <a:ln>
                <a:noFill/>
              </a:ln>
              <a:effectLst/>
            </c:spPr>
            <c:extLst>
              <c:ext xmlns:c16="http://schemas.microsoft.com/office/drawing/2014/chart" uri="{C3380CC4-5D6E-409C-BE32-E72D297353CC}">
                <c16:uniqueId val="{00000009-FDC7-4005-BBCA-00CE0AC30D39}"/>
              </c:ext>
            </c:extLst>
          </c:dPt>
          <c:dPt>
            <c:idx val="29"/>
            <c:invertIfNegative val="0"/>
            <c:bubble3D val="0"/>
            <c:spPr>
              <a:solidFill>
                <a:srgbClr val="FFC000"/>
              </a:solidFill>
              <a:ln>
                <a:noFill/>
              </a:ln>
              <a:effectLst/>
            </c:spPr>
            <c:extLst>
              <c:ext xmlns:c16="http://schemas.microsoft.com/office/drawing/2014/chart" uri="{C3380CC4-5D6E-409C-BE32-E72D297353CC}">
                <c16:uniqueId val="{0000000B-FDC7-4005-BBCA-00CE0AC30D39}"/>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Outputs!$U$3:$U$37</c:f>
              <c:numCache>
                <c:formatCode>_(* #,##0_);_(* \(#,##0\);_(* "-"??_);_(@_)</c:formatCode>
                <c:ptCount val="35"/>
                <c:pt idx="0">
                  <c:v>1192173</c:v>
                </c:pt>
                <c:pt idx="1">
                  <c:v>1192173</c:v>
                </c:pt>
                <c:pt idx="2">
                  <c:v>1192173</c:v>
                </c:pt>
                <c:pt idx="3">
                  <c:v>1192173</c:v>
                </c:pt>
                <c:pt idx="4">
                  <c:v>1192173</c:v>
                </c:pt>
                <c:pt idx="5">
                  <c:v>1235804.5</c:v>
                </c:pt>
                <c:pt idx="6">
                  <c:v>1235804.5</c:v>
                </c:pt>
                <c:pt idx="7">
                  <c:v>1235804.5</c:v>
                </c:pt>
                <c:pt idx="8">
                  <c:v>1235804.5</c:v>
                </c:pt>
                <c:pt idx="9">
                  <c:v>1208993</c:v>
                </c:pt>
                <c:pt idx="10">
                  <c:v>1299149.3799999999</c:v>
                </c:pt>
                <c:pt idx="11">
                  <c:v>1299149.3799999999</c:v>
                </c:pt>
                <c:pt idx="12">
                  <c:v>1299149.3799999999</c:v>
                </c:pt>
                <c:pt idx="13">
                  <c:v>1299149.3799999999</c:v>
                </c:pt>
                <c:pt idx="14">
                  <c:v>1253308</c:v>
                </c:pt>
                <c:pt idx="15">
                  <c:v>1381075.38</c:v>
                </c:pt>
                <c:pt idx="16">
                  <c:v>1381075.38</c:v>
                </c:pt>
                <c:pt idx="17">
                  <c:v>1381075.38</c:v>
                </c:pt>
                <c:pt idx="18">
                  <c:v>1381075.38</c:v>
                </c:pt>
                <c:pt idx="19">
                  <c:v>1333829</c:v>
                </c:pt>
                <c:pt idx="20">
                  <c:v>1509201.25</c:v>
                </c:pt>
                <c:pt idx="21">
                  <c:v>1498408.63</c:v>
                </c:pt>
                <c:pt idx="22">
                  <c:v>1518118.63</c:v>
                </c:pt>
                <c:pt idx="23">
                  <c:v>1505603.63</c:v>
                </c:pt>
                <c:pt idx="24">
                  <c:v>1459051</c:v>
                </c:pt>
                <c:pt idx="25">
                  <c:v>1725010.75</c:v>
                </c:pt>
                <c:pt idx="26">
                  <c:v>1649235.13</c:v>
                </c:pt>
                <c:pt idx="27">
                  <c:v>1755745.63</c:v>
                </c:pt>
                <c:pt idx="28">
                  <c:v>1710023.38</c:v>
                </c:pt>
                <c:pt idx="29">
                  <c:v>1696896</c:v>
                </c:pt>
                <c:pt idx="30">
                  <c:v>1929555.38</c:v>
                </c:pt>
                <c:pt idx="31">
                  <c:v>1715634.13</c:v>
                </c:pt>
                <c:pt idx="32">
                  <c:v>1898385.63</c:v>
                </c:pt>
                <c:pt idx="33">
                  <c:v>1900408.13</c:v>
                </c:pt>
                <c:pt idx="34">
                  <c:v>0</c:v>
                </c:pt>
              </c:numCache>
            </c:numRef>
          </c:val>
          <c:extLst>
            <c:ext xmlns:c16="http://schemas.microsoft.com/office/drawing/2014/chart" uri="{C3380CC4-5D6E-409C-BE32-E72D297353CC}">
              <c16:uniqueId val="{0000000C-FDC7-4005-BBCA-00CE0AC30D39}"/>
            </c:ext>
          </c:extLst>
        </c:ser>
        <c:ser>
          <c:idx val="1"/>
          <c:order val="1"/>
          <c:tx>
            <c:strRef>
              <c:f>Outputs!$V$2</c:f>
              <c:strCache>
                <c:ptCount val="1"/>
                <c:pt idx="0">
                  <c:v>Middle Income</c:v>
                </c:pt>
              </c:strCache>
            </c:strRef>
          </c:tx>
          <c:spPr>
            <a:solidFill>
              <a:schemeClr val="accent2"/>
            </a:solidFill>
            <a:ln>
              <a:noFill/>
            </a:ln>
            <a:effectLst/>
          </c:spPr>
          <c:invertIfNegative val="0"/>
          <c:dPt>
            <c:idx val="4"/>
            <c:invertIfNegative val="0"/>
            <c:bubble3D val="0"/>
            <c:spPr>
              <a:solidFill>
                <a:srgbClr val="92D050"/>
              </a:solidFill>
              <a:ln>
                <a:noFill/>
              </a:ln>
              <a:effectLst/>
            </c:spPr>
            <c:extLst>
              <c:ext xmlns:c16="http://schemas.microsoft.com/office/drawing/2014/chart" uri="{C3380CC4-5D6E-409C-BE32-E72D297353CC}">
                <c16:uniqueId val="{0000000E-FDC7-4005-BBCA-00CE0AC30D39}"/>
              </c:ext>
            </c:extLst>
          </c:dPt>
          <c:dPt>
            <c:idx val="9"/>
            <c:invertIfNegative val="0"/>
            <c:bubble3D val="0"/>
            <c:spPr>
              <a:solidFill>
                <a:srgbClr val="92D050"/>
              </a:solidFill>
              <a:ln>
                <a:noFill/>
              </a:ln>
              <a:effectLst/>
            </c:spPr>
            <c:extLst>
              <c:ext xmlns:c16="http://schemas.microsoft.com/office/drawing/2014/chart" uri="{C3380CC4-5D6E-409C-BE32-E72D297353CC}">
                <c16:uniqueId val="{00000010-FDC7-4005-BBCA-00CE0AC30D39}"/>
              </c:ext>
            </c:extLst>
          </c:dPt>
          <c:dPt>
            <c:idx val="14"/>
            <c:invertIfNegative val="0"/>
            <c:bubble3D val="0"/>
            <c:spPr>
              <a:solidFill>
                <a:srgbClr val="92D050"/>
              </a:solidFill>
              <a:ln>
                <a:noFill/>
              </a:ln>
              <a:effectLst/>
            </c:spPr>
            <c:extLst>
              <c:ext xmlns:c16="http://schemas.microsoft.com/office/drawing/2014/chart" uri="{C3380CC4-5D6E-409C-BE32-E72D297353CC}">
                <c16:uniqueId val="{00000012-FDC7-4005-BBCA-00CE0AC30D39}"/>
              </c:ext>
            </c:extLst>
          </c:dPt>
          <c:dPt>
            <c:idx val="19"/>
            <c:invertIfNegative val="0"/>
            <c:bubble3D val="0"/>
            <c:spPr>
              <a:solidFill>
                <a:srgbClr val="92D050"/>
              </a:solidFill>
              <a:ln>
                <a:noFill/>
              </a:ln>
              <a:effectLst/>
            </c:spPr>
            <c:extLst>
              <c:ext xmlns:c16="http://schemas.microsoft.com/office/drawing/2014/chart" uri="{C3380CC4-5D6E-409C-BE32-E72D297353CC}">
                <c16:uniqueId val="{00000014-FDC7-4005-BBCA-00CE0AC30D39}"/>
              </c:ext>
            </c:extLst>
          </c:dPt>
          <c:dPt>
            <c:idx val="24"/>
            <c:invertIfNegative val="0"/>
            <c:bubble3D val="0"/>
            <c:spPr>
              <a:solidFill>
                <a:srgbClr val="92D050"/>
              </a:solidFill>
              <a:ln>
                <a:noFill/>
              </a:ln>
              <a:effectLst/>
            </c:spPr>
            <c:extLst>
              <c:ext xmlns:c16="http://schemas.microsoft.com/office/drawing/2014/chart" uri="{C3380CC4-5D6E-409C-BE32-E72D297353CC}">
                <c16:uniqueId val="{00000016-FDC7-4005-BBCA-00CE0AC30D39}"/>
              </c:ext>
            </c:extLst>
          </c:dPt>
          <c:dPt>
            <c:idx val="29"/>
            <c:invertIfNegative val="0"/>
            <c:bubble3D val="0"/>
            <c:spPr>
              <a:solidFill>
                <a:srgbClr val="92D050"/>
              </a:solidFill>
              <a:ln>
                <a:noFill/>
              </a:ln>
              <a:effectLst/>
            </c:spPr>
            <c:extLst>
              <c:ext xmlns:c16="http://schemas.microsoft.com/office/drawing/2014/chart" uri="{C3380CC4-5D6E-409C-BE32-E72D297353CC}">
                <c16:uniqueId val="{00000018-FDC7-4005-BBCA-00CE0AC30D39}"/>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Outputs!$V$3:$V$37</c:f>
              <c:numCache>
                <c:formatCode>_(* #,##0_);_(* \(#,##0\);_(* "-"??_);_(@_)</c:formatCode>
                <c:ptCount val="35"/>
                <c:pt idx="0">
                  <c:v>2847837</c:v>
                </c:pt>
                <c:pt idx="1">
                  <c:v>2847837</c:v>
                </c:pt>
                <c:pt idx="2">
                  <c:v>2847837</c:v>
                </c:pt>
                <c:pt idx="3">
                  <c:v>2847837</c:v>
                </c:pt>
                <c:pt idx="4">
                  <c:v>2847837</c:v>
                </c:pt>
                <c:pt idx="5">
                  <c:v>3003417.25</c:v>
                </c:pt>
                <c:pt idx="6">
                  <c:v>3003417.25</c:v>
                </c:pt>
                <c:pt idx="7">
                  <c:v>3003417.25</c:v>
                </c:pt>
                <c:pt idx="8">
                  <c:v>3003417.25</c:v>
                </c:pt>
                <c:pt idx="9">
                  <c:v>2956294</c:v>
                </c:pt>
                <c:pt idx="10">
                  <c:v>3203802.25</c:v>
                </c:pt>
                <c:pt idx="11">
                  <c:v>3203802.25</c:v>
                </c:pt>
                <c:pt idx="12">
                  <c:v>3203802.25</c:v>
                </c:pt>
                <c:pt idx="13">
                  <c:v>3203802.25</c:v>
                </c:pt>
                <c:pt idx="14">
                  <c:v>3108706</c:v>
                </c:pt>
                <c:pt idx="15">
                  <c:v>3432609.75</c:v>
                </c:pt>
                <c:pt idx="16">
                  <c:v>3432609.75</c:v>
                </c:pt>
                <c:pt idx="17">
                  <c:v>3432609.75</c:v>
                </c:pt>
                <c:pt idx="18">
                  <c:v>3432609.75</c:v>
                </c:pt>
                <c:pt idx="19">
                  <c:v>3317936</c:v>
                </c:pt>
                <c:pt idx="20">
                  <c:v>3706933.75</c:v>
                </c:pt>
                <c:pt idx="21">
                  <c:v>3708865</c:v>
                </c:pt>
                <c:pt idx="22">
                  <c:v>3677577</c:v>
                </c:pt>
                <c:pt idx="23">
                  <c:v>3726313.25</c:v>
                </c:pt>
                <c:pt idx="24">
                  <c:v>3632103</c:v>
                </c:pt>
                <c:pt idx="25">
                  <c:v>4042995</c:v>
                </c:pt>
                <c:pt idx="26">
                  <c:v>3999428.25</c:v>
                </c:pt>
                <c:pt idx="27">
                  <c:v>3832326.5</c:v>
                </c:pt>
                <c:pt idx="28">
                  <c:v>4133711.75</c:v>
                </c:pt>
                <c:pt idx="29">
                  <c:v>4116887</c:v>
                </c:pt>
                <c:pt idx="30">
                  <c:v>4221335</c:v>
                </c:pt>
                <c:pt idx="31">
                  <c:v>4102017.75</c:v>
                </c:pt>
                <c:pt idx="32">
                  <c:v>3770954.5</c:v>
                </c:pt>
                <c:pt idx="33">
                  <c:v>4440103</c:v>
                </c:pt>
                <c:pt idx="34">
                  <c:v>0</c:v>
                </c:pt>
              </c:numCache>
            </c:numRef>
          </c:val>
          <c:extLst>
            <c:ext xmlns:c16="http://schemas.microsoft.com/office/drawing/2014/chart" uri="{C3380CC4-5D6E-409C-BE32-E72D297353CC}">
              <c16:uniqueId val="{00000019-FDC7-4005-BBCA-00CE0AC30D39}"/>
            </c:ext>
          </c:extLst>
        </c:ser>
        <c:ser>
          <c:idx val="2"/>
          <c:order val="2"/>
          <c:tx>
            <c:strRef>
              <c:f>Outputs!$W$2</c:f>
              <c:strCache>
                <c:ptCount val="1"/>
                <c:pt idx="0">
                  <c:v>Upper Income</c:v>
                </c:pt>
              </c:strCache>
            </c:strRef>
          </c:tx>
          <c:spPr>
            <a:solidFill>
              <a:schemeClr val="accent3"/>
            </a:solidFill>
            <a:ln>
              <a:noFill/>
            </a:ln>
            <a:effectLst/>
          </c:spPr>
          <c:invertIfNegative val="0"/>
          <c:dPt>
            <c:idx val="4"/>
            <c:invertIfNegative val="0"/>
            <c:bubble3D val="0"/>
            <c:spPr>
              <a:solidFill>
                <a:srgbClr val="C00000"/>
              </a:solidFill>
              <a:ln>
                <a:noFill/>
              </a:ln>
              <a:effectLst/>
            </c:spPr>
            <c:extLst>
              <c:ext xmlns:c16="http://schemas.microsoft.com/office/drawing/2014/chart" uri="{C3380CC4-5D6E-409C-BE32-E72D297353CC}">
                <c16:uniqueId val="{0000001B-FDC7-4005-BBCA-00CE0AC30D39}"/>
              </c:ext>
            </c:extLst>
          </c:dPt>
          <c:dPt>
            <c:idx val="9"/>
            <c:invertIfNegative val="0"/>
            <c:bubble3D val="0"/>
            <c:spPr>
              <a:solidFill>
                <a:srgbClr val="C00000"/>
              </a:solidFill>
              <a:ln>
                <a:noFill/>
              </a:ln>
              <a:effectLst/>
            </c:spPr>
            <c:extLst>
              <c:ext xmlns:c16="http://schemas.microsoft.com/office/drawing/2014/chart" uri="{C3380CC4-5D6E-409C-BE32-E72D297353CC}">
                <c16:uniqueId val="{0000001D-FDC7-4005-BBCA-00CE0AC30D39}"/>
              </c:ext>
            </c:extLst>
          </c:dPt>
          <c:dPt>
            <c:idx val="14"/>
            <c:invertIfNegative val="0"/>
            <c:bubble3D val="0"/>
            <c:spPr>
              <a:solidFill>
                <a:srgbClr val="C00000"/>
              </a:solidFill>
              <a:ln>
                <a:noFill/>
              </a:ln>
              <a:effectLst/>
            </c:spPr>
            <c:extLst>
              <c:ext xmlns:c16="http://schemas.microsoft.com/office/drawing/2014/chart" uri="{C3380CC4-5D6E-409C-BE32-E72D297353CC}">
                <c16:uniqueId val="{0000001F-FDC7-4005-BBCA-00CE0AC30D39}"/>
              </c:ext>
            </c:extLst>
          </c:dPt>
          <c:dPt>
            <c:idx val="19"/>
            <c:invertIfNegative val="0"/>
            <c:bubble3D val="0"/>
            <c:spPr>
              <a:solidFill>
                <a:srgbClr val="C00000"/>
              </a:solidFill>
              <a:ln>
                <a:noFill/>
              </a:ln>
              <a:effectLst/>
            </c:spPr>
            <c:extLst>
              <c:ext xmlns:c16="http://schemas.microsoft.com/office/drawing/2014/chart" uri="{C3380CC4-5D6E-409C-BE32-E72D297353CC}">
                <c16:uniqueId val="{00000021-FDC7-4005-BBCA-00CE0AC30D39}"/>
              </c:ext>
            </c:extLst>
          </c:dPt>
          <c:dPt>
            <c:idx val="24"/>
            <c:invertIfNegative val="0"/>
            <c:bubble3D val="0"/>
            <c:spPr>
              <a:solidFill>
                <a:srgbClr val="C00000"/>
              </a:solidFill>
              <a:ln>
                <a:noFill/>
              </a:ln>
              <a:effectLst/>
            </c:spPr>
            <c:extLst>
              <c:ext xmlns:c16="http://schemas.microsoft.com/office/drawing/2014/chart" uri="{C3380CC4-5D6E-409C-BE32-E72D297353CC}">
                <c16:uniqueId val="{00000023-FDC7-4005-BBCA-00CE0AC30D39}"/>
              </c:ext>
            </c:extLst>
          </c:dPt>
          <c:dPt>
            <c:idx val="29"/>
            <c:invertIfNegative val="0"/>
            <c:bubble3D val="0"/>
            <c:spPr>
              <a:solidFill>
                <a:srgbClr val="C00000"/>
              </a:solidFill>
              <a:ln>
                <a:noFill/>
              </a:ln>
              <a:effectLst/>
            </c:spPr>
            <c:extLst>
              <c:ext xmlns:c16="http://schemas.microsoft.com/office/drawing/2014/chart" uri="{C3380CC4-5D6E-409C-BE32-E72D297353CC}">
                <c16:uniqueId val="{00000025-FDC7-4005-BBCA-00CE0AC30D39}"/>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Outputs!$W$3:$W$37</c:f>
              <c:numCache>
                <c:formatCode>_(* #,##0_);_(* \(#,##0\);_(* "-"??_);_(@_)</c:formatCode>
                <c:ptCount val="35"/>
                <c:pt idx="0">
                  <c:v>1469099.88</c:v>
                </c:pt>
                <c:pt idx="1">
                  <c:v>1469099.88</c:v>
                </c:pt>
                <c:pt idx="2">
                  <c:v>1469099.88</c:v>
                </c:pt>
                <c:pt idx="3">
                  <c:v>1469099.88</c:v>
                </c:pt>
                <c:pt idx="4">
                  <c:v>1469099.88</c:v>
                </c:pt>
                <c:pt idx="5">
                  <c:v>1552352.88</c:v>
                </c:pt>
                <c:pt idx="6">
                  <c:v>1552352.88</c:v>
                </c:pt>
                <c:pt idx="7">
                  <c:v>1552352.88</c:v>
                </c:pt>
                <c:pt idx="8">
                  <c:v>1552352.88</c:v>
                </c:pt>
                <c:pt idx="9">
                  <c:v>1518408</c:v>
                </c:pt>
                <c:pt idx="10">
                  <c:v>1660216.25</c:v>
                </c:pt>
                <c:pt idx="11">
                  <c:v>1660216.25</c:v>
                </c:pt>
                <c:pt idx="12">
                  <c:v>1660216.25</c:v>
                </c:pt>
                <c:pt idx="13">
                  <c:v>1660216.25</c:v>
                </c:pt>
                <c:pt idx="14">
                  <c:v>1594491</c:v>
                </c:pt>
                <c:pt idx="15">
                  <c:v>1782187.25</c:v>
                </c:pt>
                <c:pt idx="16">
                  <c:v>1782187.25</c:v>
                </c:pt>
                <c:pt idx="17">
                  <c:v>1782187.25</c:v>
                </c:pt>
                <c:pt idx="18">
                  <c:v>1782187.25</c:v>
                </c:pt>
                <c:pt idx="19">
                  <c:v>1707833</c:v>
                </c:pt>
                <c:pt idx="20">
                  <c:v>1938591.88</c:v>
                </c:pt>
                <c:pt idx="21">
                  <c:v>1955601.13</c:v>
                </c:pt>
                <c:pt idx="22">
                  <c:v>1913262</c:v>
                </c:pt>
                <c:pt idx="23">
                  <c:v>1923863.75</c:v>
                </c:pt>
                <c:pt idx="24">
                  <c:v>1870119</c:v>
                </c:pt>
                <c:pt idx="25">
                  <c:v>2149350.75</c:v>
                </c:pt>
                <c:pt idx="26">
                  <c:v>2259849.5</c:v>
                </c:pt>
                <c:pt idx="27">
                  <c:v>1983321</c:v>
                </c:pt>
                <c:pt idx="28">
                  <c:v>2049012.75</c:v>
                </c:pt>
                <c:pt idx="29">
                  <c:v>2123783</c:v>
                </c:pt>
                <c:pt idx="30">
                  <c:v>2310767.25</c:v>
                </c:pt>
                <c:pt idx="31">
                  <c:v>2555195.5</c:v>
                </c:pt>
                <c:pt idx="32">
                  <c:v>1915158.13</c:v>
                </c:pt>
                <c:pt idx="33">
                  <c:v>2061338.38</c:v>
                </c:pt>
                <c:pt idx="34">
                  <c:v>0</c:v>
                </c:pt>
              </c:numCache>
            </c:numRef>
          </c:val>
          <c:extLst>
            <c:ext xmlns:c16="http://schemas.microsoft.com/office/drawing/2014/chart" uri="{C3380CC4-5D6E-409C-BE32-E72D297353CC}">
              <c16:uniqueId val="{00000026-FDC7-4005-BBCA-00CE0AC30D39}"/>
            </c:ext>
          </c:extLst>
        </c:ser>
        <c:dLbls>
          <c:showLegendKey val="0"/>
          <c:showVal val="0"/>
          <c:showCatName val="0"/>
          <c:showSerName val="0"/>
          <c:showPercent val="0"/>
          <c:showBubbleSize val="0"/>
        </c:dLbls>
        <c:gapWidth val="40"/>
        <c:overlap val="100"/>
        <c:axId val="-177305760"/>
        <c:axId val="-177308480"/>
      </c:barChart>
      <c:catAx>
        <c:axId val="-1773057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308480"/>
        <c:crosses val="autoZero"/>
        <c:auto val="1"/>
        <c:lblAlgn val="ctr"/>
        <c:lblOffset val="100"/>
        <c:noMultiLvlLbl val="0"/>
      </c:catAx>
      <c:valAx>
        <c:axId val="-177308480"/>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305760"/>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Population</a:t>
            </a:r>
            <a:r>
              <a:rPr lang="en-US" baseline="0"/>
              <a:t> by Workforce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Outputs!$X$2</c:f>
              <c:strCache>
                <c:ptCount val="1"/>
                <c:pt idx="0">
                  <c:v>In Workforce</c:v>
                </c:pt>
              </c:strCache>
            </c:strRef>
          </c:tx>
          <c:spPr>
            <a:solidFill>
              <a:schemeClr val="accent1"/>
            </a:solidFill>
            <a:ln>
              <a:noFill/>
            </a:ln>
            <a:effectLst/>
          </c:spPr>
          <c:invertIfNegative val="0"/>
          <c:dPt>
            <c:idx val="4"/>
            <c:invertIfNegative val="0"/>
            <c:bubble3D val="0"/>
            <c:spPr>
              <a:solidFill>
                <a:srgbClr val="FFC000"/>
              </a:solidFill>
              <a:ln>
                <a:noFill/>
              </a:ln>
              <a:effectLst/>
            </c:spPr>
            <c:extLst>
              <c:ext xmlns:c16="http://schemas.microsoft.com/office/drawing/2014/chart" uri="{C3380CC4-5D6E-409C-BE32-E72D297353CC}">
                <c16:uniqueId val="{00000001-9D01-4E0D-AAAA-C42FD27433E1}"/>
              </c:ext>
            </c:extLst>
          </c:dPt>
          <c:dPt>
            <c:idx val="9"/>
            <c:invertIfNegative val="0"/>
            <c:bubble3D val="0"/>
            <c:spPr>
              <a:solidFill>
                <a:srgbClr val="FFC000"/>
              </a:solidFill>
              <a:ln>
                <a:noFill/>
              </a:ln>
              <a:effectLst/>
            </c:spPr>
            <c:extLst>
              <c:ext xmlns:c16="http://schemas.microsoft.com/office/drawing/2014/chart" uri="{C3380CC4-5D6E-409C-BE32-E72D297353CC}">
                <c16:uniqueId val="{00000003-9D01-4E0D-AAAA-C42FD27433E1}"/>
              </c:ext>
            </c:extLst>
          </c:dPt>
          <c:dPt>
            <c:idx val="14"/>
            <c:invertIfNegative val="0"/>
            <c:bubble3D val="0"/>
            <c:spPr>
              <a:solidFill>
                <a:srgbClr val="FFC000"/>
              </a:solidFill>
              <a:ln>
                <a:noFill/>
              </a:ln>
              <a:effectLst/>
            </c:spPr>
            <c:extLst>
              <c:ext xmlns:c16="http://schemas.microsoft.com/office/drawing/2014/chart" uri="{C3380CC4-5D6E-409C-BE32-E72D297353CC}">
                <c16:uniqueId val="{00000005-9D01-4E0D-AAAA-C42FD27433E1}"/>
              </c:ext>
            </c:extLst>
          </c:dPt>
          <c:dPt>
            <c:idx val="19"/>
            <c:invertIfNegative val="0"/>
            <c:bubble3D val="0"/>
            <c:spPr>
              <a:solidFill>
                <a:srgbClr val="FFC000"/>
              </a:solidFill>
              <a:ln>
                <a:noFill/>
              </a:ln>
              <a:effectLst/>
            </c:spPr>
            <c:extLst>
              <c:ext xmlns:c16="http://schemas.microsoft.com/office/drawing/2014/chart" uri="{C3380CC4-5D6E-409C-BE32-E72D297353CC}">
                <c16:uniqueId val="{00000007-9D01-4E0D-AAAA-C42FD27433E1}"/>
              </c:ext>
            </c:extLst>
          </c:dPt>
          <c:dPt>
            <c:idx val="24"/>
            <c:invertIfNegative val="0"/>
            <c:bubble3D val="0"/>
            <c:spPr>
              <a:solidFill>
                <a:srgbClr val="FFC000"/>
              </a:solidFill>
              <a:ln>
                <a:noFill/>
              </a:ln>
              <a:effectLst/>
            </c:spPr>
            <c:extLst>
              <c:ext xmlns:c16="http://schemas.microsoft.com/office/drawing/2014/chart" uri="{C3380CC4-5D6E-409C-BE32-E72D297353CC}">
                <c16:uniqueId val="{00000009-9D01-4E0D-AAAA-C42FD27433E1}"/>
              </c:ext>
            </c:extLst>
          </c:dPt>
          <c:dPt>
            <c:idx val="29"/>
            <c:invertIfNegative val="0"/>
            <c:bubble3D val="0"/>
            <c:spPr>
              <a:solidFill>
                <a:srgbClr val="FFC000"/>
              </a:solidFill>
              <a:ln>
                <a:noFill/>
              </a:ln>
              <a:effectLst/>
            </c:spPr>
            <c:extLst>
              <c:ext xmlns:c16="http://schemas.microsoft.com/office/drawing/2014/chart" uri="{C3380CC4-5D6E-409C-BE32-E72D297353CC}">
                <c16:uniqueId val="{0000000B-9D01-4E0D-AAAA-C42FD27433E1}"/>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Outputs!$X$3:$X$37</c:f>
              <c:numCache>
                <c:formatCode>_(* #,##0_);_(* \(#,##0\);_(* "-"??_);_(@_)</c:formatCode>
                <c:ptCount val="35"/>
                <c:pt idx="0">
                  <c:v>2923941.5</c:v>
                </c:pt>
                <c:pt idx="1">
                  <c:v>2923941.5</c:v>
                </c:pt>
                <c:pt idx="2">
                  <c:v>2923941.5</c:v>
                </c:pt>
                <c:pt idx="3">
                  <c:v>2923941.5</c:v>
                </c:pt>
                <c:pt idx="4">
                  <c:v>2923941.5</c:v>
                </c:pt>
                <c:pt idx="5">
                  <c:v>3063293.25</c:v>
                </c:pt>
                <c:pt idx="6">
                  <c:v>3063293.25</c:v>
                </c:pt>
                <c:pt idx="7">
                  <c:v>3063293.25</c:v>
                </c:pt>
                <c:pt idx="8">
                  <c:v>3063293.25</c:v>
                </c:pt>
                <c:pt idx="9">
                  <c:v>2944337</c:v>
                </c:pt>
                <c:pt idx="10">
                  <c:v>3225541</c:v>
                </c:pt>
                <c:pt idx="11">
                  <c:v>3225541</c:v>
                </c:pt>
                <c:pt idx="12">
                  <c:v>3225541</c:v>
                </c:pt>
                <c:pt idx="13">
                  <c:v>3225541</c:v>
                </c:pt>
                <c:pt idx="14">
                  <c:v>3089249</c:v>
                </c:pt>
                <c:pt idx="15">
                  <c:v>3388204.5</c:v>
                </c:pt>
                <c:pt idx="16">
                  <c:v>3388204.5</c:v>
                </c:pt>
                <c:pt idx="17">
                  <c:v>3388204.5</c:v>
                </c:pt>
                <c:pt idx="18">
                  <c:v>3388204.5</c:v>
                </c:pt>
                <c:pt idx="19">
                  <c:v>3244289</c:v>
                </c:pt>
                <c:pt idx="20">
                  <c:v>3572346</c:v>
                </c:pt>
                <c:pt idx="21">
                  <c:v>3603372.5</c:v>
                </c:pt>
                <c:pt idx="22">
                  <c:v>3543368.5</c:v>
                </c:pt>
                <c:pt idx="23">
                  <c:v>3573530</c:v>
                </c:pt>
                <c:pt idx="24">
                  <c:v>3472478</c:v>
                </c:pt>
                <c:pt idx="25">
                  <c:v>3802521</c:v>
                </c:pt>
                <c:pt idx="26">
                  <c:v>3965732.75</c:v>
                </c:pt>
                <c:pt idx="27">
                  <c:v>3662272.75</c:v>
                </c:pt>
                <c:pt idx="28">
                  <c:v>3787163.5</c:v>
                </c:pt>
                <c:pt idx="29">
                  <c:v>3796780</c:v>
                </c:pt>
                <c:pt idx="30">
                  <c:v>3953088.75</c:v>
                </c:pt>
                <c:pt idx="31">
                  <c:v>4309654</c:v>
                </c:pt>
                <c:pt idx="32">
                  <c:v>3662009</c:v>
                </c:pt>
                <c:pt idx="33">
                  <c:v>3896823</c:v>
                </c:pt>
                <c:pt idx="34">
                  <c:v>0</c:v>
                </c:pt>
              </c:numCache>
            </c:numRef>
          </c:val>
          <c:extLst>
            <c:ext xmlns:c16="http://schemas.microsoft.com/office/drawing/2014/chart" uri="{C3380CC4-5D6E-409C-BE32-E72D297353CC}">
              <c16:uniqueId val="{0000000C-9D01-4E0D-AAAA-C42FD27433E1}"/>
            </c:ext>
          </c:extLst>
        </c:ser>
        <c:ser>
          <c:idx val="1"/>
          <c:order val="1"/>
          <c:tx>
            <c:strRef>
              <c:f>Outputs!$Y$2</c:f>
              <c:strCache>
                <c:ptCount val="1"/>
                <c:pt idx="0">
                  <c:v>Not in Workforce</c:v>
                </c:pt>
              </c:strCache>
            </c:strRef>
          </c:tx>
          <c:spPr>
            <a:solidFill>
              <a:schemeClr val="accent2"/>
            </a:solidFill>
            <a:ln>
              <a:noFill/>
            </a:ln>
            <a:effectLst/>
          </c:spPr>
          <c:invertIfNegative val="0"/>
          <c:dPt>
            <c:idx val="4"/>
            <c:invertIfNegative val="0"/>
            <c:bubble3D val="0"/>
            <c:spPr>
              <a:solidFill>
                <a:srgbClr val="92D050"/>
              </a:solidFill>
              <a:ln>
                <a:noFill/>
              </a:ln>
              <a:effectLst/>
            </c:spPr>
            <c:extLst>
              <c:ext xmlns:c16="http://schemas.microsoft.com/office/drawing/2014/chart" uri="{C3380CC4-5D6E-409C-BE32-E72D297353CC}">
                <c16:uniqueId val="{0000000E-9D01-4E0D-AAAA-C42FD27433E1}"/>
              </c:ext>
            </c:extLst>
          </c:dPt>
          <c:dPt>
            <c:idx val="9"/>
            <c:invertIfNegative val="0"/>
            <c:bubble3D val="0"/>
            <c:spPr>
              <a:solidFill>
                <a:srgbClr val="92D050"/>
              </a:solidFill>
              <a:ln>
                <a:noFill/>
              </a:ln>
              <a:effectLst/>
            </c:spPr>
            <c:extLst>
              <c:ext xmlns:c16="http://schemas.microsoft.com/office/drawing/2014/chart" uri="{C3380CC4-5D6E-409C-BE32-E72D297353CC}">
                <c16:uniqueId val="{00000010-9D01-4E0D-AAAA-C42FD27433E1}"/>
              </c:ext>
            </c:extLst>
          </c:dPt>
          <c:dPt>
            <c:idx val="14"/>
            <c:invertIfNegative val="0"/>
            <c:bubble3D val="0"/>
            <c:spPr>
              <a:solidFill>
                <a:srgbClr val="92D050"/>
              </a:solidFill>
              <a:ln>
                <a:noFill/>
              </a:ln>
              <a:effectLst/>
            </c:spPr>
            <c:extLst>
              <c:ext xmlns:c16="http://schemas.microsoft.com/office/drawing/2014/chart" uri="{C3380CC4-5D6E-409C-BE32-E72D297353CC}">
                <c16:uniqueId val="{00000012-9D01-4E0D-AAAA-C42FD27433E1}"/>
              </c:ext>
            </c:extLst>
          </c:dPt>
          <c:dPt>
            <c:idx val="19"/>
            <c:invertIfNegative val="0"/>
            <c:bubble3D val="0"/>
            <c:spPr>
              <a:solidFill>
                <a:srgbClr val="92D050"/>
              </a:solidFill>
              <a:ln>
                <a:noFill/>
              </a:ln>
              <a:effectLst/>
            </c:spPr>
            <c:extLst>
              <c:ext xmlns:c16="http://schemas.microsoft.com/office/drawing/2014/chart" uri="{C3380CC4-5D6E-409C-BE32-E72D297353CC}">
                <c16:uniqueId val="{00000014-9D01-4E0D-AAAA-C42FD27433E1}"/>
              </c:ext>
            </c:extLst>
          </c:dPt>
          <c:dPt>
            <c:idx val="24"/>
            <c:invertIfNegative val="0"/>
            <c:bubble3D val="0"/>
            <c:spPr>
              <a:solidFill>
                <a:srgbClr val="92D050"/>
              </a:solidFill>
              <a:ln>
                <a:noFill/>
              </a:ln>
              <a:effectLst/>
            </c:spPr>
            <c:extLst>
              <c:ext xmlns:c16="http://schemas.microsoft.com/office/drawing/2014/chart" uri="{C3380CC4-5D6E-409C-BE32-E72D297353CC}">
                <c16:uniqueId val="{00000016-9D01-4E0D-AAAA-C42FD27433E1}"/>
              </c:ext>
            </c:extLst>
          </c:dPt>
          <c:dPt>
            <c:idx val="29"/>
            <c:invertIfNegative val="0"/>
            <c:bubble3D val="0"/>
            <c:spPr>
              <a:solidFill>
                <a:srgbClr val="92D050"/>
              </a:solidFill>
              <a:ln>
                <a:noFill/>
              </a:ln>
              <a:effectLst/>
            </c:spPr>
            <c:extLst>
              <c:ext xmlns:c16="http://schemas.microsoft.com/office/drawing/2014/chart" uri="{C3380CC4-5D6E-409C-BE32-E72D297353CC}">
                <c16:uniqueId val="{00000018-9D01-4E0D-AAAA-C42FD27433E1}"/>
              </c:ext>
            </c:extLst>
          </c:dPt>
          <c:cat>
            <c:multiLvlStrRef>
              <c:f>Outputs!$C$3:$D$37</c:f>
              <c:multiLvlStrCache>
                <c:ptCount val="35"/>
                <c:lvl>
                  <c:pt idx="0">
                    <c:v>Momentum</c:v>
                  </c:pt>
                  <c:pt idx="1">
                    <c:v>Tech_Triumphs</c:v>
                  </c:pt>
                  <c:pt idx="2">
                    <c:v>Gentle_Footprint</c:v>
                  </c:pt>
                  <c:pt idx="3">
                    <c:v>Global_Chaos</c:v>
                  </c:pt>
                  <c:pt idx="4">
                    <c:v>ABM</c:v>
                  </c:pt>
                  <c:pt idx="5">
                    <c:v>Momentum</c:v>
                  </c:pt>
                  <c:pt idx="6">
                    <c:v>Tech_Triumphs</c:v>
                  </c:pt>
                  <c:pt idx="7">
                    <c:v>Gentle_Footprint</c:v>
                  </c:pt>
                  <c:pt idx="8">
                    <c:v>Global_Chaos</c:v>
                  </c:pt>
                  <c:pt idx="9">
                    <c:v>ABM</c:v>
                  </c:pt>
                  <c:pt idx="10">
                    <c:v>Momentum</c:v>
                  </c:pt>
                  <c:pt idx="11">
                    <c:v>Tech_Triumphs</c:v>
                  </c:pt>
                  <c:pt idx="12">
                    <c:v>Gentle_Footprint</c:v>
                  </c:pt>
                  <c:pt idx="13">
                    <c:v>Global_Chaos</c:v>
                  </c:pt>
                  <c:pt idx="14">
                    <c:v>ABM</c:v>
                  </c:pt>
                  <c:pt idx="15">
                    <c:v>Momentum</c:v>
                  </c:pt>
                  <c:pt idx="16">
                    <c:v>Tech_Triumphs</c:v>
                  </c:pt>
                  <c:pt idx="17">
                    <c:v>Gentle_Footprint</c:v>
                  </c:pt>
                  <c:pt idx="18">
                    <c:v>Global_Chaos</c:v>
                  </c:pt>
                  <c:pt idx="19">
                    <c:v>ABM</c:v>
                  </c:pt>
                  <c:pt idx="20">
                    <c:v>Momentum</c:v>
                  </c:pt>
                  <c:pt idx="21">
                    <c:v>Tech_Triumphs</c:v>
                  </c:pt>
                  <c:pt idx="22">
                    <c:v>Gentle_Footprint</c:v>
                  </c:pt>
                  <c:pt idx="23">
                    <c:v>Global_Chaos</c:v>
                  </c:pt>
                  <c:pt idx="24">
                    <c:v>ABM</c:v>
                  </c:pt>
                  <c:pt idx="25">
                    <c:v>Momentum</c:v>
                  </c:pt>
                  <c:pt idx="26">
                    <c:v>Tech_Triumphs</c:v>
                  </c:pt>
                  <c:pt idx="27">
                    <c:v>Gentle_Footprint</c:v>
                  </c:pt>
                  <c:pt idx="28">
                    <c:v>Global_Chaos</c:v>
                  </c:pt>
                  <c:pt idx="29">
                    <c:v>ABM</c:v>
                  </c:pt>
                  <c:pt idx="30">
                    <c:v>Momentum</c:v>
                  </c:pt>
                  <c:pt idx="31">
                    <c:v>Tech_Triumphs</c:v>
                  </c:pt>
                  <c:pt idx="32">
                    <c:v>Gentle_Footprint</c:v>
                  </c:pt>
                  <c:pt idx="33">
                    <c:v>Global_Chaos</c:v>
                  </c:pt>
                  <c:pt idx="34">
                    <c:v>ABM</c:v>
                  </c:pt>
                </c:lvl>
                <c:lvl>
                  <c:pt idx="0">
                    <c:v>2015</c:v>
                  </c:pt>
                  <c:pt idx="5">
                    <c:v>2017</c:v>
                  </c:pt>
                  <c:pt idx="10">
                    <c:v>2020</c:v>
                  </c:pt>
                  <c:pt idx="15">
                    <c:v>2024</c:v>
                  </c:pt>
                  <c:pt idx="20">
                    <c:v>2030</c:v>
                  </c:pt>
                  <c:pt idx="25">
                    <c:v>2040</c:v>
                  </c:pt>
                  <c:pt idx="30">
                    <c:v>2050</c:v>
                  </c:pt>
                </c:lvl>
              </c:multiLvlStrCache>
            </c:multiLvlStrRef>
          </c:cat>
          <c:val>
            <c:numRef>
              <c:f>Outputs!$Y$3:$Y$37</c:f>
              <c:numCache>
                <c:formatCode>_(* #,##0_);_(* \(#,##0\);_(* "-"??_);_(@_)</c:formatCode>
                <c:ptCount val="35"/>
                <c:pt idx="0">
                  <c:v>2585170.5</c:v>
                </c:pt>
                <c:pt idx="1">
                  <c:v>2585170.5</c:v>
                </c:pt>
                <c:pt idx="2">
                  <c:v>2585170.5</c:v>
                </c:pt>
                <c:pt idx="3">
                  <c:v>2585170.5</c:v>
                </c:pt>
                <c:pt idx="4">
                  <c:v>2585170.5</c:v>
                </c:pt>
                <c:pt idx="5">
                  <c:v>2728285</c:v>
                </c:pt>
                <c:pt idx="6">
                  <c:v>2728285</c:v>
                </c:pt>
                <c:pt idx="7">
                  <c:v>2728285</c:v>
                </c:pt>
                <c:pt idx="8">
                  <c:v>2728285</c:v>
                </c:pt>
                <c:pt idx="9">
                  <c:v>2739358</c:v>
                </c:pt>
                <c:pt idx="10">
                  <c:v>2937626.25</c:v>
                </c:pt>
                <c:pt idx="11">
                  <c:v>2937626.25</c:v>
                </c:pt>
                <c:pt idx="12">
                  <c:v>2937626.25</c:v>
                </c:pt>
                <c:pt idx="13">
                  <c:v>2937626.25</c:v>
                </c:pt>
                <c:pt idx="14">
                  <c:v>2867256</c:v>
                </c:pt>
                <c:pt idx="15">
                  <c:v>3207662.25</c:v>
                </c:pt>
                <c:pt idx="16">
                  <c:v>3207662.25</c:v>
                </c:pt>
                <c:pt idx="17">
                  <c:v>3207662.25</c:v>
                </c:pt>
                <c:pt idx="18">
                  <c:v>3207662.25</c:v>
                </c:pt>
                <c:pt idx="19">
                  <c:v>3115309</c:v>
                </c:pt>
                <c:pt idx="20">
                  <c:v>3582379.75</c:v>
                </c:pt>
                <c:pt idx="21">
                  <c:v>3559497.25</c:v>
                </c:pt>
                <c:pt idx="22">
                  <c:v>3565587.75</c:v>
                </c:pt>
                <c:pt idx="23">
                  <c:v>3582250</c:v>
                </c:pt>
                <c:pt idx="24">
                  <c:v>3488795</c:v>
                </c:pt>
                <c:pt idx="25">
                  <c:v>4114829.75</c:v>
                </c:pt>
                <c:pt idx="26">
                  <c:v>3942784.25</c:v>
                </c:pt>
                <c:pt idx="27">
                  <c:v>3909127</c:v>
                </c:pt>
                <c:pt idx="28">
                  <c:v>4105585</c:v>
                </c:pt>
                <c:pt idx="29">
                  <c:v>4140786</c:v>
                </c:pt>
                <c:pt idx="30">
                  <c:v>4508570</c:v>
                </c:pt>
                <c:pt idx="31">
                  <c:v>4063192.75</c:v>
                </c:pt>
                <c:pt idx="32">
                  <c:v>3922498.5</c:v>
                </c:pt>
                <c:pt idx="33">
                  <c:v>4505030.5</c:v>
                </c:pt>
                <c:pt idx="34">
                  <c:v>0</c:v>
                </c:pt>
              </c:numCache>
            </c:numRef>
          </c:val>
          <c:extLst>
            <c:ext xmlns:c16="http://schemas.microsoft.com/office/drawing/2014/chart" uri="{C3380CC4-5D6E-409C-BE32-E72D297353CC}">
              <c16:uniqueId val="{00000019-9D01-4E0D-AAAA-C42FD27433E1}"/>
            </c:ext>
          </c:extLst>
        </c:ser>
        <c:dLbls>
          <c:showLegendKey val="0"/>
          <c:showVal val="0"/>
          <c:showCatName val="0"/>
          <c:showSerName val="0"/>
          <c:showPercent val="0"/>
          <c:showBubbleSize val="0"/>
        </c:dLbls>
        <c:gapWidth val="40"/>
        <c:overlap val="100"/>
        <c:axId val="-298977632"/>
        <c:axId val="-299005376"/>
      </c:barChart>
      <c:catAx>
        <c:axId val="-2989776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005376"/>
        <c:crosses val="autoZero"/>
        <c:auto val="1"/>
        <c:lblAlgn val="ctr"/>
        <c:lblOffset val="100"/>
        <c:noMultiLvlLbl val="0"/>
      </c:catAx>
      <c:valAx>
        <c:axId val="-299005376"/>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977632"/>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Total Population - Alt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4"/>
          <c:tx>
            <c:strRef>
              <c:f>Outputs!$D$7</c:f>
              <c:strCache>
                <c:ptCount val="1"/>
                <c:pt idx="0">
                  <c:v>ABM</c:v>
                </c:pt>
              </c:strCache>
            </c:strRef>
          </c:tx>
          <c:spPr>
            <a:solidFill>
              <a:schemeClr val="accent5"/>
            </a:solidFill>
            <a:ln>
              <a:noFill/>
            </a:ln>
            <a:effectLst/>
          </c:spPr>
          <c:invertIfNegative val="0"/>
          <c:val>
            <c:numRef>
              <c:f>[1]ABM!$B$1507:$CX$1507</c:f>
              <c:numCache>
                <c:formatCode>General</c:formatCode>
                <c:ptCount val="101"/>
                <c:pt idx="0">
                  <c:v>5509877</c:v>
                </c:pt>
                <c:pt idx="4">
                  <c:v>5682286</c:v>
                </c:pt>
                <c:pt idx="10">
                  <c:v>5953437</c:v>
                </c:pt>
                <c:pt idx="18">
                  <c:v>6355414</c:v>
                </c:pt>
                <c:pt idx="30">
                  <c:v>6955866</c:v>
                </c:pt>
                <c:pt idx="50">
                  <c:v>7935581</c:v>
                </c:pt>
              </c:numCache>
            </c:numRef>
          </c:val>
          <c:extLst>
            <c:ext xmlns:c16="http://schemas.microsoft.com/office/drawing/2014/chart" uri="{C3380CC4-5D6E-409C-BE32-E72D297353CC}">
              <c16:uniqueId val="{00000000-1A0A-42B6-91EA-BC94CCEFD139}"/>
            </c:ext>
          </c:extLst>
        </c:ser>
        <c:dLbls>
          <c:showLegendKey val="0"/>
          <c:showVal val="0"/>
          <c:showCatName val="0"/>
          <c:showSerName val="0"/>
          <c:showPercent val="0"/>
          <c:showBubbleSize val="0"/>
        </c:dLbls>
        <c:gapWidth val="40"/>
        <c:axId val="-298998848"/>
        <c:axId val="-298993952"/>
      </c:barChart>
      <c:lineChart>
        <c:grouping val="standard"/>
        <c:varyColors val="0"/>
        <c:ser>
          <c:idx val="0"/>
          <c:order val="0"/>
          <c:tx>
            <c:strRef>
              <c:f>Outputs!$D$3</c:f>
              <c:strCache>
                <c:ptCount val="1"/>
                <c:pt idx="0">
                  <c:v>Momentum</c:v>
                </c:pt>
              </c:strCache>
            </c:strRef>
          </c:tx>
          <c:spPr>
            <a:ln w="28575" cap="rnd">
              <a:solidFill>
                <a:schemeClr val="accent1"/>
              </a:solidFill>
              <a:round/>
            </a:ln>
            <a:effectLst/>
          </c:spPr>
          <c:marker>
            <c:symbol val="none"/>
          </c:marker>
          <c:cat>
            <c:numRef>
              <c:f>[1]Momentum!$B$1:$CX$1</c:f>
              <c:numCache>
                <c:formatCode>General</c:formatCode>
                <c:ptCount val="101"/>
                <c:pt idx="0">
                  <c:v>2015</c:v>
                </c:pt>
                <c:pt idx="1">
                  <c:v>2015.5</c:v>
                </c:pt>
                <c:pt idx="2">
                  <c:v>2016</c:v>
                </c:pt>
                <c:pt idx="3">
                  <c:v>2016.5</c:v>
                </c:pt>
                <c:pt idx="4">
                  <c:v>2017</c:v>
                </c:pt>
                <c:pt idx="5">
                  <c:v>2017.5</c:v>
                </c:pt>
                <c:pt idx="6">
                  <c:v>2018</c:v>
                </c:pt>
                <c:pt idx="7">
                  <c:v>2018.5</c:v>
                </c:pt>
                <c:pt idx="8">
                  <c:v>2019</c:v>
                </c:pt>
                <c:pt idx="9">
                  <c:v>2019.5</c:v>
                </c:pt>
                <c:pt idx="10">
                  <c:v>2020</c:v>
                </c:pt>
                <c:pt idx="11">
                  <c:v>2020.5</c:v>
                </c:pt>
                <c:pt idx="12">
                  <c:v>2021</c:v>
                </c:pt>
                <c:pt idx="13">
                  <c:v>2021.5</c:v>
                </c:pt>
                <c:pt idx="14">
                  <c:v>2022</c:v>
                </c:pt>
                <c:pt idx="15">
                  <c:v>2022.5</c:v>
                </c:pt>
                <c:pt idx="16">
                  <c:v>2023</c:v>
                </c:pt>
                <c:pt idx="17">
                  <c:v>2023.5</c:v>
                </c:pt>
                <c:pt idx="18">
                  <c:v>2024</c:v>
                </c:pt>
                <c:pt idx="19">
                  <c:v>2024.5</c:v>
                </c:pt>
                <c:pt idx="20">
                  <c:v>2025</c:v>
                </c:pt>
                <c:pt idx="21">
                  <c:v>2025.5</c:v>
                </c:pt>
                <c:pt idx="22">
                  <c:v>2026</c:v>
                </c:pt>
                <c:pt idx="23">
                  <c:v>2026.5</c:v>
                </c:pt>
                <c:pt idx="24">
                  <c:v>2027</c:v>
                </c:pt>
                <c:pt idx="25">
                  <c:v>2027.5</c:v>
                </c:pt>
                <c:pt idx="26">
                  <c:v>2028</c:v>
                </c:pt>
                <c:pt idx="27">
                  <c:v>2028.5</c:v>
                </c:pt>
                <c:pt idx="28">
                  <c:v>2029</c:v>
                </c:pt>
                <c:pt idx="29">
                  <c:v>2029.5</c:v>
                </c:pt>
                <c:pt idx="30">
                  <c:v>2030</c:v>
                </c:pt>
                <c:pt idx="31">
                  <c:v>2030.5</c:v>
                </c:pt>
                <c:pt idx="32">
                  <c:v>2031</c:v>
                </c:pt>
                <c:pt idx="33">
                  <c:v>2031.5</c:v>
                </c:pt>
                <c:pt idx="34">
                  <c:v>2032</c:v>
                </c:pt>
                <c:pt idx="35">
                  <c:v>2032.5</c:v>
                </c:pt>
                <c:pt idx="36">
                  <c:v>2033</c:v>
                </c:pt>
                <c:pt idx="37">
                  <c:v>2033.5</c:v>
                </c:pt>
                <c:pt idx="38">
                  <c:v>2034</c:v>
                </c:pt>
                <c:pt idx="39">
                  <c:v>2034.5</c:v>
                </c:pt>
                <c:pt idx="40">
                  <c:v>2035</c:v>
                </c:pt>
                <c:pt idx="41">
                  <c:v>2035.5</c:v>
                </c:pt>
                <c:pt idx="42">
                  <c:v>2036</c:v>
                </c:pt>
                <c:pt idx="43">
                  <c:v>2036.5</c:v>
                </c:pt>
                <c:pt idx="44">
                  <c:v>2037</c:v>
                </c:pt>
                <c:pt idx="45">
                  <c:v>2037.5</c:v>
                </c:pt>
                <c:pt idx="46">
                  <c:v>2038</c:v>
                </c:pt>
                <c:pt idx="47">
                  <c:v>2038.5</c:v>
                </c:pt>
                <c:pt idx="48">
                  <c:v>2039</c:v>
                </c:pt>
                <c:pt idx="49">
                  <c:v>2039.5</c:v>
                </c:pt>
                <c:pt idx="50">
                  <c:v>2040</c:v>
                </c:pt>
                <c:pt idx="51">
                  <c:v>2040.5</c:v>
                </c:pt>
                <c:pt idx="52">
                  <c:v>2041</c:v>
                </c:pt>
                <c:pt idx="53">
                  <c:v>2041.5</c:v>
                </c:pt>
                <c:pt idx="54">
                  <c:v>2042</c:v>
                </c:pt>
                <c:pt idx="55">
                  <c:v>2042.5</c:v>
                </c:pt>
                <c:pt idx="56">
                  <c:v>2043</c:v>
                </c:pt>
                <c:pt idx="57">
                  <c:v>2043.5</c:v>
                </c:pt>
                <c:pt idx="58">
                  <c:v>2044</c:v>
                </c:pt>
                <c:pt idx="59">
                  <c:v>2044.5</c:v>
                </c:pt>
                <c:pt idx="60">
                  <c:v>2045</c:v>
                </c:pt>
                <c:pt idx="61">
                  <c:v>2045.5</c:v>
                </c:pt>
                <c:pt idx="62">
                  <c:v>2046</c:v>
                </c:pt>
                <c:pt idx="63">
                  <c:v>2046.5</c:v>
                </c:pt>
                <c:pt idx="64">
                  <c:v>2047</c:v>
                </c:pt>
                <c:pt idx="65">
                  <c:v>2047.5</c:v>
                </c:pt>
                <c:pt idx="66">
                  <c:v>2048</c:v>
                </c:pt>
                <c:pt idx="67">
                  <c:v>2048.5</c:v>
                </c:pt>
                <c:pt idx="68">
                  <c:v>2049</c:v>
                </c:pt>
                <c:pt idx="69">
                  <c:v>2049.5</c:v>
                </c:pt>
                <c:pt idx="70">
                  <c:v>2050</c:v>
                </c:pt>
                <c:pt idx="71">
                  <c:v>2050.5</c:v>
                </c:pt>
                <c:pt idx="72">
                  <c:v>2051</c:v>
                </c:pt>
                <c:pt idx="73">
                  <c:v>2051.5</c:v>
                </c:pt>
                <c:pt idx="74">
                  <c:v>2052</c:v>
                </c:pt>
                <c:pt idx="75">
                  <c:v>2052.5</c:v>
                </c:pt>
                <c:pt idx="76">
                  <c:v>2053</c:v>
                </c:pt>
                <c:pt idx="77">
                  <c:v>2053.5</c:v>
                </c:pt>
                <c:pt idx="78">
                  <c:v>2054</c:v>
                </c:pt>
                <c:pt idx="79">
                  <c:v>2054.5</c:v>
                </c:pt>
                <c:pt idx="80">
                  <c:v>2055</c:v>
                </c:pt>
                <c:pt idx="81">
                  <c:v>2055.5</c:v>
                </c:pt>
                <c:pt idx="82">
                  <c:v>2056</c:v>
                </c:pt>
                <c:pt idx="83">
                  <c:v>2056.5</c:v>
                </c:pt>
                <c:pt idx="84">
                  <c:v>2057</c:v>
                </c:pt>
                <c:pt idx="85">
                  <c:v>2057.5</c:v>
                </c:pt>
                <c:pt idx="86">
                  <c:v>2058</c:v>
                </c:pt>
                <c:pt idx="87">
                  <c:v>2058.5</c:v>
                </c:pt>
                <c:pt idx="88">
                  <c:v>2059</c:v>
                </c:pt>
                <c:pt idx="89">
                  <c:v>2059.5</c:v>
                </c:pt>
                <c:pt idx="90">
                  <c:v>2060</c:v>
                </c:pt>
                <c:pt idx="91">
                  <c:v>2060.5</c:v>
                </c:pt>
                <c:pt idx="92">
                  <c:v>2061</c:v>
                </c:pt>
                <c:pt idx="93">
                  <c:v>2061.5</c:v>
                </c:pt>
                <c:pt idx="94">
                  <c:v>2062</c:v>
                </c:pt>
                <c:pt idx="95">
                  <c:v>2062.5</c:v>
                </c:pt>
                <c:pt idx="96">
                  <c:v>2063</c:v>
                </c:pt>
                <c:pt idx="97">
                  <c:v>2063.5</c:v>
                </c:pt>
                <c:pt idx="98">
                  <c:v>2064</c:v>
                </c:pt>
                <c:pt idx="99">
                  <c:v>2064.5</c:v>
                </c:pt>
                <c:pt idx="100">
                  <c:v>2065</c:v>
                </c:pt>
              </c:numCache>
            </c:numRef>
          </c:cat>
          <c:val>
            <c:numRef>
              <c:f>[1]Momentum!$B$2:$CX$2</c:f>
              <c:numCache>
                <c:formatCode>General</c:formatCode>
                <c:ptCount val="101"/>
                <c:pt idx="0">
                  <c:v>5509111.5</c:v>
                </c:pt>
                <c:pt idx="1">
                  <c:v>5583911.5</c:v>
                </c:pt>
                <c:pt idx="2">
                  <c:v>5655235</c:v>
                </c:pt>
                <c:pt idx="3">
                  <c:v>5724362.5</c:v>
                </c:pt>
                <c:pt idx="4">
                  <c:v>5791579.5</c:v>
                </c:pt>
                <c:pt idx="5">
                  <c:v>5857071</c:v>
                </c:pt>
                <c:pt idx="6">
                  <c:v>5921020</c:v>
                </c:pt>
                <c:pt idx="7">
                  <c:v>5983546.5</c:v>
                </c:pt>
                <c:pt idx="8">
                  <c:v>6044722</c:v>
                </c:pt>
                <c:pt idx="9">
                  <c:v>6104571.5</c:v>
                </c:pt>
                <c:pt idx="10">
                  <c:v>6163170</c:v>
                </c:pt>
                <c:pt idx="11">
                  <c:v>6220590</c:v>
                </c:pt>
                <c:pt idx="12">
                  <c:v>6276925.5</c:v>
                </c:pt>
                <c:pt idx="13">
                  <c:v>6332238.5</c:v>
                </c:pt>
                <c:pt idx="14">
                  <c:v>6386671</c:v>
                </c:pt>
                <c:pt idx="15">
                  <c:v>6440211.5</c:v>
                </c:pt>
                <c:pt idx="16">
                  <c:v>6492903.5</c:v>
                </c:pt>
                <c:pt idx="17">
                  <c:v>6544765.5</c:v>
                </c:pt>
                <c:pt idx="18">
                  <c:v>6595861.5</c:v>
                </c:pt>
                <c:pt idx="19">
                  <c:v>6646241</c:v>
                </c:pt>
                <c:pt idx="20">
                  <c:v>6695936</c:v>
                </c:pt>
                <c:pt idx="21">
                  <c:v>6744844.5</c:v>
                </c:pt>
                <c:pt idx="22">
                  <c:v>6793001</c:v>
                </c:pt>
                <c:pt idx="23">
                  <c:v>6840465</c:v>
                </c:pt>
                <c:pt idx="24">
                  <c:v>6887235.5</c:v>
                </c:pt>
                <c:pt idx="25">
                  <c:v>6933357.5</c:v>
                </c:pt>
                <c:pt idx="26">
                  <c:v>6978852</c:v>
                </c:pt>
                <c:pt idx="27">
                  <c:v>7023711.5</c:v>
                </c:pt>
                <c:pt idx="28">
                  <c:v>7067972</c:v>
                </c:pt>
                <c:pt idx="29">
                  <c:v>7111634</c:v>
                </c:pt>
                <c:pt idx="30">
                  <c:v>7154714</c:v>
                </c:pt>
                <c:pt idx="31">
                  <c:v>7197321.5</c:v>
                </c:pt>
                <c:pt idx="32">
                  <c:v>7239441</c:v>
                </c:pt>
                <c:pt idx="33">
                  <c:v>7281159.5</c:v>
                </c:pt>
                <c:pt idx="34">
                  <c:v>7322466</c:v>
                </c:pt>
                <c:pt idx="35">
                  <c:v>7363347</c:v>
                </c:pt>
                <c:pt idx="36">
                  <c:v>7403813.5</c:v>
                </c:pt>
                <c:pt idx="37">
                  <c:v>7443885.5</c:v>
                </c:pt>
                <c:pt idx="38">
                  <c:v>7483502.5</c:v>
                </c:pt>
                <c:pt idx="39">
                  <c:v>7522474.5</c:v>
                </c:pt>
                <c:pt idx="40">
                  <c:v>7560776.5</c:v>
                </c:pt>
                <c:pt idx="41">
                  <c:v>7598529.5</c:v>
                </c:pt>
                <c:pt idx="42">
                  <c:v>7635862.5</c:v>
                </c:pt>
                <c:pt idx="43">
                  <c:v>7672700</c:v>
                </c:pt>
                <c:pt idx="44">
                  <c:v>7709040.5</c:v>
                </c:pt>
                <c:pt idx="45">
                  <c:v>7744897</c:v>
                </c:pt>
                <c:pt idx="46">
                  <c:v>7780297.5</c:v>
                </c:pt>
                <c:pt idx="47">
                  <c:v>7815241.5</c:v>
                </c:pt>
                <c:pt idx="48">
                  <c:v>7849725</c:v>
                </c:pt>
                <c:pt idx="49">
                  <c:v>7883789</c:v>
                </c:pt>
                <c:pt idx="50">
                  <c:v>7917353</c:v>
                </c:pt>
                <c:pt idx="51">
                  <c:v>7950402.5</c:v>
                </c:pt>
                <c:pt idx="52">
                  <c:v>7982594</c:v>
                </c:pt>
                <c:pt idx="53">
                  <c:v>8014067</c:v>
                </c:pt>
                <c:pt idx="54">
                  <c:v>8044929.5</c:v>
                </c:pt>
                <c:pt idx="55">
                  <c:v>8075142.5</c:v>
                </c:pt>
                <c:pt idx="56">
                  <c:v>8104734</c:v>
                </c:pt>
                <c:pt idx="57">
                  <c:v>8133837.5</c:v>
                </c:pt>
                <c:pt idx="58">
                  <c:v>8162362.5</c:v>
                </c:pt>
                <c:pt idx="59">
                  <c:v>8190399.5</c:v>
                </c:pt>
                <c:pt idx="60">
                  <c:v>8217918</c:v>
                </c:pt>
                <c:pt idx="61">
                  <c:v>8245130.5</c:v>
                </c:pt>
                <c:pt idx="62">
                  <c:v>8271480</c:v>
                </c:pt>
                <c:pt idx="63">
                  <c:v>8297336.5</c:v>
                </c:pt>
                <c:pt idx="64">
                  <c:v>8322671</c:v>
                </c:pt>
                <c:pt idx="65">
                  <c:v>8347113.5</c:v>
                </c:pt>
                <c:pt idx="66">
                  <c:v>8371037</c:v>
                </c:pt>
                <c:pt idx="67">
                  <c:v>8394584</c:v>
                </c:pt>
                <c:pt idx="68">
                  <c:v>8417641</c:v>
                </c:pt>
                <c:pt idx="69">
                  <c:v>8439897</c:v>
                </c:pt>
                <c:pt idx="70">
                  <c:v>8461668</c:v>
                </c:pt>
                <c:pt idx="71">
                  <c:v>8482730</c:v>
                </c:pt>
                <c:pt idx="72">
                  <c:v>8503121</c:v>
                </c:pt>
                <c:pt idx="73">
                  <c:v>8522834</c:v>
                </c:pt>
                <c:pt idx="74">
                  <c:v>8541909</c:v>
                </c:pt>
                <c:pt idx="75">
                  <c:v>8560375</c:v>
                </c:pt>
                <c:pt idx="76">
                  <c:v>8578238</c:v>
                </c:pt>
                <c:pt idx="77">
                  <c:v>8595575</c:v>
                </c:pt>
                <c:pt idx="78">
                  <c:v>8612394</c:v>
                </c:pt>
                <c:pt idx="79">
                  <c:v>8628688</c:v>
                </c:pt>
                <c:pt idx="80">
                  <c:v>8644496</c:v>
                </c:pt>
                <c:pt idx="81">
                  <c:v>8659969</c:v>
                </c:pt>
                <c:pt idx="82">
                  <c:v>8675201</c:v>
                </c:pt>
                <c:pt idx="83">
                  <c:v>8690163</c:v>
                </c:pt>
                <c:pt idx="84">
                  <c:v>8704921</c:v>
                </c:pt>
                <c:pt idx="85">
                  <c:v>8719544</c:v>
                </c:pt>
                <c:pt idx="86">
                  <c:v>8733978</c:v>
                </c:pt>
                <c:pt idx="87">
                  <c:v>8748205</c:v>
                </c:pt>
                <c:pt idx="88">
                  <c:v>8762231</c:v>
                </c:pt>
                <c:pt idx="89">
                  <c:v>8776046</c:v>
                </c:pt>
                <c:pt idx="90">
                  <c:v>8789149</c:v>
                </c:pt>
                <c:pt idx="91">
                  <c:v>8801971</c:v>
                </c:pt>
                <c:pt idx="92">
                  <c:v>8814209</c:v>
                </c:pt>
                <c:pt idx="93">
                  <c:v>8826267</c:v>
                </c:pt>
                <c:pt idx="94">
                  <c:v>8838037</c:v>
                </c:pt>
                <c:pt idx="95">
                  <c:v>8849264</c:v>
                </c:pt>
                <c:pt idx="96">
                  <c:v>8860168</c:v>
                </c:pt>
                <c:pt idx="97">
                  <c:v>8870791</c:v>
                </c:pt>
                <c:pt idx="98">
                  <c:v>8881148</c:v>
                </c:pt>
                <c:pt idx="99">
                  <c:v>8891030</c:v>
                </c:pt>
                <c:pt idx="100">
                  <c:v>8900471</c:v>
                </c:pt>
              </c:numCache>
            </c:numRef>
          </c:val>
          <c:smooth val="0"/>
          <c:extLst>
            <c:ext xmlns:c16="http://schemas.microsoft.com/office/drawing/2014/chart" uri="{C3380CC4-5D6E-409C-BE32-E72D297353CC}">
              <c16:uniqueId val="{00000001-1A0A-42B6-91EA-BC94CCEFD139}"/>
            </c:ext>
          </c:extLst>
        </c:ser>
        <c:ser>
          <c:idx val="1"/>
          <c:order val="1"/>
          <c:tx>
            <c:strRef>
              <c:f>Outputs!$D$4</c:f>
              <c:strCache>
                <c:ptCount val="1"/>
                <c:pt idx="0">
                  <c:v>Tech_Triumphs</c:v>
                </c:pt>
              </c:strCache>
            </c:strRef>
          </c:tx>
          <c:spPr>
            <a:ln w="28575" cap="rnd">
              <a:solidFill>
                <a:schemeClr val="accent2"/>
              </a:solidFill>
              <a:round/>
            </a:ln>
            <a:effectLst/>
          </c:spPr>
          <c:marker>
            <c:symbol val="none"/>
          </c:marker>
          <c:cat>
            <c:numRef>
              <c:f>[1]Momentum!$B$1:$CX$1</c:f>
              <c:numCache>
                <c:formatCode>General</c:formatCode>
                <c:ptCount val="101"/>
                <c:pt idx="0">
                  <c:v>2015</c:v>
                </c:pt>
                <c:pt idx="1">
                  <c:v>2015.5</c:v>
                </c:pt>
                <c:pt idx="2">
                  <c:v>2016</c:v>
                </c:pt>
                <c:pt idx="3">
                  <c:v>2016.5</c:v>
                </c:pt>
                <c:pt idx="4">
                  <c:v>2017</c:v>
                </c:pt>
                <c:pt idx="5">
                  <c:v>2017.5</c:v>
                </c:pt>
                <c:pt idx="6">
                  <c:v>2018</c:v>
                </c:pt>
                <c:pt idx="7">
                  <c:v>2018.5</c:v>
                </c:pt>
                <c:pt idx="8">
                  <c:v>2019</c:v>
                </c:pt>
                <c:pt idx="9">
                  <c:v>2019.5</c:v>
                </c:pt>
                <c:pt idx="10">
                  <c:v>2020</c:v>
                </c:pt>
                <c:pt idx="11">
                  <c:v>2020.5</c:v>
                </c:pt>
                <c:pt idx="12">
                  <c:v>2021</c:v>
                </c:pt>
                <c:pt idx="13">
                  <c:v>2021.5</c:v>
                </c:pt>
                <c:pt idx="14">
                  <c:v>2022</c:v>
                </c:pt>
                <c:pt idx="15">
                  <c:v>2022.5</c:v>
                </c:pt>
                <c:pt idx="16">
                  <c:v>2023</c:v>
                </c:pt>
                <c:pt idx="17">
                  <c:v>2023.5</c:v>
                </c:pt>
                <c:pt idx="18">
                  <c:v>2024</c:v>
                </c:pt>
                <c:pt idx="19">
                  <c:v>2024.5</c:v>
                </c:pt>
                <c:pt idx="20">
                  <c:v>2025</c:v>
                </c:pt>
                <c:pt idx="21">
                  <c:v>2025.5</c:v>
                </c:pt>
                <c:pt idx="22">
                  <c:v>2026</c:v>
                </c:pt>
                <c:pt idx="23">
                  <c:v>2026.5</c:v>
                </c:pt>
                <c:pt idx="24">
                  <c:v>2027</c:v>
                </c:pt>
                <c:pt idx="25">
                  <c:v>2027.5</c:v>
                </c:pt>
                <c:pt idx="26">
                  <c:v>2028</c:v>
                </c:pt>
                <c:pt idx="27">
                  <c:v>2028.5</c:v>
                </c:pt>
                <c:pt idx="28">
                  <c:v>2029</c:v>
                </c:pt>
                <c:pt idx="29">
                  <c:v>2029.5</c:v>
                </c:pt>
                <c:pt idx="30">
                  <c:v>2030</c:v>
                </c:pt>
                <c:pt idx="31">
                  <c:v>2030.5</c:v>
                </c:pt>
                <c:pt idx="32">
                  <c:v>2031</c:v>
                </c:pt>
                <c:pt idx="33">
                  <c:v>2031.5</c:v>
                </c:pt>
                <c:pt idx="34">
                  <c:v>2032</c:v>
                </c:pt>
                <c:pt idx="35">
                  <c:v>2032.5</c:v>
                </c:pt>
                <c:pt idx="36">
                  <c:v>2033</c:v>
                </c:pt>
                <c:pt idx="37">
                  <c:v>2033.5</c:v>
                </c:pt>
                <c:pt idx="38">
                  <c:v>2034</c:v>
                </c:pt>
                <c:pt idx="39">
                  <c:v>2034.5</c:v>
                </c:pt>
                <c:pt idx="40">
                  <c:v>2035</c:v>
                </c:pt>
                <c:pt idx="41">
                  <c:v>2035.5</c:v>
                </c:pt>
                <c:pt idx="42">
                  <c:v>2036</c:v>
                </c:pt>
                <c:pt idx="43">
                  <c:v>2036.5</c:v>
                </c:pt>
                <c:pt idx="44">
                  <c:v>2037</c:v>
                </c:pt>
                <c:pt idx="45">
                  <c:v>2037.5</c:v>
                </c:pt>
                <c:pt idx="46">
                  <c:v>2038</c:v>
                </c:pt>
                <c:pt idx="47">
                  <c:v>2038.5</c:v>
                </c:pt>
                <c:pt idx="48">
                  <c:v>2039</c:v>
                </c:pt>
                <c:pt idx="49">
                  <c:v>2039.5</c:v>
                </c:pt>
                <c:pt idx="50">
                  <c:v>2040</c:v>
                </c:pt>
                <c:pt idx="51">
                  <c:v>2040.5</c:v>
                </c:pt>
                <c:pt idx="52">
                  <c:v>2041</c:v>
                </c:pt>
                <c:pt idx="53">
                  <c:v>2041.5</c:v>
                </c:pt>
                <c:pt idx="54">
                  <c:v>2042</c:v>
                </c:pt>
                <c:pt idx="55">
                  <c:v>2042.5</c:v>
                </c:pt>
                <c:pt idx="56">
                  <c:v>2043</c:v>
                </c:pt>
                <c:pt idx="57">
                  <c:v>2043.5</c:v>
                </c:pt>
                <c:pt idx="58">
                  <c:v>2044</c:v>
                </c:pt>
                <c:pt idx="59">
                  <c:v>2044.5</c:v>
                </c:pt>
                <c:pt idx="60">
                  <c:v>2045</c:v>
                </c:pt>
                <c:pt idx="61">
                  <c:v>2045.5</c:v>
                </c:pt>
                <c:pt idx="62">
                  <c:v>2046</c:v>
                </c:pt>
                <c:pt idx="63">
                  <c:v>2046.5</c:v>
                </c:pt>
                <c:pt idx="64">
                  <c:v>2047</c:v>
                </c:pt>
                <c:pt idx="65">
                  <c:v>2047.5</c:v>
                </c:pt>
                <c:pt idx="66">
                  <c:v>2048</c:v>
                </c:pt>
                <c:pt idx="67">
                  <c:v>2048.5</c:v>
                </c:pt>
                <c:pt idx="68">
                  <c:v>2049</c:v>
                </c:pt>
                <c:pt idx="69">
                  <c:v>2049.5</c:v>
                </c:pt>
                <c:pt idx="70">
                  <c:v>2050</c:v>
                </c:pt>
                <c:pt idx="71">
                  <c:v>2050.5</c:v>
                </c:pt>
                <c:pt idx="72">
                  <c:v>2051</c:v>
                </c:pt>
                <c:pt idx="73">
                  <c:v>2051.5</c:v>
                </c:pt>
                <c:pt idx="74">
                  <c:v>2052</c:v>
                </c:pt>
                <c:pt idx="75">
                  <c:v>2052.5</c:v>
                </c:pt>
                <c:pt idx="76">
                  <c:v>2053</c:v>
                </c:pt>
                <c:pt idx="77">
                  <c:v>2053.5</c:v>
                </c:pt>
                <c:pt idx="78">
                  <c:v>2054</c:v>
                </c:pt>
                <c:pt idx="79">
                  <c:v>2054.5</c:v>
                </c:pt>
                <c:pt idx="80">
                  <c:v>2055</c:v>
                </c:pt>
                <c:pt idx="81">
                  <c:v>2055.5</c:v>
                </c:pt>
                <c:pt idx="82">
                  <c:v>2056</c:v>
                </c:pt>
                <c:pt idx="83">
                  <c:v>2056.5</c:v>
                </c:pt>
                <c:pt idx="84">
                  <c:v>2057</c:v>
                </c:pt>
                <c:pt idx="85">
                  <c:v>2057.5</c:v>
                </c:pt>
                <c:pt idx="86">
                  <c:v>2058</c:v>
                </c:pt>
                <c:pt idx="87">
                  <c:v>2058.5</c:v>
                </c:pt>
                <c:pt idx="88">
                  <c:v>2059</c:v>
                </c:pt>
                <c:pt idx="89">
                  <c:v>2059.5</c:v>
                </c:pt>
                <c:pt idx="90">
                  <c:v>2060</c:v>
                </c:pt>
                <c:pt idx="91">
                  <c:v>2060.5</c:v>
                </c:pt>
                <c:pt idx="92">
                  <c:v>2061</c:v>
                </c:pt>
                <c:pt idx="93">
                  <c:v>2061.5</c:v>
                </c:pt>
                <c:pt idx="94">
                  <c:v>2062</c:v>
                </c:pt>
                <c:pt idx="95">
                  <c:v>2062.5</c:v>
                </c:pt>
                <c:pt idx="96">
                  <c:v>2063</c:v>
                </c:pt>
                <c:pt idx="97">
                  <c:v>2063.5</c:v>
                </c:pt>
                <c:pt idx="98">
                  <c:v>2064</c:v>
                </c:pt>
                <c:pt idx="99">
                  <c:v>2064.5</c:v>
                </c:pt>
                <c:pt idx="100">
                  <c:v>2065</c:v>
                </c:pt>
              </c:numCache>
            </c:numRef>
          </c:cat>
          <c:val>
            <c:numRef>
              <c:f>[1]Tech_Triumphs!$B$2:$CX$2</c:f>
              <c:numCache>
                <c:formatCode>General</c:formatCode>
                <c:ptCount val="101"/>
                <c:pt idx="0">
                  <c:v>5509111.5</c:v>
                </c:pt>
                <c:pt idx="1">
                  <c:v>5583911.5</c:v>
                </c:pt>
                <c:pt idx="2">
                  <c:v>5655235</c:v>
                </c:pt>
                <c:pt idx="3">
                  <c:v>5724362.5</c:v>
                </c:pt>
                <c:pt idx="4">
                  <c:v>5791579.5</c:v>
                </c:pt>
                <c:pt idx="5">
                  <c:v>5857071</c:v>
                </c:pt>
                <c:pt idx="6">
                  <c:v>5921020</c:v>
                </c:pt>
                <c:pt idx="7">
                  <c:v>5983546.5</c:v>
                </c:pt>
                <c:pt idx="8">
                  <c:v>6044722</c:v>
                </c:pt>
                <c:pt idx="9">
                  <c:v>6104571.5</c:v>
                </c:pt>
                <c:pt idx="10">
                  <c:v>6163170</c:v>
                </c:pt>
                <c:pt idx="11">
                  <c:v>6220590</c:v>
                </c:pt>
                <c:pt idx="12">
                  <c:v>6276925.5</c:v>
                </c:pt>
                <c:pt idx="13">
                  <c:v>6332238.5</c:v>
                </c:pt>
                <c:pt idx="14">
                  <c:v>6386671</c:v>
                </c:pt>
                <c:pt idx="15">
                  <c:v>6440211.5</c:v>
                </c:pt>
                <c:pt idx="16">
                  <c:v>6492903.5</c:v>
                </c:pt>
                <c:pt idx="17">
                  <c:v>6544765.5</c:v>
                </c:pt>
                <c:pt idx="18">
                  <c:v>6595861.5</c:v>
                </c:pt>
                <c:pt idx="19">
                  <c:v>6646241</c:v>
                </c:pt>
                <c:pt idx="20">
                  <c:v>6695936</c:v>
                </c:pt>
                <c:pt idx="21">
                  <c:v>6745335.5</c:v>
                </c:pt>
                <c:pt idx="22">
                  <c:v>6794196.5</c:v>
                </c:pt>
                <c:pt idx="23">
                  <c:v>6842526</c:v>
                </c:pt>
                <c:pt idx="24">
                  <c:v>6890160.5</c:v>
                </c:pt>
                <c:pt idx="25">
                  <c:v>6937156</c:v>
                </c:pt>
                <c:pt idx="26">
                  <c:v>6983416</c:v>
                </c:pt>
                <c:pt idx="27">
                  <c:v>7029218.5</c:v>
                </c:pt>
                <c:pt idx="28">
                  <c:v>7074484</c:v>
                </c:pt>
                <c:pt idx="29">
                  <c:v>7119040</c:v>
                </c:pt>
                <c:pt idx="30">
                  <c:v>7162869</c:v>
                </c:pt>
                <c:pt idx="31">
                  <c:v>7205873</c:v>
                </c:pt>
                <c:pt idx="32">
                  <c:v>7248228</c:v>
                </c:pt>
                <c:pt idx="33">
                  <c:v>7290011.5</c:v>
                </c:pt>
                <c:pt idx="34">
                  <c:v>7331203.5</c:v>
                </c:pt>
                <c:pt idx="35">
                  <c:v>7371834.5</c:v>
                </c:pt>
                <c:pt idx="36">
                  <c:v>7411872</c:v>
                </c:pt>
                <c:pt idx="37">
                  <c:v>7451355.5</c:v>
                </c:pt>
                <c:pt idx="38">
                  <c:v>7490286</c:v>
                </c:pt>
                <c:pt idx="39">
                  <c:v>7528695.5</c:v>
                </c:pt>
                <c:pt idx="40">
                  <c:v>7566546</c:v>
                </c:pt>
                <c:pt idx="41">
                  <c:v>7603898</c:v>
                </c:pt>
                <c:pt idx="42">
                  <c:v>7640377.5</c:v>
                </c:pt>
                <c:pt idx="43">
                  <c:v>7676245.5</c:v>
                </c:pt>
                <c:pt idx="44">
                  <c:v>7711351</c:v>
                </c:pt>
                <c:pt idx="45">
                  <c:v>7745921.5</c:v>
                </c:pt>
                <c:pt idx="46">
                  <c:v>7779855</c:v>
                </c:pt>
                <c:pt idx="47">
                  <c:v>7812956.5</c:v>
                </c:pt>
                <c:pt idx="48">
                  <c:v>7845455</c:v>
                </c:pt>
                <c:pt idx="49">
                  <c:v>7877276.5</c:v>
                </c:pt>
                <c:pt idx="50">
                  <c:v>7908509</c:v>
                </c:pt>
                <c:pt idx="51">
                  <c:v>7939060.5</c:v>
                </c:pt>
                <c:pt idx="52">
                  <c:v>7968916.5</c:v>
                </c:pt>
                <c:pt idx="53">
                  <c:v>7997665</c:v>
                </c:pt>
                <c:pt idx="54">
                  <c:v>8025633.5</c:v>
                </c:pt>
                <c:pt idx="55">
                  <c:v>8052848</c:v>
                </c:pt>
                <c:pt idx="56">
                  <c:v>8079386</c:v>
                </c:pt>
                <c:pt idx="57">
                  <c:v>8105238.5</c:v>
                </c:pt>
                <c:pt idx="58">
                  <c:v>8130377.5</c:v>
                </c:pt>
                <c:pt idx="59">
                  <c:v>8154758</c:v>
                </c:pt>
                <c:pt idx="60">
                  <c:v>8178442</c:v>
                </c:pt>
                <c:pt idx="61">
                  <c:v>8201371</c:v>
                </c:pt>
                <c:pt idx="62">
                  <c:v>8223616</c:v>
                </c:pt>
                <c:pt idx="63">
                  <c:v>8245129.5</c:v>
                </c:pt>
                <c:pt idx="64">
                  <c:v>8265927</c:v>
                </c:pt>
                <c:pt idx="65">
                  <c:v>8285968</c:v>
                </c:pt>
                <c:pt idx="66">
                  <c:v>8305033.5</c:v>
                </c:pt>
                <c:pt idx="67">
                  <c:v>8323412.5</c:v>
                </c:pt>
                <c:pt idx="68">
                  <c:v>8340692.5</c:v>
                </c:pt>
                <c:pt idx="69">
                  <c:v>8357146</c:v>
                </c:pt>
                <c:pt idx="70">
                  <c:v>8372838.5</c:v>
                </c:pt>
                <c:pt idx="71">
                  <c:v>8388155</c:v>
                </c:pt>
                <c:pt idx="72">
                  <c:v>8403028</c:v>
                </c:pt>
                <c:pt idx="73">
                  <c:v>8417604</c:v>
                </c:pt>
                <c:pt idx="74">
                  <c:v>8431827</c:v>
                </c:pt>
                <c:pt idx="75">
                  <c:v>8445695</c:v>
                </c:pt>
                <c:pt idx="76">
                  <c:v>8459264</c:v>
                </c:pt>
                <c:pt idx="77">
                  <c:v>8472524</c:v>
                </c:pt>
                <c:pt idx="78">
                  <c:v>8485511</c:v>
                </c:pt>
                <c:pt idx="79">
                  <c:v>8498202</c:v>
                </c:pt>
                <c:pt idx="80">
                  <c:v>8510650</c:v>
                </c:pt>
                <c:pt idx="81">
                  <c:v>8522810</c:v>
                </c:pt>
                <c:pt idx="82">
                  <c:v>8534724</c:v>
                </c:pt>
                <c:pt idx="83">
                  <c:v>8546381</c:v>
                </c:pt>
                <c:pt idx="84">
                  <c:v>8557540</c:v>
                </c:pt>
                <c:pt idx="85">
                  <c:v>8568456</c:v>
                </c:pt>
                <c:pt idx="86">
                  <c:v>8579096</c:v>
                </c:pt>
                <c:pt idx="87">
                  <c:v>8589168</c:v>
                </c:pt>
                <c:pt idx="88">
                  <c:v>8598972</c:v>
                </c:pt>
                <c:pt idx="89">
                  <c:v>8608518</c:v>
                </c:pt>
                <c:pt idx="90">
                  <c:v>8617855</c:v>
                </c:pt>
                <c:pt idx="91">
                  <c:v>8627057</c:v>
                </c:pt>
                <c:pt idx="92">
                  <c:v>8636138</c:v>
                </c:pt>
                <c:pt idx="93">
                  <c:v>8645001</c:v>
                </c:pt>
                <c:pt idx="94">
                  <c:v>8653908</c:v>
                </c:pt>
                <c:pt idx="95">
                  <c:v>8662694</c:v>
                </c:pt>
                <c:pt idx="96">
                  <c:v>8671270</c:v>
                </c:pt>
                <c:pt idx="97">
                  <c:v>8679635</c:v>
                </c:pt>
                <c:pt idx="98">
                  <c:v>8687588</c:v>
                </c:pt>
                <c:pt idx="99">
                  <c:v>8695051</c:v>
                </c:pt>
                <c:pt idx="100">
                  <c:v>8702325</c:v>
                </c:pt>
              </c:numCache>
            </c:numRef>
          </c:val>
          <c:smooth val="0"/>
          <c:extLst>
            <c:ext xmlns:c16="http://schemas.microsoft.com/office/drawing/2014/chart" uri="{C3380CC4-5D6E-409C-BE32-E72D297353CC}">
              <c16:uniqueId val="{00000002-1A0A-42B6-91EA-BC94CCEFD139}"/>
            </c:ext>
          </c:extLst>
        </c:ser>
        <c:ser>
          <c:idx val="2"/>
          <c:order val="2"/>
          <c:tx>
            <c:strRef>
              <c:f>Outputs!$D$5</c:f>
              <c:strCache>
                <c:ptCount val="1"/>
                <c:pt idx="0">
                  <c:v>Gentle_Footprint</c:v>
                </c:pt>
              </c:strCache>
            </c:strRef>
          </c:tx>
          <c:spPr>
            <a:ln w="28575" cap="rnd">
              <a:solidFill>
                <a:schemeClr val="accent3"/>
              </a:solidFill>
              <a:round/>
            </a:ln>
            <a:effectLst/>
          </c:spPr>
          <c:marker>
            <c:symbol val="none"/>
          </c:marker>
          <c:cat>
            <c:numRef>
              <c:f>[1]Momentum!$B$1:$CX$1</c:f>
              <c:numCache>
                <c:formatCode>General</c:formatCode>
                <c:ptCount val="101"/>
                <c:pt idx="0">
                  <c:v>2015</c:v>
                </c:pt>
                <c:pt idx="1">
                  <c:v>2015.5</c:v>
                </c:pt>
                <c:pt idx="2">
                  <c:v>2016</c:v>
                </c:pt>
                <c:pt idx="3">
                  <c:v>2016.5</c:v>
                </c:pt>
                <c:pt idx="4">
                  <c:v>2017</c:v>
                </c:pt>
                <c:pt idx="5">
                  <c:v>2017.5</c:v>
                </c:pt>
                <c:pt idx="6">
                  <c:v>2018</c:v>
                </c:pt>
                <c:pt idx="7">
                  <c:v>2018.5</c:v>
                </c:pt>
                <c:pt idx="8">
                  <c:v>2019</c:v>
                </c:pt>
                <c:pt idx="9">
                  <c:v>2019.5</c:v>
                </c:pt>
                <c:pt idx="10">
                  <c:v>2020</c:v>
                </c:pt>
                <c:pt idx="11">
                  <c:v>2020.5</c:v>
                </c:pt>
                <c:pt idx="12">
                  <c:v>2021</c:v>
                </c:pt>
                <c:pt idx="13">
                  <c:v>2021.5</c:v>
                </c:pt>
                <c:pt idx="14">
                  <c:v>2022</c:v>
                </c:pt>
                <c:pt idx="15">
                  <c:v>2022.5</c:v>
                </c:pt>
                <c:pt idx="16">
                  <c:v>2023</c:v>
                </c:pt>
                <c:pt idx="17">
                  <c:v>2023.5</c:v>
                </c:pt>
                <c:pt idx="18">
                  <c:v>2024</c:v>
                </c:pt>
                <c:pt idx="19">
                  <c:v>2024.5</c:v>
                </c:pt>
                <c:pt idx="20">
                  <c:v>2025</c:v>
                </c:pt>
                <c:pt idx="21">
                  <c:v>2025.5</c:v>
                </c:pt>
                <c:pt idx="22">
                  <c:v>2026</c:v>
                </c:pt>
                <c:pt idx="23">
                  <c:v>2026.5</c:v>
                </c:pt>
                <c:pt idx="24">
                  <c:v>2027</c:v>
                </c:pt>
                <c:pt idx="25">
                  <c:v>2027.5</c:v>
                </c:pt>
                <c:pt idx="26">
                  <c:v>2028</c:v>
                </c:pt>
                <c:pt idx="27">
                  <c:v>2028.5</c:v>
                </c:pt>
                <c:pt idx="28">
                  <c:v>2029</c:v>
                </c:pt>
                <c:pt idx="29">
                  <c:v>2029.5</c:v>
                </c:pt>
                <c:pt idx="30">
                  <c:v>2030</c:v>
                </c:pt>
                <c:pt idx="31">
                  <c:v>2030.5</c:v>
                </c:pt>
                <c:pt idx="32">
                  <c:v>2031</c:v>
                </c:pt>
                <c:pt idx="33">
                  <c:v>2031.5</c:v>
                </c:pt>
                <c:pt idx="34">
                  <c:v>2032</c:v>
                </c:pt>
                <c:pt idx="35">
                  <c:v>2032.5</c:v>
                </c:pt>
                <c:pt idx="36">
                  <c:v>2033</c:v>
                </c:pt>
                <c:pt idx="37">
                  <c:v>2033.5</c:v>
                </c:pt>
                <c:pt idx="38">
                  <c:v>2034</c:v>
                </c:pt>
                <c:pt idx="39">
                  <c:v>2034.5</c:v>
                </c:pt>
                <c:pt idx="40">
                  <c:v>2035</c:v>
                </c:pt>
                <c:pt idx="41">
                  <c:v>2035.5</c:v>
                </c:pt>
                <c:pt idx="42">
                  <c:v>2036</c:v>
                </c:pt>
                <c:pt idx="43">
                  <c:v>2036.5</c:v>
                </c:pt>
                <c:pt idx="44">
                  <c:v>2037</c:v>
                </c:pt>
                <c:pt idx="45">
                  <c:v>2037.5</c:v>
                </c:pt>
                <c:pt idx="46">
                  <c:v>2038</c:v>
                </c:pt>
                <c:pt idx="47">
                  <c:v>2038.5</c:v>
                </c:pt>
                <c:pt idx="48">
                  <c:v>2039</c:v>
                </c:pt>
                <c:pt idx="49">
                  <c:v>2039.5</c:v>
                </c:pt>
                <c:pt idx="50">
                  <c:v>2040</c:v>
                </c:pt>
                <c:pt idx="51">
                  <c:v>2040.5</c:v>
                </c:pt>
                <c:pt idx="52">
                  <c:v>2041</c:v>
                </c:pt>
                <c:pt idx="53">
                  <c:v>2041.5</c:v>
                </c:pt>
                <c:pt idx="54">
                  <c:v>2042</c:v>
                </c:pt>
                <c:pt idx="55">
                  <c:v>2042.5</c:v>
                </c:pt>
                <c:pt idx="56">
                  <c:v>2043</c:v>
                </c:pt>
                <c:pt idx="57">
                  <c:v>2043.5</c:v>
                </c:pt>
                <c:pt idx="58">
                  <c:v>2044</c:v>
                </c:pt>
                <c:pt idx="59">
                  <c:v>2044.5</c:v>
                </c:pt>
                <c:pt idx="60">
                  <c:v>2045</c:v>
                </c:pt>
                <c:pt idx="61">
                  <c:v>2045.5</c:v>
                </c:pt>
                <c:pt idx="62">
                  <c:v>2046</c:v>
                </c:pt>
                <c:pt idx="63">
                  <c:v>2046.5</c:v>
                </c:pt>
                <c:pt idx="64">
                  <c:v>2047</c:v>
                </c:pt>
                <c:pt idx="65">
                  <c:v>2047.5</c:v>
                </c:pt>
                <c:pt idx="66">
                  <c:v>2048</c:v>
                </c:pt>
                <c:pt idx="67">
                  <c:v>2048.5</c:v>
                </c:pt>
                <c:pt idx="68">
                  <c:v>2049</c:v>
                </c:pt>
                <c:pt idx="69">
                  <c:v>2049.5</c:v>
                </c:pt>
                <c:pt idx="70">
                  <c:v>2050</c:v>
                </c:pt>
                <c:pt idx="71">
                  <c:v>2050.5</c:v>
                </c:pt>
                <c:pt idx="72">
                  <c:v>2051</c:v>
                </c:pt>
                <c:pt idx="73">
                  <c:v>2051.5</c:v>
                </c:pt>
                <c:pt idx="74">
                  <c:v>2052</c:v>
                </c:pt>
                <c:pt idx="75">
                  <c:v>2052.5</c:v>
                </c:pt>
                <c:pt idx="76">
                  <c:v>2053</c:v>
                </c:pt>
                <c:pt idx="77">
                  <c:v>2053.5</c:v>
                </c:pt>
                <c:pt idx="78">
                  <c:v>2054</c:v>
                </c:pt>
                <c:pt idx="79">
                  <c:v>2054.5</c:v>
                </c:pt>
                <c:pt idx="80">
                  <c:v>2055</c:v>
                </c:pt>
                <c:pt idx="81">
                  <c:v>2055.5</c:v>
                </c:pt>
                <c:pt idx="82">
                  <c:v>2056</c:v>
                </c:pt>
                <c:pt idx="83">
                  <c:v>2056.5</c:v>
                </c:pt>
                <c:pt idx="84">
                  <c:v>2057</c:v>
                </c:pt>
                <c:pt idx="85">
                  <c:v>2057.5</c:v>
                </c:pt>
                <c:pt idx="86">
                  <c:v>2058</c:v>
                </c:pt>
                <c:pt idx="87">
                  <c:v>2058.5</c:v>
                </c:pt>
                <c:pt idx="88">
                  <c:v>2059</c:v>
                </c:pt>
                <c:pt idx="89">
                  <c:v>2059.5</c:v>
                </c:pt>
                <c:pt idx="90">
                  <c:v>2060</c:v>
                </c:pt>
                <c:pt idx="91">
                  <c:v>2060.5</c:v>
                </c:pt>
                <c:pt idx="92">
                  <c:v>2061</c:v>
                </c:pt>
                <c:pt idx="93">
                  <c:v>2061.5</c:v>
                </c:pt>
                <c:pt idx="94">
                  <c:v>2062</c:v>
                </c:pt>
                <c:pt idx="95">
                  <c:v>2062.5</c:v>
                </c:pt>
                <c:pt idx="96">
                  <c:v>2063</c:v>
                </c:pt>
                <c:pt idx="97">
                  <c:v>2063.5</c:v>
                </c:pt>
                <c:pt idx="98">
                  <c:v>2064</c:v>
                </c:pt>
                <c:pt idx="99">
                  <c:v>2064.5</c:v>
                </c:pt>
                <c:pt idx="100">
                  <c:v>2065</c:v>
                </c:pt>
              </c:numCache>
            </c:numRef>
          </c:cat>
          <c:val>
            <c:numRef>
              <c:f>[1]Gentle_Footprint!$B$2:$CX$2</c:f>
              <c:numCache>
                <c:formatCode>General</c:formatCode>
                <c:ptCount val="101"/>
                <c:pt idx="0">
                  <c:v>5509111.5</c:v>
                </c:pt>
                <c:pt idx="1">
                  <c:v>5583911.5</c:v>
                </c:pt>
                <c:pt idx="2">
                  <c:v>5655235</c:v>
                </c:pt>
                <c:pt idx="3">
                  <c:v>5724362.5</c:v>
                </c:pt>
                <c:pt idx="4">
                  <c:v>5791579.5</c:v>
                </c:pt>
                <c:pt idx="5">
                  <c:v>5857071</c:v>
                </c:pt>
                <c:pt idx="6">
                  <c:v>5921020</c:v>
                </c:pt>
                <c:pt idx="7">
                  <c:v>5983546.5</c:v>
                </c:pt>
                <c:pt idx="8">
                  <c:v>6044722</c:v>
                </c:pt>
                <c:pt idx="9">
                  <c:v>6104571.5</c:v>
                </c:pt>
                <c:pt idx="10">
                  <c:v>6163170</c:v>
                </c:pt>
                <c:pt idx="11">
                  <c:v>6220590</c:v>
                </c:pt>
                <c:pt idx="12">
                  <c:v>6276925.5</c:v>
                </c:pt>
                <c:pt idx="13">
                  <c:v>6332238.5</c:v>
                </c:pt>
                <c:pt idx="14">
                  <c:v>6386671</c:v>
                </c:pt>
                <c:pt idx="15">
                  <c:v>6440211.5</c:v>
                </c:pt>
                <c:pt idx="16">
                  <c:v>6492903.5</c:v>
                </c:pt>
                <c:pt idx="17">
                  <c:v>6544765.5</c:v>
                </c:pt>
                <c:pt idx="18">
                  <c:v>6595861.5</c:v>
                </c:pt>
                <c:pt idx="19">
                  <c:v>6646241</c:v>
                </c:pt>
                <c:pt idx="20">
                  <c:v>6695936</c:v>
                </c:pt>
                <c:pt idx="21">
                  <c:v>6743928.5</c:v>
                </c:pt>
                <c:pt idx="22">
                  <c:v>6790303.5</c:v>
                </c:pt>
                <c:pt idx="23">
                  <c:v>6835160.5</c:v>
                </c:pt>
                <c:pt idx="24">
                  <c:v>6878539.5</c:v>
                </c:pt>
                <c:pt idx="25">
                  <c:v>6920514.5</c:v>
                </c:pt>
                <c:pt idx="26">
                  <c:v>6961080.5</c:v>
                </c:pt>
                <c:pt idx="27">
                  <c:v>7000277.5</c:v>
                </c:pt>
                <c:pt idx="28">
                  <c:v>7037912</c:v>
                </c:pt>
                <c:pt idx="29">
                  <c:v>7074081.5</c:v>
                </c:pt>
                <c:pt idx="30">
                  <c:v>7108960</c:v>
                </c:pt>
                <c:pt idx="31">
                  <c:v>7142866</c:v>
                </c:pt>
                <c:pt idx="32">
                  <c:v>7175477.5</c:v>
                </c:pt>
                <c:pt idx="33">
                  <c:v>7207195.5</c:v>
                </c:pt>
                <c:pt idx="34">
                  <c:v>7237906.5</c:v>
                </c:pt>
                <c:pt idx="35">
                  <c:v>7267597.5</c:v>
                </c:pt>
                <c:pt idx="36">
                  <c:v>7296288</c:v>
                </c:pt>
                <c:pt idx="37">
                  <c:v>7323697.5</c:v>
                </c:pt>
                <c:pt idx="38">
                  <c:v>7350045.5</c:v>
                </c:pt>
                <c:pt idx="39">
                  <c:v>7375364.5</c:v>
                </c:pt>
                <c:pt idx="40">
                  <c:v>7399780</c:v>
                </c:pt>
                <c:pt idx="41">
                  <c:v>7422688.5</c:v>
                </c:pt>
                <c:pt idx="42">
                  <c:v>7444365</c:v>
                </c:pt>
                <c:pt idx="43">
                  <c:v>7464709</c:v>
                </c:pt>
                <c:pt idx="44">
                  <c:v>7483935.5</c:v>
                </c:pt>
                <c:pt idx="45">
                  <c:v>7501930</c:v>
                </c:pt>
                <c:pt idx="46">
                  <c:v>7518441.5</c:v>
                </c:pt>
                <c:pt idx="47">
                  <c:v>7533694</c:v>
                </c:pt>
                <c:pt idx="48">
                  <c:v>7547529</c:v>
                </c:pt>
                <c:pt idx="49">
                  <c:v>7560192</c:v>
                </c:pt>
                <c:pt idx="50">
                  <c:v>7571390.5</c:v>
                </c:pt>
                <c:pt idx="51">
                  <c:v>7581679</c:v>
                </c:pt>
                <c:pt idx="52">
                  <c:v>7590954.5</c:v>
                </c:pt>
                <c:pt idx="53">
                  <c:v>7599359</c:v>
                </c:pt>
                <c:pt idx="54">
                  <c:v>7606509</c:v>
                </c:pt>
                <c:pt idx="55">
                  <c:v>7612729</c:v>
                </c:pt>
                <c:pt idx="56">
                  <c:v>7617904.5</c:v>
                </c:pt>
                <c:pt idx="57">
                  <c:v>7622103.5</c:v>
                </c:pt>
                <c:pt idx="58">
                  <c:v>7625238.5</c:v>
                </c:pt>
                <c:pt idx="59">
                  <c:v>7627106</c:v>
                </c:pt>
                <c:pt idx="60">
                  <c:v>7628036.5</c:v>
                </c:pt>
                <c:pt idx="61">
                  <c:v>7628080.5</c:v>
                </c:pt>
                <c:pt idx="62">
                  <c:v>7627115.5</c:v>
                </c:pt>
                <c:pt idx="63">
                  <c:v>7625112.5</c:v>
                </c:pt>
                <c:pt idx="64">
                  <c:v>7622237.5</c:v>
                </c:pt>
                <c:pt idx="65">
                  <c:v>7618362</c:v>
                </c:pt>
                <c:pt idx="66">
                  <c:v>7613718.5</c:v>
                </c:pt>
                <c:pt idx="67">
                  <c:v>7608109</c:v>
                </c:pt>
                <c:pt idx="68">
                  <c:v>7601161</c:v>
                </c:pt>
                <c:pt idx="69">
                  <c:v>7593302.5</c:v>
                </c:pt>
                <c:pt idx="70">
                  <c:v>7584489</c:v>
                </c:pt>
                <c:pt idx="71">
                  <c:v>7575469</c:v>
                </c:pt>
                <c:pt idx="72">
                  <c:v>7566062</c:v>
                </c:pt>
                <c:pt idx="73">
                  <c:v>7556409</c:v>
                </c:pt>
                <c:pt idx="74">
                  <c:v>7546388</c:v>
                </c:pt>
                <c:pt idx="75">
                  <c:v>7536196.5</c:v>
                </c:pt>
                <c:pt idx="76">
                  <c:v>7525775</c:v>
                </c:pt>
                <c:pt idx="77">
                  <c:v>7515059</c:v>
                </c:pt>
                <c:pt idx="78">
                  <c:v>7504113.5</c:v>
                </c:pt>
                <c:pt idx="79">
                  <c:v>7492912</c:v>
                </c:pt>
                <c:pt idx="80">
                  <c:v>7481435</c:v>
                </c:pt>
                <c:pt idx="81">
                  <c:v>7469682</c:v>
                </c:pt>
                <c:pt idx="82">
                  <c:v>7457241</c:v>
                </c:pt>
                <c:pt idx="83">
                  <c:v>7444402.5</c:v>
                </c:pt>
                <c:pt idx="84">
                  <c:v>7431324.5</c:v>
                </c:pt>
                <c:pt idx="85">
                  <c:v>7417967.5</c:v>
                </c:pt>
                <c:pt idx="86">
                  <c:v>7404229.5</c:v>
                </c:pt>
                <c:pt idx="87">
                  <c:v>7389981.5</c:v>
                </c:pt>
                <c:pt idx="88">
                  <c:v>7375376</c:v>
                </c:pt>
                <c:pt idx="89">
                  <c:v>7360486.5</c:v>
                </c:pt>
                <c:pt idx="90">
                  <c:v>7345416</c:v>
                </c:pt>
                <c:pt idx="91">
                  <c:v>7330138.5</c:v>
                </c:pt>
                <c:pt idx="92">
                  <c:v>7314623</c:v>
                </c:pt>
                <c:pt idx="93">
                  <c:v>7298884</c:v>
                </c:pt>
                <c:pt idx="94">
                  <c:v>7282929.5</c:v>
                </c:pt>
                <c:pt idx="95">
                  <c:v>7266772</c:v>
                </c:pt>
                <c:pt idx="96">
                  <c:v>7250346</c:v>
                </c:pt>
                <c:pt idx="97">
                  <c:v>7233718</c:v>
                </c:pt>
                <c:pt idx="98">
                  <c:v>7216567.5</c:v>
                </c:pt>
                <c:pt idx="99">
                  <c:v>7199207.5</c:v>
                </c:pt>
                <c:pt idx="100">
                  <c:v>7181494.5</c:v>
                </c:pt>
              </c:numCache>
            </c:numRef>
          </c:val>
          <c:smooth val="0"/>
          <c:extLst>
            <c:ext xmlns:c16="http://schemas.microsoft.com/office/drawing/2014/chart" uri="{C3380CC4-5D6E-409C-BE32-E72D297353CC}">
              <c16:uniqueId val="{00000003-1A0A-42B6-91EA-BC94CCEFD139}"/>
            </c:ext>
          </c:extLst>
        </c:ser>
        <c:ser>
          <c:idx val="3"/>
          <c:order val="3"/>
          <c:tx>
            <c:strRef>
              <c:f>Outputs!$D$6</c:f>
              <c:strCache>
                <c:ptCount val="1"/>
                <c:pt idx="0">
                  <c:v>Global_Chaos</c:v>
                </c:pt>
              </c:strCache>
            </c:strRef>
          </c:tx>
          <c:spPr>
            <a:ln w="28575" cap="rnd">
              <a:solidFill>
                <a:schemeClr val="accent4"/>
              </a:solidFill>
              <a:round/>
            </a:ln>
            <a:effectLst/>
          </c:spPr>
          <c:marker>
            <c:symbol val="none"/>
          </c:marker>
          <c:cat>
            <c:numRef>
              <c:f>[1]Momentum!$B$1:$CX$1</c:f>
              <c:numCache>
                <c:formatCode>General</c:formatCode>
                <c:ptCount val="101"/>
                <c:pt idx="0">
                  <c:v>2015</c:v>
                </c:pt>
                <c:pt idx="1">
                  <c:v>2015.5</c:v>
                </c:pt>
                <c:pt idx="2">
                  <c:v>2016</c:v>
                </c:pt>
                <c:pt idx="3">
                  <c:v>2016.5</c:v>
                </c:pt>
                <c:pt idx="4">
                  <c:v>2017</c:v>
                </c:pt>
                <c:pt idx="5">
                  <c:v>2017.5</c:v>
                </c:pt>
                <c:pt idx="6">
                  <c:v>2018</c:v>
                </c:pt>
                <c:pt idx="7">
                  <c:v>2018.5</c:v>
                </c:pt>
                <c:pt idx="8">
                  <c:v>2019</c:v>
                </c:pt>
                <c:pt idx="9">
                  <c:v>2019.5</c:v>
                </c:pt>
                <c:pt idx="10">
                  <c:v>2020</c:v>
                </c:pt>
                <c:pt idx="11">
                  <c:v>2020.5</c:v>
                </c:pt>
                <c:pt idx="12">
                  <c:v>2021</c:v>
                </c:pt>
                <c:pt idx="13">
                  <c:v>2021.5</c:v>
                </c:pt>
                <c:pt idx="14">
                  <c:v>2022</c:v>
                </c:pt>
                <c:pt idx="15">
                  <c:v>2022.5</c:v>
                </c:pt>
                <c:pt idx="16">
                  <c:v>2023</c:v>
                </c:pt>
                <c:pt idx="17">
                  <c:v>2023.5</c:v>
                </c:pt>
                <c:pt idx="18">
                  <c:v>2024</c:v>
                </c:pt>
                <c:pt idx="19">
                  <c:v>2024.5</c:v>
                </c:pt>
                <c:pt idx="20">
                  <c:v>2025</c:v>
                </c:pt>
                <c:pt idx="21">
                  <c:v>2025.5</c:v>
                </c:pt>
                <c:pt idx="22">
                  <c:v>2026</c:v>
                </c:pt>
                <c:pt idx="23">
                  <c:v>2026.5</c:v>
                </c:pt>
                <c:pt idx="24">
                  <c:v>2027</c:v>
                </c:pt>
                <c:pt idx="25">
                  <c:v>2027.5</c:v>
                </c:pt>
                <c:pt idx="26">
                  <c:v>2028</c:v>
                </c:pt>
                <c:pt idx="27">
                  <c:v>2028.5</c:v>
                </c:pt>
                <c:pt idx="28">
                  <c:v>2029</c:v>
                </c:pt>
                <c:pt idx="29">
                  <c:v>2029.5</c:v>
                </c:pt>
                <c:pt idx="30">
                  <c:v>2030</c:v>
                </c:pt>
                <c:pt idx="31">
                  <c:v>2030.5</c:v>
                </c:pt>
                <c:pt idx="32">
                  <c:v>2031</c:v>
                </c:pt>
                <c:pt idx="33">
                  <c:v>2031.5</c:v>
                </c:pt>
                <c:pt idx="34">
                  <c:v>2032</c:v>
                </c:pt>
                <c:pt idx="35">
                  <c:v>2032.5</c:v>
                </c:pt>
                <c:pt idx="36">
                  <c:v>2033</c:v>
                </c:pt>
                <c:pt idx="37">
                  <c:v>2033.5</c:v>
                </c:pt>
                <c:pt idx="38">
                  <c:v>2034</c:v>
                </c:pt>
                <c:pt idx="39">
                  <c:v>2034.5</c:v>
                </c:pt>
                <c:pt idx="40">
                  <c:v>2035</c:v>
                </c:pt>
                <c:pt idx="41">
                  <c:v>2035.5</c:v>
                </c:pt>
                <c:pt idx="42">
                  <c:v>2036</c:v>
                </c:pt>
                <c:pt idx="43">
                  <c:v>2036.5</c:v>
                </c:pt>
                <c:pt idx="44">
                  <c:v>2037</c:v>
                </c:pt>
                <c:pt idx="45">
                  <c:v>2037.5</c:v>
                </c:pt>
                <c:pt idx="46">
                  <c:v>2038</c:v>
                </c:pt>
                <c:pt idx="47">
                  <c:v>2038.5</c:v>
                </c:pt>
                <c:pt idx="48">
                  <c:v>2039</c:v>
                </c:pt>
                <c:pt idx="49">
                  <c:v>2039.5</c:v>
                </c:pt>
                <c:pt idx="50">
                  <c:v>2040</c:v>
                </c:pt>
                <c:pt idx="51">
                  <c:v>2040.5</c:v>
                </c:pt>
                <c:pt idx="52">
                  <c:v>2041</c:v>
                </c:pt>
                <c:pt idx="53">
                  <c:v>2041.5</c:v>
                </c:pt>
                <c:pt idx="54">
                  <c:v>2042</c:v>
                </c:pt>
                <c:pt idx="55">
                  <c:v>2042.5</c:v>
                </c:pt>
                <c:pt idx="56">
                  <c:v>2043</c:v>
                </c:pt>
                <c:pt idx="57">
                  <c:v>2043.5</c:v>
                </c:pt>
                <c:pt idx="58">
                  <c:v>2044</c:v>
                </c:pt>
                <c:pt idx="59">
                  <c:v>2044.5</c:v>
                </c:pt>
                <c:pt idx="60">
                  <c:v>2045</c:v>
                </c:pt>
                <c:pt idx="61">
                  <c:v>2045.5</c:v>
                </c:pt>
                <c:pt idx="62">
                  <c:v>2046</c:v>
                </c:pt>
                <c:pt idx="63">
                  <c:v>2046.5</c:v>
                </c:pt>
                <c:pt idx="64">
                  <c:v>2047</c:v>
                </c:pt>
                <c:pt idx="65">
                  <c:v>2047.5</c:v>
                </c:pt>
                <c:pt idx="66">
                  <c:v>2048</c:v>
                </c:pt>
                <c:pt idx="67">
                  <c:v>2048.5</c:v>
                </c:pt>
                <c:pt idx="68">
                  <c:v>2049</c:v>
                </c:pt>
                <c:pt idx="69">
                  <c:v>2049.5</c:v>
                </c:pt>
                <c:pt idx="70">
                  <c:v>2050</c:v>
                </c:pt>
                <c:pt idx="71">
                  <c:v>2050.5</c:v>
                </c:pt>
                <c:pt idx="72">
                  <c:v>2051</c:v>
                </c:pt>
                <c:pt idx="73">
                  <c:v>2051.5</c:v>
                </c:pt>
                <c:pt idx="74">
                  <c:v>2052</c:v>
                </c:pt>
                <c:pt idx="75">
                  <c:v>2052.5</c:v>
                </c:pt>
                <c:pt idx="76">
                  <c:v>2053</c:v>
                </c:pt>
                <c:pt idx="77">
                  <c:v>2053.5</c:v>
                </c:pt>
                <c:pt idx="78">
                  <c:v>2054</c:v>
                </c:pt>
                <c:pt idx="79">
                  <c:v>2054.5</c:v>
                </c:pt>
                <c:pt idx="80">
                  <c:v>2055</c:v>
                </c:pt>
                <c:pt idx="81">
                  <c:v>2055.5</c:v>
                </c:pt>
                <c:pt idx="82">
                  <c:v>2056</c:v>
                </c:pt>
                <c:pt idx="83">
                  <c:v>2056.5</c:v>
                </c:pt>
                <c:pt idx="84">
                  <c:v>2057</c:v>
                </c:pt>
                <c:pt idx="85">
                  <c:v>2057.5</c:v>
                </c:pt>
                <c:pt idx="86">
                  <c:v>2058</c:v>
                </c:pt>
                <c:pt idx="87">
                  <c:v>2058.5</c:v>
                </c:pt>
                <c:pt idx="88">
                  <c:v>2059</c:v>
                </c:pt>
                <c:pt idx="89">
                  <c:v>2059.5</c:v>
                </c:pt>
                <c:pt idx="90">
                  <c:v>2060</c:v>
                </c:pt>
                <c:pt idx="91">
                  <c:v>2060.5</c:v>
                </c:pt>
                <c:pt idx="92">
                  <c:v>2061</c:v>
                </c:pt>
                <c:pt idx="93">
                  <c:v>2061.5</c:v>
                </c:pt>
                <c:pt idx="94">
                  <c:v>2062</c:v>
                </c:pt>
                <c:pt idx="95">
                  <c:v>2062.5</c:v>
                </c:pt>
                <c:pt idx="96">
                  <c:v>2063</c:v>
                </c:pt>
                <c:pt idx="97">
                  <c:v>2063.5</c:v>
                </c:pt>
                <c:pt idx="98">
                  <c:v>2064</c:v>
                </c:pt>
                <c:pt idx="99">
                  <c:v>2064.5</c:v>
                </c:pt>
                <c:pt idx="100">
                  <c:v>2065</c:v>
                </c:pt>
              </c:numCache>
            </c:numRef>
          </c:cat>
          <c:val>
            <c:numRef>
              <c:f>[1]Global_Chaos!$B$2:$CX$2</c:f>
              <c:numCache>
                <c:formatCode>General</c:formatCode>
                <c:ptCount val="101"/>
                <c:pt idx="0">
                  <c:v>5509111.5</c:v>
                </c:pt>
                <c:pt idx="1">
                  <c:v>5583911.5</c:v>
                </c:pt>
                <c:pt idx="2">
                  <c:v>5655235</c:v>
                </c:pt>
                <c:pt idx="3">
                  <c:v>5724362.5</c:v>
                </c:pt>
                <c:pt idx="4">
                  <c:v>5791579.5</c:v>
                </c:pt>
                <c:pt idx="5">
                  <c:v>5857071</c:v>
                </c:pt>
                <c:pt idx="6">
                  <c:v>5921020</c:v>
                </c:pt>
                <c:pt idx="7">
                  <c:v>5983546.5</c:v>
                </c:pt>
                <c:pt idx="8">
                  <c:v>6044722</c:v>
                </c:pt>
                <c:pt idx="9">
                  <c:v>6104571.5</c:v>
                </c:pt>
                <c:pt idx="10">
                  <c:v>6163170</c:v>
                </c:pt>
                <c:pt idx="11">
                  <c:v>6220590</c:v>
                </c:pt>
                <c:pt idx="12">
                  <c:v>6276925.5</c:v>
                </c:pt>
                <c:pt idx="13">
                  <c:v>6332238.5</c:v>
                </c:pt>
                <c:pt idx="14">
                  <c:v>6386671</c:v>
                </c:pt>
                <c:pt idx="15">
                  <c:v>6440211.5</c:v>
                </c:pt>
                <c:pt idx="16">
                  <c:v>6492903.5</c:v>
                </c:pt>
                <c:pt idx="17">
                  <c:v>6544765.5</c:v>
                </c:pt>
                <c:pt idx="18">
                  <c:v>6595861.5</c:v>
                </c:pt>
                <c:pt idx="19">
                  <c:v>6646241</c:v>
                </c:pt>
                <c:pt idx="20">
                  <c:v>6695936</c:v>
                </c:pt>
                <c:pt idx="21">
                  <c:v>6744812</c:v>
                </c:pt>
                <c:pt idx="22">
                  <c:v>6792930.5</c:v>
                </c:pt>
                <c:pt idx="23">
                  <c:v>6840407.5</c:v>
                </c:pt>
                <c:pt idx="24">
                  <c:v>6887258.5</c:v>
                </c:pt>
                <c:pt idx="25">
                  <c:v>6933496.5</c:v>
                </c:pt>
                <c:pt idx="26">
                  <c:v>6979210.5</c:v>
                </c:pt>
                <c:pt idx="27">
                  <c:v>7024361</c:v>
                </c:pt>
                <c:pt idx="28">
                  <c:v>7068779.5</c:v>
                </c:pt>
                <c:pt idx="29">
                  <c:v>7112531</c:v>
                </c:pt>
                <c:pt idx="30">
                  <c:v>7155796</c:v>
                </c:pt>
                <c:pt idx="31">
                  <c:v>7198450</c:v>
                </c:pt>
                <c:pt idx="32">
                  <c:v>7240271</c:v>
                </c:pt>
                <c:pt idx="33">
                  <c:v>7281579</c:v>
                </c:pt>
                <c:pt idx="34">
                  <c:v>7322302</c:v>
                </c:pt>
                <c:pt idx="35">
                  <c:v>7362464</c:v>
                </c:pt>
                <c:pt idx="36">
                  <c:v>7402040.5</c:v>
                </c:pt>
                <c:pt idx="37">
                  <c:v>7441056</c:v>
                </c:pt>
                <c:pt idx="38">
                  <c:v>7479216.5</c:v>
                </c:pt>
                <c:pt idx="39">
                  <c:v>7516715.5</c:v>
                </c:pt>
                <c:pt idx="40">
                  <c:v>7553706.5</c:v>
                </c:pt>
                <c:pt idx="41">
                  <c:v>7590176</c:v>
                </c:pt>
                <c:pt idx="42">
                  <c:v>7625908</c:v>
                </c:pt>
                <c:pt idx="43">
                  <c:v>7661186.5</c:v>
                </c:pt>
                <c:pt idx="44">
                  <c:v>7695901.5</c:v>
                </c:pt>
                <c:pt idx="45">
                  <c:v>7730141.5</c:v>
                </c:pt>
                <c:pt idx="46">
                  <c:v>7763926</c:v>
                </c:pt>
                <c:pt idx="47">
                  <c:v>7796982</c:v>
                </c:pt>
                <c:pt idx="48">
                  <c:v>7829563</c:v>
                </c:pt>
                <c:pt idx="49">
                  <c:v>7861547.5</c:v>
                </c:pt>
                <c:pt idx="50">
                  <c:v>7892742</c:v>
                </c:pt>
                <c:pt idx="51">
                  <c:v>7923391</c:v>
                </c:pt>
                <c:pt idx="52">
                  <c:v>7953509</c:v>
                </c:pt>
                <c:pt idx="53">
                  <c:v>7983156.5</c:v>
                </c:pt>
                <c:pt idx="54">
                  <c:v>8012277</c:v>
                </c:pt>
                <c:pt idx="55">
                  <c:v>8040764</c:v>
                </c:pt>
                <c:pt idx="56">
                  <c:v>8068791.5</c:v>
                </c:pt>
                <c:pt idx="57">
                  <c:v>8096050</c:v>
                </c:pt>
                <c:pt idx="58">
                  <c:v>8122872</c:v>
                </c:pt>
                <c:pt idx="59">
                  <c:v>8149145</c:v>
                </c:pt>
                <c:pt idx="60">
                  <c:v>8174882.5</c:v>
                </c:pt>
                <c:pt idx="61">
                  <c:v>8200153.5</c:v>
                </c:pt>
                <c:pt idx="62">
                  <c:v>8224689.5</c:v>
                </c:pt>
                <c:pt idx="63">
                  <c:v>8248773</c:v>
                </c:pt>
                <c:pt idx="64">
                  <c:v>8272102.5</c:v>
                </c:pt>
                <c:pt idx="65">
                  <c:v>8295021.5</c:v>
                </c:pt>
                <c:pt idx="66">
                  <c:v>8317428</c:v>
                </c:pt>
                <c:pt idx="67">
                  <c:v>8339393.5</c:v>
                </c:pt>
                <c:pt idx="68">
                  <c:v>8360819</c:v>
                </c:pt>
                <c:pt idx="69">
                  <c:v>8381638</c:v>
                </c:pt>
                <c:pt idx="70">
                  <c:v>8401841</c:v>
                </c:pt>
                <c:pt idx="71">
                  <c:v>8421438</c:v>
                </c:pt>
                <c:pt idx="72">
                  <c:v>8440506</c:v>
                </c:pt>
                <c:pt idx="73">
                  <c:v>8459142</c:v>
                </c:pt>
                <c:pt idx="74">
                  <c:v>8477252</c:v>
                </c:pt>
                <c:pt idx="75">
                  <c:v>8494872</c:v>
                </c:pt>
                <c:pt idx="76">
                  <c:v>8511979</c:v>
                </c:pt>
                <c:pt idx="77">
                  <c:v>8528622</c:v>
                </c:pt>
                <c:pt idx="78">
                  <c:v>8544821</c:v>
                </c:pt>
                <c:pt idx="79">
                  <c:v>8560534</c:v>
                </c:pt>
                <c:pt idx="80">
                  <c:v>8575818</c:v>
                </c:pt>
                <c:pt idx="81">
                  <c:v>8590541</c:v>
                </c:pt>
                <c:pt idx="82">
                  <c:v>8604554</c:v>
                </c:pt>
                <c:pt idx="83">
                  <c:v>8618050</c:v>
                </c:pt>
                <c:pt idx="84">
                  <c:v>8631032</c:v>
                </c:pt>
                <c:pt idx="85">
                  <c:v>8643472</c:v>
                </c:pt>
                <c:pt idx="86">
                  <c:v>8655357</c:v>
                </c:pt>
                <c:pt idx="87">
                  <c:v>8666604</c:v>
                </c:pt>
                <c:pt idx="88">
                  <c:v>8677237</c:v>
                </c:pt>
                <c:pt idx="89">
                  <c:v>8687348</c:v>
                </c:pt>
                <c:pt idx="90">
                  <c:v>8696911</c:v>
                </c:pt>
                <c:pt idx="91">
                  <c:v>8706033</c:v>
                </c:pt>
                <c:pt idx="92">
                  <c:v>8714656</c:v>
                </c:pt>
                <c:pt idx="93">
                  <c:v>8722858</c:v>
                </c:pt>
                <c:pt idx="94">
                  <c:v>8730600</c:v>
                </c:pt>
                <c:pt idx="95">
                  <c:v>8737894</c:v>
                </c:pt>
                <c:pt idx="96">
                  <c:v>8744796</c:v>
                </c:pt>
                <c:pt idx="97">
                  <c:v>8751291</c:v>
                </c:pt>
                <c:pt idx="98">
                  <c:v>8757418</c:v>
                </c:pt>
                <c:pt idx="99">
                  <c:v>8763021</c:v>
                </c:pt>
                <c:pt idx="100">
                  <c:v>8768257</c:v>
                </c:pt>
              </c:numCache>
            </c:numRef>
          </c:val>
          <c:smooth val="0"/>
          <c:extLst>
            <c:ext xmlns:c16="http://schemas.microsoft.com/office/drawing/2014/chart" uri="{C3380CC4-5D6E-409C-BE32-E72D297353CC}">
              <c16:uniqueId val="{00000004-1A0A-42B6-91EA-BC94CCEFD139}"/>
            </c:ext>
          </c:extLst>
        </c:ser>
        <c:dLbls>
          <c:showLegendKey val="0"/>
          <c:showVal val="0"/>
          <c:showCatName val="0"/>
          <c:showSerName val="0"/>
          <c:showPercent val="0"/>
          <c:showBubbleSize val="0"/>
        </c:dLbls>
        <c:marker val="1"/>
        <c:smooth val="0"/>
        <c:axId val="-298989600"/>
        <c:axId val="-298995040"/>
      </c:lineChart>
      <c:catAx>
        <c:axId val="-298989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995040"/>
        <c:crosses val="autoZero"/>
        <c:auto val="1"/>
        <c:lblAlgn val="ctr"/>
        <c:lblOffset val="100"/>
        <c:noMultiLvlLbl val="0"/>
      </c:catAx>
      <c:valAx>
        <c:axId val="-298995040"/>
        <c:scaling>
          <c:orientation val="minMax"/>
          <c:max val="130000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989600"/>
        <c:crossesAt val="1"/>
        <c:crossBetween val="between"/>
        <c:majorUnit val="1000000"/>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298993952"/>
        <c:scaling>
          <c:orientation val="minMax"/>
          <c:max val="12000000"/>
        </c:scaling>
        <c:delete val="1"/>
        <c:axPos val="r"/>
        <c:numFmt formatCode="General" sourceLinked="1"/>
        <c:majorTickMark val="out"/>
        <c:minorTickMark val="none"/>
        <c:tickLblPos val="nextTo"/>
        <c:crossAx val="-298998848"/>
        <c:crosses val="max"/>
        <c:crossBetween val="between"/>
      </c:valAx>
      <c:catAx>
        <c:axId val="-298998848"/>
        <c:scaling>
          <c:orientation val="minMax"/>
        </c:scaling>
        <c:delete val="1"/>
        <c:axPos val="b"/>
        <c:majorTickMark val="out"/>
        <c:minorTickMark val="none"/>
        <c:tickLblPos val="nextTo"/>
        <c:crossAx val="-2989939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Work Trips - Alt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4"/>
          <c:tx>
            <c:strRef>
              <c:f>Outputs!$D$7</c:f>
              <c:strCache>
                <c:ptCount val="1"/>
                <c:pt idx="0">
                  <c:v>ABM</c:v>
                </c:pt>
              </c:strCache>
            </c:strRef>
          </c:tx>
          <c:spPr>
            <a:solidFill>
              <a:schemeClr val="accent5"/>
            </a:solidFill>
            <a:ln>
              <a:noFill/>
            </a:ln>
            <a:effectLst/>
          </c:spPr>
          <c:invertIfNegative val="0"/>
          <c:val>
            <c:numRef>
              <c:f>[1]ABM!$B$33:$CX$33</c:f>
              <c:numCache>
                <c:formatCode>General</c:formatCode>
                <c:ptCount val="101"/>
                <c:pt idx="0">
                  <c:v>6719973</c:v>
                </c:pt>
                <c:pt idx="4">
                  <c:v>7085410</c:v>
                </c:pt>
                <c:pt idx="10">
                  <c:v>7404117</c:v>
                </c:pt>
                <c:pt idx="18">
                  <c:v>7747679</c:v>
                </c:pt>
                <c:pt idx="30">
                  <c:v>8269462</c:v>
                </c:pt>
                <c:pt idx="50">
                  <c:v>9034207</c:v>
                </c:pt>
              </c:numCache>
            </c:numRef>
          </c:val>
          <c:extLst>
            <c:ext xmlns:c16="http://schemas.microsoft.com/office/drawing/2014/chart" uri="{C3380CC4-5D6E-409C-BE32-E72D297353CC}">
              <c16:uniqueId val="{00000000-C14C-4E4C-BB86-9260F1BEBDD3}"/>
            </c:ext>
          </c:extLst>
        </c:ser>
        <c:dLbls>
          <c:showLegendKey val="0"/>
          <c:showVal val="0"/>
          <c:showCatName val="0"/>
          <c:showSerName val="0"/>
          <c:showPercent val="0"/>
          <c:showBubbleSize val="0"/>
        </c:dLbls>
        <c:gapWidth val="40"/>
        <c:axId val="-298980352"/>
        <c:axId val="-298997760"/>
      </c:barChart>
      <c:lineChart>
        <c:grouping val="standard"/>
        <c:varyColors val="0"/>
        <c:ser>
          <c:idx val="0"/>
          <c:order val="0"/>
          <c:tx>
            <c:strRef>
              <c:f>Outputs!$D$3</c:f>
              <c:strCache>
                <c:ptCount val="1"/>
                <c:pt idx="0">
                  <c:v>Momentum</c:v>
                </c:pt>
              </c:strCache>
            </c:strRef>
          </c:tx>
          <c:spPr>
            <a:ln w="28575" cap="rnd">
              <a:solidFill>
                <a:schemeClr val="accent1"/>
              </a:solidFill>
              <a:round/>
            </a:ln>
            <a:effectLst/>
          </c:spPr>
          <c:marker>
            <c:symbol val="none"/>
          </c:marker>
          <c:cat>
            <c:numRef>
              <c:f>[1]Momentum!$B$1:$CX$1</c:f>
              <c:numCache>
                <c:formatCode>General</c:formatCode>
                <c:ptCount val="101"/>
                <c:pt idx="0">
                  <c:v>2015</c:v>
                </c:pt>
                <c:pt idx="1">
                  <c:v>2015.5</c:v>
                </c:pt>
                <c:pt idx="2">
                  <c:v>2016</c:v>
                </c:pt>
                <c:pt idx="3">
                  <c:v>2016.5</c:v>
                </c:pt>
                <c:pt idx="4">
                  <c:v>2017</c:v>
                </c:pt>
                <c:pt idx="5">
                  <c:v>2017.5</c:v>
                </c:pt>
                <c:pt idx="6">
                  <c:v>2018</c:v>
                </c:pt>
                <c:pt idx="7">
                  <c:v>2018.5</c:v>
                </c:pt>
                <c:pt idx="8">
                  <c:v>2019</c:v>
                </c:pt>
                <c:pt idx="9">
                  <c:v>2019.5</c:v>
                </c:pt>
                <c:pt idx="10">
                  <c:v>2020</c:v>
                </c:pt>
                <c:pt idx="11">
                  <c:v>2020.5</c:v>
                </c:pt>
                <c:pt idx="12">
                  <c:v>2021</c:v>
                </c:pt>
                <c:pt idx="13">
                  <c:v>2021.5</c:v>
                </c:pt>
                <c:pt idx="14">
                  <c:v>2022</c:v>
                </c:pt>
                <c:pt idx="15">
                  <c:v>2022.5</c:v>
                </c:pt>
                <c:pt idx="16">
                  <c:v>2023</c:v>
                </c:pt>
                <c:pt idx="17">
                  <c:v>2023.5</c:v>
                </c:pt>
                <c:pt idx="18">
                  <c:v>2024</c:v>
                </c:pt>
                <c:pt idx="19">
                  <c:v>2024.5</c:v>
                </c:pt>
                <c:pt idx="20">
                  <c:v>2025</c:v>
                </c:pt>
                <c:pt idx="21">
                  <c:v>2025.5</c:v>
                </c:pt>
                <c:pt idx="22">
                  <c:v>2026</c:v>
                </c:pt>
                <c:pt idx="23">
                  <c:v>2026.5</c:v>
                </c:pt>
                <c:pt idx="24">
                  <c:v>2027</c:v>
                </c:pt>
                <c:pt idx="25">
                  <c:v>2027.5</c:v>
                </c:pt>
                <c:pt idx="26">
                  <c:v>2028</c:v>
                </c:pt>
                <c:pt idx="27">
                  <c:v>2028.5</c:v>
                </c:pt>
                <c:pt idx="28">
                  <c:v>2029</c:v>
                </c:pt>
                <c:pt idx="29">
                  <c:v>2029.5</c:v>
                </c:pt>
                <c:pt idx="30">
                  <c:v>2030</c:v>
                </c:pt>
                <c:pt idx="31">
                  <c:v>2030.5</c:v>
                </c:pt>
                <c:pt idx="32">
                  <c:v>2031</c:v>
                </c:pt>
                <c:pt idx="33">
                  <c:v>2031.5</c:v>
                </c:pt>
                <c:pt idx="34">
                  <c:v>2032</c:v>
                </c:pt>
                <c:pt idx="35">
                  <c:v>2032.5</c:v>
                </c:pt>
                <c:pt idx="36">
                  <c:v>2033</c:v>
                </c:pt>
                <c:pt idx="37">
                  <c:v>2033.5</c:v>
                </c:pt>
                <c:pt idx="38">
                  <c:v>2034</c:v>
                </c:pt>
                <c:pt idx="39">
                  <c:v>2034.5</c:v>
                </c:pt>
                <c:pt idx="40">
                  <c:v>2035</c:v>
                </c:pt>
                <c:pt idx="41">
                  <c:v>2035.5</c:v>
                </c:pt>
                <c:pt idx="42">
                  <c:v>2036</c:v>
                </c:pt>
                <c:pt idx="43">
                  <c:v>2036.5</c:v>
                </c:pt>
                <c:pt idx="44">
                  <c:v>2037</c:v>
                </c:pt>
                <c:pt idx="45">
                  <c:v>2037.5</c:v>
                </c:pt>
                <c:pt idx="46">
                  <c:v>2038</c:v>
                </c:pt>
                <c:pt idx="47">
                  <c:v>2038.5</c:v>
                </c:pt>
                <c:pt idx="48">
                  <c:v>2039</c:v>
                </c:pt>
                <c:pt idx="49">
                  <c:v>2039.5</c:v>
                </c:pt>
                <c:pt idx="50">
                  <c:v>2040</c:v>
                </c:pt>
                <c:pt idx="51">
                  <c:v>2040.5</c:v>
                </c:pt>
                <c:pt idx="52">
                  <c:v>2041</c:v>
                </c:pt>
                <c:pt idx="53">
                  <c:v>2041.5</c:v>
                </c:pt>
                <c:pt idx="54">
                  <c:v>2042</c:v>
                </c:pt>
                <c:pt idx="55">
                  <c:v>2042.5</c:v>
                </c:pt>
                <c:pt idx="56">
                  <c:v>2043</c:v>
                </c:pt>
                <c:pt idx="57">
                  <c:v>2043.5</c:v>
                </c:pt>
                <c:pt idx="58">
                  <c:v>2044</c:v>
                </c:pt>
                <c:pt idx="59">
                  <c:v>2044.5</c:v>
                </c:pt>
                <c:pt idx="60">
                  <c:v>2045</c:v>
                </c:pt>
                <c:pt idx="61">
                  <c:v>2045.5</c:v>
                </c:pt>
                <c:pt idx="62">
                  <c:v>2046</c:v>
                </c:pt>
                <c:pt idx="63">
                  <c:v>2046.5</c:v>
                </c:pt>
                <c:pt idx="64">
                  <c:v>2047</c:v>
                </c:pt>
                <c:pt idx="65">
                  <c:v>2047.5</c:v>
                </c:pt>
                <c:pt idx="66">
                  <c:v>2048</c:v>
                </c:pt>
                <c:pt idx="67">
                  <c:v>2048.5</c:v>
                </c:pt>
                <c:pt idx="68">
                  <c:v>2049</c:v>
                </c:pt>
                <c:pt idx="69">
                  <c:v>2049.5</c:v>
                </c:pt>
                <c:pt idx="70">
                  <c:v>2050</c:v>
                </c:pt>
                <c:pt idx="71">
                  <c:v>2050.5</c:v>
                </c:pt>
                <c:pt idx="72">
                  <c:v>2051</c:v>
                </c:pt>
                <c:pt idx="73">
                  <c:v>2051.5</c:v>
                </c:pt>
                <c:pt idx="74">
                  <c:v>2052</c:v>
                </c:pt>
                <c:pt idx="75">
                  <c:v>2052.5</c:v>
                </c:pt>
                <c:pt idx="76">
                  <c:v>2053</c:v>
                </c:pt>
                <c:pt idx="77">
                  <c:v>2053.5</c:v>
                </c:pt>
                <c:pt idx="78">
                  <c:v>2054</c:v>
                </c:pt>
                <c:pt idx="79">
                  <c:v>2054.5</c:v>
                </c:pt>
                <c:pt idx="80">
                  <c:v>2055</c:v>
                </c:pt>
                <c:pt idx="81">
                  <c:v>2055.5</c:v>
                </c:pt>
                <c:pt idx="82">
                  <c:v>2056</c:v>
                </c:pt>
                <c:pt idx="83">
                  <c:v>2056.5</c:v>
                </c:pt>
                <c:pt idx="84">
                  <c:v>2057</c:v>
                </c:pt>
                <c:pt idx="85">
                  <c:v>2057.5</c:v>
                </c:pt>
                <c:pt idx="86">
                  <c:v>2058</c:v>
                </c:pt>
                <c:pt idx="87">
                  <c:v>2058.5</c:v>
                </c:pt>
                <c:pt idx="88">
                  <c:v>2059</c:v>
                </c:pt>
                <c:pt idx="89">
                  <c:v>2059.5</c:v>
                </c:pt>
                <c:pt idx="90">
                  <c:v>2060</c:v>
                </c:pt>
                <c:pt idx="91">
                  <c:v>2060.5</c:v>
                </c:pt>
                <c:pt idx="92">
                  <c:v>2061</c:v>
                </c:pt>
                <c:pt idx="93">
                  <c:v>2061.5</c:v>
                </c:pt>
                <c:pt idx="94">
                  <c:v>2062</c:v>
                </c:pt>
                <c:pt idx="95">
                  <c:v>2062.5</c:v>
                </c:pt>
                <c:pt idx="96">
                  <c:v>2063</c:v>
                </c:pt>
                <c:pt idx="97">
                  <c:v>2063.5</c:v>
                </c:pt>
                <c:pt idx="98">
                  <c:v>2064</c:v>
                </c:pt>
                <c:pt idx="99">
                  <c:v>2064.5</c:v>
                </c:pt>
                <c:pt idx="100">
                  <c:v>2065</c:v>
                </c:pt>
              </c:numCache>
            </c:numRef>
          </c:cat>
          <c:val>
            <c:numRef>
              <c:f>[1]Momentum!$B$33:$CX$33</c:f>
              <c:numCache>
                <c:formatCode>General</c:formatCode>
                <c:ptCount val="101"/>
                <c:pt idx="0">
                  <c:v>6854209</c:v>
                </c:pt>
                <c:pt idx="1">
                  <c:v>6854209</c:v>
                </c:pt>
                <c:pt idx="2">
                  <c:v>6931591</c:v>
                </c:pt>
                <c:pt idx="3">
                  <c:v>7005465</c:v>
                </c:pt>
                <c:pt idx="4">
                  <c:v>7076207.5</c:v>
                </c:pt>
                <c:pt idx="5">
                  <c:v>7144149</c:v>
                </c:pt>
                <c:pt idx="6">
                  <c:v>7209513.5</c:v>
                </c:pt>
                <c:pt idx="7">
                  <c:v>7272509</c:v>
                </c:pt>
                <c:pt idx="8">
                  <c:v>7333277.5</c:v>
                </c:pt>
                <c:pt idx="9">
                  <c:v>7391936</c:v>
                </c:pt>
                <c:pt idx="10">
                  <c:v>7448595.5</c:v>
                </c:pt>
                <c:pt idx="11">
                  <c:v>7495630.5</c:v>
                </c:pt>
                <c:pt idx="12">
                  <c:v>7540894</c:v>
                </c:pt>
                <c:pt idx="13">
                  <c:v>7584541</c:v>
                </c:pt>
                <c:pt idx="14">
                  <c:v>7626786</c:v>
                </c:pt>
                <c:pt idx="15">
                  <c:v>7667657.5</c:v>
                </c:pt>
                <c:pt idx="16">
                  <c:v>7707241</c:v>
                </c:pt>
                <c:pt idx="17">
                  <c:v>7745624.5</c:v>
                </c:pt>
                <c:pt idx="18">
                  <c:v>7782911</c:v>
                </c:pt>
                <c:pt idx="19">
                  <c:v>7819180.5</c:v>
                </c:pt>
                <c:pt idx="20">
                  <c:v>7854497.5</c:v>
                </c:pt>
                <c:pt idx="21">
                  <c:v>7905184</c:v>
                </c:pt>
                <c:pt idx="22">
                  <c:v>7955210</c:v>
                </c:pt>
                <c:pt idx="23">
                  <c:v>8004642.5</c:v>
                </c:pt>
                <c:pt idx="24">
                  <c:v>8053568</c:v>
                </c:pt>
                <c:pt idx="25">
                  <c:v>8102010</c:v>
                </c:pt>
                <c:pt idx="26">
                  <c:v>8150005.5</c:v>
                </c:pt>
                <c:pt idx="27">
                  <c:v>8197593</c:v>
                </c:pt>
                <c:pt idx="28">
                  <c:v>8244807</c:v>
                </c:pt>
                <c:pt idx="29">
                  <c:v>8291689</c:v>
                </c:pt>
                <c:pt idx="30">
                  <c:v>8338208.5</c:v>
                </c:pt>
                <c:pt idx="31">
                  <c:v>8299100.5</c:v>
                </c:pt>
                <c:pt idx="32">
                  <c:v>8259053.5</c:v>
                </c:pt>
                <c:pt idx="33">
                  <c:v>8218166.5</c:v>
                </c:pt>
                <c:pt idx="34">
                  <c:v>8176454.5</c:v>
                </c:pt>
                <c:pt idx="35">
                  <c:v>8133926.5</c:v>
                </c:pt>
                <c:pt idx="36">
                  <c:v>8090598</c:v>
                </c:pt>
                <c:pt idx="37">
                  <c:v>8046463.5</c:v>
                </c:pt>
                <c:pt idx="38">
                  <c:v>8001531</c:v>
                </c:pt>
                <c:pt idx="39">
                  <c:v>7955565.5</c:v>
                </c:pt>
                <c:pt idx="40">
                  <c:v>7908568.5</c:v>
                </c:pt>
                <c:pt idx="41">
                  <c:v>7887147</c:v>
                </c:pt>
                <c:pt idx="42">
                  <c:v>7865128.5</c:v>
                </c:pt>
                <c:pt idx="43">
                  <c:v>7842459.5</c:v>
                </c:pt>
                <c:pt idx="44">
                  <c:v>7819177.5</c:v>
                </c:pt>
                <c:pt idx="45">
                  <c:v>7795266</c:v>
                </c:pt>
                <c:pt idx="46">
                  <c:v>7770794</c:v>
                </c:pt>
                <c:pt idx="47">
                  <c:v>7745736.5</c:v>
                </c:pt>
                <c:pt idx="48">
                  <c:v>7720138</c:v>
                </c:pt>
                <c:pt idx="49">
                  <c:v>7693991.5</c:v>
                </c:pt>
                <c:pt idx="50">
                  <c:v>7667298</c:v>
                </c:pt>
                <c:pt idx="51">
                  <c:v>7640029</c:v>
                </c:pt>
                <c:pt idx="52">
                  <c:v>7611947</c:v>
                </c:pt>
                <c:pt idx="53">
                  <c:v>7583178.5</c:v>
                </c:pt>
                <c:pt idx="54">
                  <c:v>7553866</c:v>
                </c:pt>
                <c:pt idx="55">
                  <c:v>7523982</c:v>
                </c:pt>
                <c:pt idx="56">
                  <c:v>7493562.5</c:v>
                </c:pt>
                <c:pt idx="57">
                  <c:v>7462736</c:v>
                </c:pt>
                <c:pt idx="58">
                  <c:v>7431426.5</c:v>
                </c:pt>
                <c:pt idx="59">
                  <c:v>7399715.5</c:v>
                </c:pt>
                <c:pt idx="60">
                  <c:v>7367574.5</c:v>
                </c:pt>
                <c:pt idx="61">
                  <c:v>7335203</c:v>
                </c:pt>
                <c:pt idx="62">
                  <c:v>7302031.5</c:v>
                </c:pt>
                <c:pt idx="63">
                  <c:v>7268410</c:v>
                </c:pt>
                <c:pt idx="64">
                  <c:v>7234293.5</c:v>
                </c:pt>
                <c:pt idx="65">
                  <c:v>7199376.5</c:v>
                </c:pt>
                <c:pt idx="66">
                  <c:v>7163982</c:v>
                </c:pt>
                <c:pt idx="67">
                  <c:v>7128239.5</c:v>
                </c:pt>
                <c:pt idx="68">
                  <c:v>7092059</c:v>
                </c:pt>
                <c:pt idx="69">
                  <c:v>7055148.5</c:v>
                </c:pt>
                <c:pt idx="70">
                  <c:v>7017839.5</c:v>
                </c:pt>
                <c:pt idx="71">
                  <c:v>6979936.5</c:v>
                </c:pt>
                <c:pt idx="72">
                  <c:v>6941449</c:v>
                </c:pt>
                <c:pt idx="73">
                  <c:v>6902417</c:v>
                </c:pt>
                <c:pt idx="74">
                  <c:v>6862852.5</c:v>
                </c:pt>
                <c:pt idx="75">
                  <c:v>6822805</c:v>
                </c:pt>
                <c:pt idx="76">
                  <c:v>6782325</c:v>
                </c:pt>
                <c:pt idx="77">
                  <c:v>6741385.5</c:v>
                </c:pt>
                <c:pt idx="78">
                  <c:v>6700055</c:v>
                </c:pt>
                <c:pt idx="79">
                  <c:v>6658356.5</c:v>
                </c:pt>
                <c:pt idx="80">
                  <c:v>6616301</c:v>
                </c:pt>
                <c:pt idx="81">
                  <c:v>6573990.5</c:v>
                </c:pt>
                <c:pt idx="82">
                  <c:v>6531534.5</c:v>
                </c:pt>
                <c:pt idx="83">
                  <c:v>6488973.5</c:v>
                </c:pt>
                <c:pt idx="84">
                  <c:v>6446349.5</c:v>
                </c:pt>
                <c:pt idx="85">
                  <c:v>6403658</c:v>
                </c:pt>
                <c:pt idx="86">
                  <c:v>6360898</c:v>
                </c:pt>
                <c:pt idx="87">
                  <c:v>6318054.5</c:v>
                </c:pt>
                <c:pt idx="88">
                  <c:v>6275137</c:v>
                </c:pt>
                <c:pt idx="89">
                  <c:v>6232116.5</c:v>
                </c:pt>
                <c:pt idx="90">
                  <c:v>6188632</c:v>
                </c:pt>
                <c:pt idx="91">
                  <c:v>6145041</c:v>
                </c:pt>
                <c:pt idx="92">
                  <c:v>6101083</c:v>
                </c:pt>
                <c:pt idx="93">
                  <c:v>6057038</c:v>
                </c:pt>
                <c:pt idx="94">
                  <c:v>6012787.5</c:v>
                </c:pt>
                <c:pt idx="95">
                  <c:v>5968187</c:v>
                </c:pt>
                <c:pt idx="96">
                  <c:v>5923381.5</c:v>
                </c:pt>
                <c:pt idx="97">
                  <c:v>5878415</c:v>
                </c:pt>
                <c:pt idx="98">
                  <c:v>5833286.5</c:v>
                </c:pt>
                <c:pt idx="99">
                  <c:v>5787833</c:v>
                </c:pt>
                <c:pt idx="100">
                  <c:v>5742142.5</c:v>
                </c:pt>
              </c:numCache>
            </c:numRef>
          </c:val>
          <c:smooth val="0"/>
          <c:extLst>
            <c:ext xmlns:c16="http://schemas.microsoft.com/office/drawing/2014/chart" uri="{C3380CC4-5D6E-409C-BE32-E72D297353CC}">
              <c16:uniqueId val="{00000001-C14C-4E4C-BB86-9260F1BEBDD3}"/>
            </c:ext>
          </c:extLst>
        </c:ser>
        <c:ser>
          <c:idx val="1"/>
          <c:order val="1"/>
          <c:tx>
            <c:strRef>
              <c:f>Outputs!$D$4</c:f>
              <c:strCache>
                <c:ptCount val="1"/>
                <c:pt idx="0">
                  <c:v>Tech_Triumphs</c:v>
                </c:pt>
              </c:strCache>
            </c:strRef>
          </c:tx>
          <c:spPr>
            <a:ln w="28575" cap="rnd">
              <a:solidFill>
                <a:schemeClr val="accent2"/>
              </a:solidFill>
              <a:round/>
            </a:ln>
            <a:effectLst/>
          </c:spPr>
          <c:marker>
            <c:symbol val="none"/>
          </c:marker>
          <c:cat>
            <c:numRef>
              <c:f>[1]Momentum!$B$1:$CX$1</c:f>
              <c:numCache>
                <c:formatCode>General</c:formatCode>
                <c:ptCount val="101"/>
                <c:pt idx="0">
                  <c:v>2015</c:v>
                </c:pt>
                <c:pt idx="1">
                  <c:v>2015.5</c:v>
                </c:pt>
                <c:pt idx="2">
                  <c:v>2016</c:v>
                </c:pt>
                <c:pt idx="3">
                  <c:v>2016.5</c:v>
                </c:pt>
                <c:pt idx="4">
                  <c:v>2017</c:v>
                </c:pt>
                <c:pt idx="5">
                  <c:v>2017.5</c:v>
                </c:pt>
                <c:pt idx="6">
                  <c:v>2018</c:v>
                </c:pt>
                <c:pt idx="7">
                  <c:v>2018.5</c:v>
                </c:pt>
                <c:pt idx="8">
                  <c:v>2019</c:v>
                </c:pt>
                <c:pt idx="9">
                  <c:v>2019.5</c:v>
                </c:pt>
                <c:pt idx="10">
                  <c:v>2020</c:v>
                </c:pt>
                <c:pt idx="11">
                  <c:v>2020.5</c:v>
                </c:pt>
                <c:pt idx="12">
                  <c:v>2021</c:v>
                </c:pt>
                <c:pt idx="13">
                  <c:v>2021.5</c:v>
                </c:pt>
                <c:pt idx="14">
                  <c:v>2022</c:v>
                </c:pt>
                <c:pt idx="15">
                  <c:v>2022.5</c:v>
                </c:pt>
                <c:pt idx="16">
                  <c:v>2023</c:v>
                </c:pt>
                <c:pt idx="17">
                  <c:v>2023.5</c:v>
                </c:pt>
                <c:pt idx="18">
                  <c:v>2024</c:v>
                </c:pt>
                <c:pt idx="19">
                  <c:v>2024.5</c:v>
                </c:pt>
                <c:pt idx="20">
                  <c:v>2025</c:v>
                </c:pt>
                <c:pt idx="21">
                  <c:v>2025.5</c:v>
                </c:pt>
                <c:pt idx="22">
                  <c:v>2026</c:v>
                </c:pt>
                <c:pt idx="23">
                  <c:v>2026.5</c:v>
                </c:pt>
                <c:pt idx="24">
                  <c:v>2027</c:v>
                </c:pt>
                <c:pt idx="25">
                  <c:v>2027.5</c:v>
                </c:pt>
                <c:pt idx="26">
                  <c:v>2028</c:v>
                </c:pt>
                <c:pt idx="27">
                  <c:v>2028.5</c:v>
                </c:pt>
                <c:pt idx="28">
                  <c:v>2029</c:v>
                </c:pt>
                <c:pt idx="29">
                  <c:v>2029.5</c:v>
                </c:pt>
                <c:pt idx="30">
                  <c:v>2030</c:v>
                </c:pt>
                <c:pt idx="31">
                  <c:v>2030.5</c:v>
                </c:pt>
                <c:pt idx="32">
                  <c:v>2031</c:v>
                </c:pt>
                <c:pt idx="33">
                  <c:v>2031.5</c:v>
                </c:pt>
                <c:pt idx="34">
                  <c:v>2032</c:v>
                </c:pt>
                <c:pt idx="35">
                  <c:v>2032.5</c:v>
                </c:pt>
                <c:pt idx="36">
                  <c:v>2033</c:v>
                </c:pt>
                <c:pt idx="37">
                  <c:v>2033.5</c:v>
                </c:pt>
                <c:pt idx="38">
                  <c:v>2034</c:v>
                </c:pt>
                <c:pt idx="39">
                  <c:v>2034.5</c:v>
                </c:pt>
                <c:pt idx="40">
                  <c:v>2035</c:v>
                </c:pt>
                <c:pt idx="41">
                  <c:v>2035.5</c:v>
                </c:pt>
                <c:pt idx="42">
                  <c:v>2036</c:v>
                </c:pt>
                <c:pt idx="43">
                  <c:v>2036.5</c:v>
                </c:pt>
                <c:pt idx="44">
                  <c:v>2037</c:v>
                </c:pt>
                <c:pt idx="45">
                  <c:v>2037.5</c:v>
                </c:pt>
                <c:pt idx="46">
                  <c:v>2038</c:v>
                </c:pt>
                <c:pt idx="47">
                  <c:v>2038.5</c:v>
                </c:pt>
                <c:pt idx="48">
                  <c:v>2039</c:v>
                </c:pt>
                <c:pt idx="49">
                  <c:v>2039.5</c:v>
                </c:pt>
                <c:pt idx="50">
                  <c:v>2040</c:v>
                </c:pt>
                <c:pt idx="51">
                  <c:v>2040.5</c:v>
                </c:pt>
                <c:pt idx="52">
                  <c:v>2041</c:v>
                </c:pt>
                <c:pt idx="53">
                  <c:v>2041.5</c:v>
                </c:pt>
                <c:pt idx="54">
                  <c:v>2042</c:v>
                </c:pt>
                <c:pt idx="55">
                  <c:v>2042.5</c:v>
                </c:pt>
                <c:pt idx="56">
                  <c:v>2043</c:v>
                </c:pt>
                <c:pt idx="57">
                  <c:v>2043.5</c:v>
                </c:pt>
                <c:pt idx="58">
                  <c:v>2044</c:v>
                </c:pt>
                <c:pt idx="59">
                  <c:v>2044.5</c:v>
                </c:pt>
                <c:pt idx="60">
                  <c:v>2045</c:v>
                </c:pt>
                <c:pt idx="61">
                  <c:v>2045.5</c:v>
                </c:pt>
                <c:pt idx="62">
                  <c:v>2046</c:v>
                </c:pt>
                <c:pt idx="63">
                  <c:v>2046.5</c:v>
                </c:pt>
                <c:pt idx="64">
                  <c:v>2047</c:v>
                </c:pt>
                <c:pt idx="65">
                  <c:v>2047.5</c:v>
                </c:pt>
                <c:pt idx="66">
                  <c:v>2048</c:v>
                </c:pt>
                <c:pt idx="67">
                  <c:v>2048.5</c:v>
                </c:pt>
                <c:pt idx="68">
                  <c:v>2049</c:v>
                </c:pt>
                <c:pt idx="69">
                  <c:v>2049.5</c:v>
                </c:pt>
                <c:pt idx="70">
                  <c:v>2050</c:v>
                </c:pt>
                <c:pt idx="71">
                  <c:v>2050.5</c:v>
                </c:pt>
                <c:pt idx="72">
                  <c:v>2051</c:v>
                </c:pt>
                <c:pt idx="73">
                  <c:v>2051.5</c:v>
                </c:pt>
                <c:pt idx="74">
                  <c:v>2052</c:v>
                </c:pt>
                <c:pt idx="75">
                  <c:v>2052.5</c:v>
                </c:pt>
                <c:pt idx="76">
                  <c:v>2053</c:v>
                </c:pt>
                <c:pt idx="77">
                  <c:v>2053.5</c:v>
                </c:pt>
                <c:pt idx="78">
                  <c:v>2054</c:v>
                </c:pt>
                <c:pt idx="79">
                  <c:v>2054.5</c:v>
                </c:pt>
                <c:pt idx="80">
                  <c:v>2055</c:v>
                </c:pt>
                <c:pt idx="81">
                  <c:v>2055.5</c:v>
                </c:pt>
                <c:pt idx="82">
                  <c:v>2056</c:v>
                </c:pt>
                <c:pt idx="83">
                  <c:v>2056.5</c:v>
                </c:pt>
                <c:pt idx="84">
                  <c:v>2057</c:v>
                </c:pt>
                <c:pt idx="85">
                  <c:v>2057.5</c:v>
                </c:pt>
                <c:pt idx="86">
                  <c:v>2058</c:v>
                </c:pt>
                <c:pt idx="87">
                  <c:v>2058.5</c:v>
                </c:pt>
                <c:pt idx="88">
                  <c:v>2059</c:v>
                </c:pt>
                <c:pt idx="89">
                  <c:v>2059.5</c:v>
                </c:pt>
                <c:pt idx="90">
                  <c:v>2060</c:v>
                </c:pt>
                <c:pt idx="91">
                  <c:v>2060.5</c:v>
                </c:pt>
                <c:pt idx="92">
                  <c:v>2061</c:v>
                </c:pt>
                <c:pt idx="93">
                  <c:v>2061.5</c:v>
                </c:pt>
                <c:pt idx="94">
                  <c:v>2062</c:v>
                </c:pt>
                <c:pt idx="95">
                  <c:v>2062.5</c:v>
                </c:pt>
                <c:pt idx="96">
                  <c:v>2063</c:v>
                </c:pt>
                <c:pt idx="97">
                  <c:v>2063.5</c:v>
                </c:pt>
                <c:pt idx="98">
                  <c:v>2064</c:v>
                </c:pt>
                <c:pt idx="99">
                  <c:v>2064.5</c:v>
                </c:pt>
                <c:pt idx="100">
                  <c:v>2065</c:v>
                </c:pt>
              </c:numCache>
            </c:numRef>
          </c:cat>
          <c:val>
            <c:numRef>
              <c:f>[1]Tech_Triumphs!$B$33:$CX$33</c:f>
              <c:numCache>
                <c:formatCode>General</c:formatCode>
                <c:ptCount val="101"/>
                <c:pt idx="0">
                  <c:v>6854209</c:v>
                </c:pt>
                <c:pt idx="1">
                  <c:v>6854209</c:v>
                </c:pt>
                <c:pt idx="2">
                  <c:v>6931591</c:v>
                </c:pt>
                <c:pt idx="3">
                  <c:v>7005465</c:v>
                </c:pt>
                <c:pt idx="4">
                  <c:v>7076207.5</c:v>
                </c:pt>
                <c:pt idx="5">
                  <c:v>7144149</c:v>
                </c:pt>
                <c:pt idx="6">
                  <c:v>7209513.5</c:v>
                </c:pt>
                <c:pt idx="7">
                  <c:v>7272509</c:v>
                </c:pt>
                <c:pt idx="8">
                  <c:v>7333277.5</c:v>
                </c:pt>
                <c:pt idx="9">
                  <c:v>7391936</c:v>
                </c:pt>
                <c:pt idx="10">
                  <c:v>7448595.5</c:v>
                </c:pt>
                <c:pt idx="11">
                  <c:v>7495630.5</c:v>
                </c:pt>
                <c:pt idx="12">
                  <c:v>7540894</c:v>
                </c:pt>
                <c:pt idx="13">
                  <c:v>7584541</c:v>
                </c:pt>
                <c:pt idx="14">
                  <c:v>7626786</c:v>
                </c:pt>
                <c:pt idx="15">
                  <c:v>7667657.5</c:v>
                </c:pt>
                <c:pt idx="16">
                  <c:v>7707241</c:v>
                </c:pt>
                <c:pt idx="17">
                  <c:v>7745624.5</c:v>
                </c:pt>
                <c:pt idx="18">
                  <c:v>7782911</c:v>
                </c:pt>
                <c:pt idx="19">
                  <c:v>7819180.5</c:v>
                </c:pt>
                <c:pt idx="20">
                  <c:v>7854497.5</c:v>
                </c:pt>
                <c:pt idx="21">
                  <c:v>7907156</c:v>
                </c:pt>
                <c:pt idx="22">
                  <c:v>7960533.5</c:v>
                </c:pt>
                <c:pt idx="23">
                  <c:v>8014648</c:v>
                </c:pt>
                <c:pt idx="24">
                  <c:v>8069331</c:v>
                </c:pt>
                <c:pt idx="25">
                  <c:v>8124598.5</c:v>
                </c:pt>
                <c:pt idx="26">
                  <c:v>8180386</c:v>
                </c:pt>
                <c:pt idx="27">
                  <c:v>8236987.5</c:v>
                </c:pt>
                <c:pt idx="28">
                  <c:v>8294354.5</c:v>
                </c:pt>
                <c:pt idx="29">
                  <c:v>8352248.5</c:v>
                </c:pt>
                <c:pt idx="30">
                  <c:v>8410662</c:v>
                </c:pt>
                <c:pt idx="31">
                  <c:v>8382581.5</c:v>
                </c:pt>
                <c:pt idx="32">
                  <c:v>8353665.5</c:v>
                </c:pt>
                <c:pt idx="33">
                  <c:v>8323967</c:v>
                </c:pt>
                <c:pt idx="34">
                  <c:v>8293533.5</c:v>
                </c:pt>
                <c:pt idx="35">
                  <c:v>8262368.5</c:v>
                </c:pt>
                <c:pt idx="36">
                  <c:v>8230432.5</c:v>
                </c:pt>
                <c:pt idx="37">
                  <c:v>8197780.5</c:v>
                </c:pt>
                <c:pt idx="38">
                  <c:v>8164401.5</c:v>
                </c:pt>
                <c:pt idx="39">
                  <c:v>8130341</c:v>
                </c:pt>
                <c:pt idx="40">
                  <c:v>8095590</c:v>
                </c:pt>
                <c:pt idx="41">
                  <c:v>8087554</c:v>
                </c:pt>
                <c:pt idx="42">
                  <c:v>8079023</c:v>
                </c:pt>
                <c:pt idx="43">
                  <c:v>8070223</c:v>
                </c:pt>
                <c:pt idx="44">
                  <c:v>8061046</c:v>
                </c:pt>
                <c:pt idx="45">
                  <c:v>8051635.5</c:v>
                </c:pt>
                <c:pt idx="46">
                  <c:v>8041945.5</c:v>
                </c:pt>
                <c:pt idx="47">
                  <c:v>8031691.5</c:v>
                </c:pt>
                <c:pt idx="48">
                  <c:v>8021148.5</c:v>
                </c:pt>
                <c:pt idx="49">
                  <c:v>8010262.5</c:v>
                </c:pt>
                <c:pt idx="50">
                  <c:v>7999028.5</c:v>
                </c:pt>
                <c:pt idx="51">
                  <c:v>7987394</c:v>
                </c:pt>
                <c:pt idx="52">
                  <c:v>7975348.5</c:v>
                </c:pt>
                <c:pt idx="53">
                  <c:v>7962421.5</c:v>
                </c:pt>
                <c:pt idx="54">
                  <c:v>7948948.5</c:v>
                </c:pt>
                <c:pt idx="55">
                  <c:v>7934972</c:v>
                </c:pt>
                <c:pt idx="56">
                  <c:v>7920519</c:v>
                </c:pt>
                <c:pt idx="57">
                  <c:v>7905596.5</c:v>
                </c:pt>
                <c:pt idx="58">
                  <c:v>7890186</c:v>
                </c:pt>
                <c:pt idx="59">
                  <c:v>7874212.5</c:v>
                </c:pt>
                <c:pt idx="60">
                  <c:v>7857700</c:v>
                </c:pt>
                <c:pt idx="61">
                  <c:v>7840633</c:v>
                </c:pt>
                <c:pt idx="62">
                  <c:v>7823041.5</c:v>
                </c:pt>
                <c:pt idx="63">
                  <c:v>7804875.5</c:v>
                </c:pt>
                <c:pt idx="64">
                  <c:v>7786128.5</c:v>
                </c:pt>
                <c:pt idx="65">
                  <c:v>7766789.5</c:v>
                </c:pt>
                <c:pt idx="66">
                  <c:v>7746607.5</c:v>
                </c:pt>
                <c:pt idx="67">
                  <c:v>7725853.5</c:v>
                </c:pt>
                <c:pt idx="68">
                  <c:v>7704157.5</c:v>
                </c:pt>
                <c:pt idx="69">
                  <c:v>7681746.5</c:v>
                </c:pt>
                <c:pt idx="70">
                  <c:v>7658685.5</c:v>
                </c:pt>
                <c:pt idx="71">
                  <c:v>7685912.5</c:v>
                </c:pt>
                <c:pt idx="72">
                  <c:v>7712536</c:v>
                </c:pt>
                <c:pt idx="73">
                  <c:v>7738712.5</c:v>
                </c:pt>
                <c:pt idx="74">
                  <c:v>7764380.5</c:v>
                </c:pt>
                <c:pt idx="75">
                  <c:v>7789562.5</c:v>
                </c:pt>
                <c:pt idx="76">
                  <c:v>7814333</c:v>
                </c:pt>
                <c:pt idx="77">
                  <c:v>7838677.5</c:v>
                </c:pt>
                <c:pt idx="78">
                  <c:v>7862641.5</c:v>
                </c:pt>
                <c:pt idx="79">
                  <c:v>7886213.5</c:v>
                </c:pt>
                <c:pt idx="80">
                  <c:v>7909398.5</c:v>
                </c:pt>
                <c:pt idx="81">
                  <c:v>7932261</c:v>
                </c:pt>
                <c:pt idx="82">
                  <c:v>7954779</c:v>
                </c:pt>
                <c:pt idx="83">
                  <c:v>7976938.5</c:v>
                </c:pt>
                <c:pt idx="84">
                  <c:v>7998511.5</c:v>
                </c:pt>
                <c:pt idx="85">
                  <c:v>8019720</c:v>
                </c:pt>
                <c:pt idx="86">
                  <c:v>8040527.5</c:v>
                </c:pt>
                <c:pt idx="87">
                  <c:v>8060658.5</c:v>
                </c:pt>
                <c:pt idx="88">
                  <c:v>8080398</c:v>
                </c:pt>
                <c:pt idx="89">
                  <c:v>8099730</c:v>
                </c:pt>
                <c:pt idx="90">
                  <c:v>8118721</c:v>
                </c:pt>
                <c:pt idx="91">
                  <c:v>8083199</c:v>
                </c:pt>
                <c:pt idx="92">
                  <c:v>8047163.5</c:v>
                </c:pt>
                <c:pt idx="93">
                  <c:v>8010588.5</c:v>
                </c:pt>
                <c:pt idx="94">
                  <c:v>7973693</c:v>
                </c:pt>
                <c:pt idx="95">
                  <c:v>7936335.5</c:v>
                </c:pt>
                <c:pt idx="96">
                  <c:v>7898474.5</c:v>
                </c:pt>
                <c:pt idx="97">
                  <c:v>7860071</c:v>
                </c:pt>
                <c:pt idx="98">
                  <c:v>7821020.5</c:v>
                </c:pt>
                <c:pt idx="99">
                  <c:v>7781166.5</c:v>
                </c:pt>
                <c:pt idx="100">
                  <c:v>7740897.5</c:v>
                </c:pt>
              </c:numCache>
            </c:numRef>
          </c:val>
          <c:smooth val="0"/>
          <c:extLst>
            <c:ext xmlns:c16="http://schemas.microsoft.com/office/drawing/2014/chart" uri="{C3380CC4-5D6E-409C-BE32-E72D297353CC}">
              <c16:uniqueId val="{00000002-C14C-4E4C-BB86-9260F1BEBDD3}"/>
            </c:ext>
          </c:extLst>
        </c:ser>
        <c:ser>
          <c:idx val="2"/>
          <c:order val="2"/>
          <c:tx>
            <c:strRef>
              <c:f>Outputs!$D$5</c:f>
              <c:strCache>
                <c:ptCount val="1"/>
                <c:pt idx="0">
                  <c:v>Gentle_Footprint</c:v>
                </c:pt>
              </c:strCache>
            </c:strRef>
          </c:tx>
          <c:spPr>
            <a:ln w="28575" cap="rnd">
              <a:solidFill>
                <a:schemeClr val="accent3"/>
              </a:solidFill>
              <a:round/>
            </a:ln>
            <a:effectLst/>
          </c:spPr>
          <c:marker>
            <c:symbol val="none"/>
          </c:marker>
          <c:cat>
            <c:numRef>
              <c:f>[1]Momentum!$B$1:$CX$1</c:f>
              <c:numCache>
                <c:formatCode>General</c:formatCode>
                <c:ptCount val="101"/>
                <c:pt idx="0">
                  <c:v>2015</c:v>
                </c:pt>
                <c:pt idx="1">
                  <c:v>2015.5</c:v>
                </c:pt>
                <c:pt idx="2">
                  <c:v>2016</c:v>
                </c:pt>
                <c:pt idx="3">
                  <c:v>2016.5</c:v>
                </c:pt>
                <c:pt idx="4">
                  <c:v>2017</c:v>
                </c:pt>
                <c:pt idx="5">
                  <c:v>2017.5</c:v>
                </c:pt>
                <c:pt idx="6">
                  <c:v>2018</c:v>
                </c:pt>
                <c:pt idx="7">
                  <c:v>2018.5</c:v>
                </c:pt>
                <c:pt idx="8">
                  <c:v>2019</c:v>
                </c:pt>
                <c:pt idx="9">
                  <c:v>2019.5</c:v>
                </c:pt>
                <c:pt idx="10">
                  <c:v>2020</c:v>
                </c:pt>
                <c:pt idx="11">
                  <c:v>2020.5</c:v>
                </c:pt>
                <c:pt idx="12">
                  <c:v>2021</c:v>
                </c:pt>
                <c:pt idx="13">
                  <c:v>2021.5</c:v>
                </c:pt>
                <c:pt idx="14">
                  <c:v>2022</c:v>
                </c:pt>
                <c:pt idx="15">
                  <c:v>2022.5</c:v>
                </c:pt>
                <c:pt idx="16">
                  <c:v>2023</c:v>
                </c:pt>
                <c:pt idx="17">
                  <c:v>2023.5</c:v>
                </c:pt>
                <c:pt idx="18">
                  <c:v>2024</c:v>
                </c:pt>
                <c:pt idx="19">
                  <c:v>2024.5</c:v>
                </c:pt>
                <c:pt idx="20">
                  <c:v>2025</c:v>
                </c:pt>
                <c:pt idx="21">
                  <c:v>2025.5</c:v>
                </c:pt>
                <c:pt idx="22">
                  <c:v>2026</c:v>
                </c:pt>
                <c:pt idx="23">
                  <c:v>2026.5</c:v>
                </c:pt>
                <c:pt idx="24">
                  <c:v>2027</c:v>
                </c:pt>
                <c:pt idx="25">
                  <c:v>2027.5</c:v>
                </c:pt>
                <c:pt idx="26">
                  <c:v>2028</c:v>
                </c:pt>
                <c:pt idx="27">
                  <c:v>2028.5</c:v>
                </c:pt>
                <c:pt idx="28">
                  <c:v>2029</c:v>
                </c:pt>
                <c:pt idx="29">
                  <c:v>2029.5</c:v>
                </c:pt>
                <c:pt idx="30">
                  <c:v>2030</c:v>
                </c:pt>
                <c:pt idx="31">
                  <c:v>2030.5</c:v>
                </c:pt>
                <c:pt idx="32">
                  <c:v>2031</c:v>
                </c:pt>
                <c:pt idx="33">
                  <c:v>2031.5</c:v>
                </c:pt>
                <c:pt idx="34">
                  <c:v>2032</c:v>
                </c:pt>
                <c:pt idx="35">
                  <c:v>2032.5</c:v>
                </c:pt>
                <c:pt idx="36">
                  <c:v>2033</c:v>
                </c:pt>
                <c:pt idx="37">
                  <c:v>2033.5</c:v>
                </c:pt>
                <c:pt idx="38">
                  <c:v>2034</c:v>
                </c:pt>
                <c:pt idx="39">
                  <c:v>2034.5</c:v>
                </c:pt>
                <c:pt idx="40">
                  <c:v>2035</c:v>
                </c:pt>
                <c:pt idx="41">
                  <c:v>2035.5</c:v>
                </c:pt>
                <c:pt idx="42">
                  <c:v>2036</c:v>
                </c:pt>
                <c:pt idx="43">
                  <c:v>2036.5</c:v>
                </c:pt>
                <c:pt idx="44">
                  <c:v>2037</c:v>
                </c:pt>
                <c:pt idx="45">
                  <c:v>2037.5</c:v>
                </c:pt>
                <c:pt idx="46">
                  <c:v>2038</c:v>
                </c:pt>
                <c:pt idx="47">
                  <c:v>2038.5</c:v>
                </c:pt>
                <c:pt idx="48">
                  <c:v>2039</c:v>
                </c:pt>
                <c:pt idx="49">
                  <c:v>2039.5</c:v>
                </c:pt>
                <c:pt idx="50">
                  <c:v>2040</c:v>
                </c:pt>
                <c:pt idx="51">
                  <c:v>2040.5</c:v>
                </c:pt>
                <c:pt idx="52">
                  <c:v>2041</c:v>
                </c:pt>
                <c:pt idx="53">
                  <c:v>2041.5</c:v>
                </c:pt>
                <c:pt idx="54">
                  <c:v>2042</c:v>
                </c:pt>
                <c:pt idx="55">
                  <c:v>2042.5</c:v>
                </c:pt>
                <c:pt idx="56">
                  <c:v>2043</c:v>
                </c:pt>
                <c:pt idx="57">
                  <c:v>2043.5</c:v>
                </c:pt>
                <c:pt idx="58">
                  <c:v>2044</c:v>
                </c:pt>
                <c:pt idx="59">
                  <c:v>2044.5</c:v>
                </c:pt>
                <c:pt idx="60">
                  <c:v>2045</c:v>
                </c:pt>
                <c:pt idx="61">
                  <c:v>2045.5</c:v>
                </c:pt>
                <c:pt idx="62">
                  <c:v>2046</c:v>
                </c:pt>
                <c:pt idx="63">
                  <c:v>2046.5</c:v>
                </c:pt>
                <c:pt idx="64">
                  <c:v>2047</c:v>
                </c:pt>
                <c:pt idx="65">
                  <c:v>2047.5</c:v>
                </c:pt>
                <c:pt idx="66">
                  <c:v>2048</c:v>
                </c:pt>
                <c:pt idx="67">
                  <c:v>2048.5</c:v>
                </c:pt>
                <c:pt idx="68">
                  <c:v>2049</c:v>
                </c:pt>
                <c:pt idx="69">
                  <c:v>2049.5</c:v>
                </c:pt>
                <c:pt idx="70">
                  <c:v>2050</c:v>
                </c:pt>
                <c:pt idx="71">
                  <c:v>2050.5</c:v>
                </c:pt>
                <c:pt idx="72">
                  <c:v>2051</c:v>
                </c:pt>
                <c:pt idx="73">
                  <c:v>2051.5</c:v>
                </c:pt>
                <c:pt idx="74">
                  <c:v>2052</c:v>
                </c:pt>
                <c:pt idx="75">
                  <c:v>2052.5</c:v>
                </c:pt>
                <c:pt idx="76">
                  <c:v>2053</c:v>
                </c:pt>
                <c:pt idx="77">
                  <c:v>2053.5</c:v>
                </c:pt>
                <c:pt idx="78">
                  <c:v>2054</c:v>
                </c:pt>
                <c:pt idx="79">
                  <c:v>2054.5</c:v>
                </c:pt>
                <c:pt idx="80">
                  <c:v>2055</c:v>
                </c:pt>
                <c:pt idx="81">
                  <c:v>2055.5</c:v>
                </c:pt>
                <c:pt idx="82">
                  <c:v>2056</c:v>
                </c:pt>
                <c:pt idx="83">
                  <c:v>2056.5</c:v>
                </c:pt>
                <c:pt idx="84">
                  <c:v>2057</c:v>
                </c:pt>
                <c:pt idx="85">
                  <c:v>2057.5</c:v>
                </c:pt>
                <c:pt idx="86">
                  <c:v>2058</c:v>
                </c:pt>
                <c:pt idx="87">
                  <c:v>2058.5</c:v>
                </c:pt>
                <c:pt idx="88">
                  <c:v>2059</c:v>
                </c:pt>
                <c:pt idx="89">
                  <c:v>2059.5</c:v>
                </c:pt>
                <c:pt idx="90">
                  <c:v>2060</c:v>
                </c:pt>
                <c:pt idx="91">
                  <c:v>2060.5</c:v>
                </c:pt>
                <c:pt idx="92">
                  <c:v>2061</c:v>
                </c:pt>
                <c:pt idx="93">
                  <c:v>2061.5</c:v>
                </c:pt>
                <c:pt idx="94">
                  <c:v>2062</c:v>
                </c:pt>
                <c:pt idx="95">
                  <c:v>2062.5</c:v>
                </c:pt>
                <c:pt idx="96">
                  <c:v>2063</c:v>
                </c:pt>
                <c:pt idx="97">
                  <c:v>2063.5</c:v>
                </c:pt>
                <c:pt idx="98">
                  <c:v>2064</c:v>
                </c:pt>
                <c:pt idx="99">
                  <c:v>2064.5</c:v>
                </c:pt>
                <c:pt idx="100">
                  <c:v>2065</c:v>
                </c:pt>
              </c:numCache>
            </c:numRef>
          </c:cat>
          <c:val>
            <c:numRef>
              <c:f>[1]Gentle_Footprint!$B$33:$CX$33</c:f>
              <c:numCache>
                <c:formatCode>General</c:formatCode>
                <c:ptCount val="101"/>
                <c:pt idx="0">
                  <c:v>6854209</c:v>
                </c:pt>
                <c:pt idx="1">
                  <c:v>6854209</c:v>
                </c:pt>
                <c:pt idx="2">
                  <c:v>6931591</c:v>
                </c:pt>
                <c:pt idx="3">
                  <c:v>7005465</c:v>
                </c:pt>
                <c:pt idx="4">
                  <c:v>7076207.5</c:v>
                </c:pt>
                <c:pt idx="5">
                  <c:v>7144149</c:v>
                </c:pt>
                <c:pt idx="6">
                  <c:v>7209513.5</c:v>
                </c:pt>
                <c:pt idx="7">
                  <c:v>7272509</c:v>
                </c:pt>
                <c:pt idx="8">
                  <c:v>7333277.5</c:v>
                </c:pt>
                <c:pt idx="9">
                  <c:v>7391936</c:v>
                </c:pt>
                <c:pt idx="10">
                  <c:v>7448595.5</c:v>
                </c:pt>
                <c:pt idx="11">
                  <c:v>7495630.5</c:v>
                </c:pt>
                <c:pt idx="12">
                  <c:v>7540894</c:v>
                </c:pt>
                <c:pt idx="13">
                  <c:v>7584541</c:v>
                </c:pt>
                <c:pt idx="14">
                  <c:v>7626786</c:v>
                </c:pt>
                <c:pt idx="15">
                  <c:v>7667657.5</c:v>
                </c:pt>
                <c:pt idx="16">
                  <c:v>7707241</c:v>
                </c:pt>
                <c:pt idx="17">
                  <c:v>7745624.5</c:v>
                </c:pt>
                <c:pt idx="18">
                  <c:v>7782911</c:v>
                </c:pt>
                <c:pt idx="19">
                  <c:v>7819180.5</c:v>
                </c:pt>
                <c:pt idx="20">
                  <c:v>7854497.5</c:v>
                </c:pt>
                <c:pt idx="21">
                  <c:v>7863288</c:v>
                </c:pt>
                <c:pt idx="22">
                  <c:v>7869774.5</c:v>
                </c:pt>
                <c:pt idx="23">
                  <c:v>7874183</c:v>
                </c:pt>
                <c:pt idx="24">
                  <c:v>7876644.5</c:v>
                </c:pt>
                <c:pt idx="25">
                  <c:v>7877305</c:v>
                </c:pt>
                <c:pt idx="26">
                  <c:v>7876166</c:v>
                </c:pt>
                <c:pt idx="27">
                  <c:v>7873331.5</c:v>
                </c:pt>
                <c:pt idx="28">
                  <c:v>7868570</c:v>
                </c:pt>
                <c:pt idx="29">
                  <c:v>7862041.5</c:v>
                </c:pt>
                <c:pt idx="30">
                  <c:v>7853889.5</c:v>
                </c:pt>
                <c:pt idx="31">
                  <c:v>7860870</c:v>
                </c:pt>
                <c:pt idx="32">
                  <c:v>7867247.5</c:v>
                </c:pt>
                <c:pt idx="33">
                  <c:v>7873362.5</c:v>
                </c:pt>
                <c:pt idx="34">
                  <c:v>7879104.5</c:v>
                </c:pt>
                <c:pt idx="35">
                  <c:v>7884388.5</c:v>
                </c:pt>
                <c:pt idx="36">
                  <c:v>7889293</c:v>
                </c:pt>
                <c:pt idx="37">
                  <c:v>7893422.5</c:v>
                </c:pt>
                <c:pt idx="38">
                  <c:v>7897049.5</c:v>
                </c:pt>
                <c:pt idx="39">
                  <c:v>7900149.5</c:v>
                </c:pt>
                <c:pt idx="40">
                  <c:v>7902908.5</c:v>
                </c:pt>
                <c:pt idx="41">
                  <c:v>7896949</c:v>
                </c:pt>
                <c:pt idx="42">
                  <c:v>7890279.5</c:v>
                </c:pt>
                <c:pt idx="43">
                  <c:v>7882832</c:v>
                </c:pt>
                <c:pt idx="44">
                  <c:v>7874781.5</c:v>
                </c:pt>
                <c:pt idx="45">
                  <c:v>7866059</c:v>
                </c:pt>
                <c:pt idx="46">
                  <c:v>7856362.5</c:v>
                </c:pt>
                <c:pt idx="47">
                  <c:v>7845939.5</c:v>
                </c:pt>
                <c:pt idx="48">
                  <c:v>7834633.5</c:v>
                </c:pt>
                <c:pt idx="49">
                  <c:v>7822711</c:v>
                </c:pt>
                <c:pt idx="50">
                  <c:v>7809834.5</c:v>
                </c:pt>
                <c:pt idx="51">
                  <c:v>7814021</c:v>
                </c:pt>
                <c:pt idx="52">
                  <c:v>7817728.5</c:v>
                </c:pt>
                <c:pt idx="53">
                  <c:v>7821111.5</c:v>
                </c:pt>
                <c:pt idx="54">
                  <c:v>7823752.5</c:v>
                </c:pt>
                <c:pt idx="55">
                  <c:v>7826028.5</c:v>
                </c:pt>
                <c:pt idx="56">
                  <c:v>7827722.5</c:v>
                </c:pt>
                <c:pt idx="57">
                  <c:v>7828989.5</c:v>
                </c:pt>
                <c:pt idx="58">
                  <c:v>7829697.5</c:v>
                </c:pt>
                <c:pt idx="59">
                  <c:v>7829614</c:v>
                </c:pt>
                <c:pt idx="60">
                  <c:v>7829094.5</c:v>
                </c:pt>
                <c:pt idx="61">
                  <c:v>7828251.5</c:v>
                </c:pt>
                <c:pt idx="62">
                  <c:v>7826900.5</c:v>
                </c:pt>
                <c:pt idx="63">
                  <c:v>7824989.5</c:v>
                </c:pt>
                <c:pt idx="64">
                  <c:v>7822687.5</c:v>
                </c:pt>
                <c:pt idx="65">
                  <c:v>7819877.5</c:v>
                </c:pt>
                <c:pt idx="66">
                  <c:v>7816761.5</c:v>
                </c:pt>
                <c:pt idx="67">
                  <c:v>7813149</c:v>
                </c:pt>
                <c:pt idx="68">
                  <c:v>7808594</c:v>
                </c:pt>
                <c:pt idx="69">
                  <c:v>7803583</c:v>
                </c:pt>
                <c:pt idx="70">
                  <c:v>7798055</c:v>
                </c:pt>
                <c:pt idx="71">
                  <c:v>7792226.5</c:v>
                </c:pt>
                <c:pt idx="72">
                  <c:v>7785895</c:v>
                </c:pt>
                <c:pt idx="73">
                  <c:v>7779202</c:v>
                </c:pt>
                <c:pt idx="74">
                  <c:v>7771997.5</c:v>
                </c:pt>
                <c:pt idx="75">
                  <c:v>7764504.5</c:v>
                </c:pt>
                <c:pt idx="76">
                  <c:v>7756614</c:v>
                </c:pt>
                <c:pt idx="77">
                  <c:v>7748340.5</c:v>
                </c:pt>
                <c:pt idx="78">
                  <c:v>7739677</c:v>
                </c:pt>
                <c:pt idx="79">
                  <c:v>7730629.5</c:v>
                </c:pt>
                <c:pt idx="80">
                  <c:v>7721212</c:v>
                </c:pt>
                <c:pt idx="81">
                  <c:v>7711376</c:v>
                </c:pt>
                <c:pt idx="82">
                  <c:v>7700708.5</c:v>
                </c:pt>
                <c:pt idx="83">
                  <c:v>7689550.5</c:v>
                </c:pt>
                <c:pt idx="84">
                  <c:v>7678009</c:v>
                </c:pt>
                <c:pt idx="85">
                  <c:v>7666100</c:v>
                </c:pt>
                <c:pt idx="86">
                  <c:v>7653707.5</c:v>
                </c:pt>
                <c:pt idx="87">
                  <c:v>7640667.5</c:v>
                </c:pt>
                <c:pt idx="88">
                  <c:v>7627173</c:v>
                </c:pt>
                <c:pt idx="89">
                  <c:v>7613298.5</c:v>
                </c:pt>
                <c:pt idx="90">
                  <c:v>7599151.5</c:v>
                </c:pt>
                <c:pt idx="91">
                  <c:v>7584693.5</c:v>
                </c:pt>
                <c:pt idx="92">
                  <c:v>7569912.5</c:v>
                </c:pt>
                <c:pt idx="93">
                  <c:v>7554831</c:v>
                </c:pt>
                <c:pt idx="94">
                  <c:v>7539448.5</c:v>
                </c:pt>
                <c:pt idx="95">
                  <c:v>7523771</c:v>
                </c:pt>
                <c:pt idx="96">
                  <c:v>7507740</c:v>
                </c:pt>
                <c:pt idx="97">
                  <c:v>7491432.5</c:v>
                </c:pt>
                <c:pt idx="98">
                  <c:v>7474505.5</c:v>
                </c:pt>
                <c:pt idx="99">
                  <c:v>7457316.5</c:v>
                </c:pt>
                <c:pt idx="100">
                  <c:v>7439676.5</c:v>
                </c:pt>
              </c:numCache>
            </c:numRef>
          </c:val>
          <c:smooth val="0"/>
          <c:extLst>
            <c:ext xmlns:c16="http://schemas.microsoft.com/office/drawing/2014/chart" uri="{C3380CC4-5D6E-409C-BE32-E72D297353CC}">
              <c16:uniqueId val="{00000003-C14C-4E4C-BB86-9260F1BEBDD3}"/>
            </c:ext>
          </c:extLst>
        </c:ser>
        <c:ser>
          <c:idx val="3"/>
          <c:order val="3"/>
          <c:tx>
            <c:strRef>
              <c:f>Outputs!$D$6</c:f>
              <c:strCache>
                <c:ptCount val="1"/>
                <c:pt idx="0">
                  <c:v>Global_Chaos</c:v>
                </c:pt>
              </c:strCache>
            </c:strRef>
          </c:tx>
          <c:spPr>
            <a:ln w="28575" cap="rnd">
              <a:solidFill>
                <a:schemeClr val="accent4"/>
              </a:solidFill>
              <a:round/>
            </a:ln>
            <a:effectLst/>
          </c:spPr>
          <c:marker>
            <c:symbol val="none"/>
          </c:marker>
          <c:cat>
            <c:numRef>
              <c:f>[1]Momentum!$B$1:$CX$1</c:f>
              <c:numCache>
                <c:formatCode>General</c:formatCode>
                <c:ptCount val="101"/>
                <c:pt idx="0">
                  <c:v>2015</c:v>
                </c:pt>
                <c:pt idx="1">
                  <c:v>2015.5</c:v>
                </c:pt>
                <c:pt idx="2">
                  <c:v>2016</c:v>
                </c:pt>
                <c:pt idx="3">
                  <c:v>2016.5</c:v>
                </c:pt>
                <c:pt idx="4">
                  <c:v>2017</c:v>
                </c:pt>
                <c:pt idx="5">
                  <c:v>2017.5</c:v>
                </c:pt>
                <c:pt idx="6">
                  <c:v>2018</c:v>
                </c:pt>
                <c:pt idx="7">
                  <c:v>2018.5</c:v>
                </c:pt>
                <c:pt idx="8">
                  <c:v>2019</c:v>
                </c:pt>
                <c:pt idx="9">
                  <c:v>2019.5</c:v>
                </c:pt>
                <c:pt idx="10">
                  <c:v>2020</c:v>
                </c:pt>
                <c:pt idx="11">
                  <c:v>2020.5</c:v>
                </c:pt>
                <c:pt idx="12">
                  <c:v>2021</c:v>
                </c:pt>
                <c:pt idx="13">
                  <c:v>2021.5</c:v>
                </c:pt>
                <c:pt idx="14">
                  <c:v>2022</c:v>
                </c:pt>
                <c:pt idx="15">
                  <c:v>2022.5</c:v>
                </c:pt>
                <c:pt idx="16">
                  <c:v>2023</c:v>
                </c:pt>
                <c:pt idx="17">
                  <c:v>2023.5</c:v>
                </c:pt>
                <c:pt idx="18">
                  <c:v>2024</c:v>
                </c:pt>
                <c:pt idx="19">
                  <c:v>2024.5</c:v>
                </c:pt>
                <c:pt idx="20">
                  <c:v>2025</c:v>
                </c:pt>
                <c:pt idx="21">
                  <c:v>2025.5</c:v>
                </c:pt>
                <c:pt idx="22">
                  <c:v>2026</c:v>
                </c:pt>
                <c:pt idx="23">
                  <c:v>2026.5</c:v>
                </c:pt>
                <c:pt idx="24">
                  <c:v>2027</c:v>
                </c:pt>
                <c:pt idx="25">
                  <c:v>2027.5</c:v>
                </c:pt>
                <c:pt idx="26">
                  <c:v>2028</c:v>
                </c:pt>
                <c:pt idx="27">
                  <c:v>2028.5</c:v>
                </c:pt>
                <c:pt idx="28">
                  <c:v>2029</c:v>
                </c:pt>
                <c:pt idx="29">
                  <c:v>2029.5</c:v>
                </c:pt>
                <c:pt idx="30">
                  <c:v>2030</c:v>
                </c:pt>
                <c:pt idx="31">
                  <c:v>2030.5</c:v>
                </c:pt>
                <c:pt idx="32">
                  <c:v>2031</c:v>
                </c:pt>
                <c:pt idx="33">
                  <c:v>2031.5</c:v>
                </c:pt>
                <c:pt idx="34">
                  <c:v>2032</c:v>
                </c:pt>
                <c:pt idx="35">
                  <c:v>2032.5</c:v>
                </c:pt>
                <c:pt idx="36">
                  <c:v>2033</c:v>
                </c:pt>
                <c:pt idx="37">
                  <c:v>2033.5</c:v>
                </c:pt>
                <c:pt idx="38">
                  <c:v>2034</c:v>
                </c:pt>
                <c:pt idx="39">
                  <c:v>2034.5</c:v>
                </c:pt>
                <c:pt idx="40">
                  <c:v>2035</c:v>
                </c:pt>
                <c:pt idx="41">
                  <c:v>2035.5</c:v>
                </c:pt>
                <c:pt idx="42">
                  <c:v>2036</c:v>
                </c:pt>
                <c:pt idx="43">
                  <c:v>2036.5</c:v>
                </c:pt>
                <c:pt idx="44">
                  <c:v>2037</c:v>
                </c:pt>
                <c:pt idx="45">
                  <c:v>2037.5</c:v>
                </c:pt>
                <c:pt idx="46">
                  <c:v>2038</c:v>
                </c:pt>
                <c:pt idx="47">
                  <c:v>2038.5</c:v>
                </c:pt>
                <c:pt idx="48">
                  <c:v>2039</c:v>
                </c:pt>
                <c:pt idx="49">
                  <c:v>2039.5</c:v>
                </c:pt>
                <c:pt idx="50">
                  <c:v>2040</c:v>
                </c:pt>
                <c:pt idx="51">
                  <c:v>2040.5</c:v>
                </c:pt>
                <c:pt idx="52">
                  <c:v>2041</c:v>
                </c:pt>
                <c:pt idx="53">
                  <c:v>2041.5</c:v>
                </c:pt>
                <c:pt idx="54">
                  <c:v>2042</c:v>
                </c:pt>
                <c:pt idx="55">
                  <c:v>2042.5</c:v>
                </c:pt>
                <c:pt idx="56">
                  <c:v>2043</c:v>
                </c:pt>
                <c:pt idx="57">
                  <c:v>2043.5</c:v>
                </c:pt>
                <c:pt idx="58">
                  <c:v>2044</c:v>
                </c:pt>
                <c:pt idx="59">
                  <c:v>2044.5</c:v>
                </c:pt>
                <c:pt idx="60">
                  <c:v>2045</c:v>
                </c:pt>
                <c:pt idx="61">
                  <c:v>2045.5</c:v>
                </c:pt>
                <c:pt idx="62">
                  <c:v>2046</c:v>
                </c:pt>
                <c:pt idx="63">
                  <c:v>2046.5</c:v>
                </c:pt>
                <c:pt idx="64">
                  <c:v>2047</c:v>
                </c:pt>
                <c:pt idx="65">
                  <c:v>2047.5</c:v>
                </c:pt>
                <c:pt idx="66">
                  <c:v>2048</c:v>
                </c:pt>
                <c:pt idx="67">
                  <c:v>2048.5</c:v>
                </c:pt>
                <c:pt idx="68">
                  <c:v>2049</c:v>
                </c:pt>
                <c:pt idx="69">
                  <c:v>2049.5</c:v>
                </c:pt>
                <c:pt idx="70">
                  <c:v>2050</c:v>
                </c:pt>
                <c:pt idx="71">
                  <c:v>2050.5</c:v>
                </c:pt>
                <c:pt idx="72">
                  <c:v>2051</c:v>
                </c:pt>
                <c:pt idx="73">
                  <c:v>2051.5</c:v>
                </c:pt>
                <c:pt idx="74">
                  <c:v>2052</c:v>
                </c:pt>
                <c:pt idx="75">
                  <c:v>2052.5</c:v>
                </c:pt>
                <c:pt idx="76">
                  <c:v>2053</c:v>
                </c:pt>
                <c:pt idx="77">
                  <c:v>2053.5</c:v>
                </c:pt>
                <c:pt idx="78">
                  <c:v>2054</c:v>
                </c:pt>
                <c:pt idx="79">
                  <c:v>2054.5</c:v>
                </c:pt>
                <c:pt idx="80">
                  <c:v>2055</c:v>
                </c:pt>
                <c:pt idx="81">
                  <c:v>2055.5</c:v>
                </c:pt>
                <c:pt idx="82">
                  <c:v>2056</c:v>
                </c:pt>
                <c:pt idx="83">
                  <c:v>2056.5</c:v>
                </c:pt>
                <c:pt idx="84">
                  <c:v>2057</c:v>
                </c:pt>
                <c:pt idx="85">
                  <c:v>2057.5</c:v>
                </c:pt>
                <c:pt idx="86">
                  <c:v>2058</c:v>
                </c:pt>
                <c:pt idx="87">
                  <c:v>2058.5</c:v>
                </c:pt>
                <c:pt idx="88">
                  <c:v>2059</c:v>
                </c:pt>
                <c:pt idx="89">
                  <c:v>2059.5</c:v>
                </c:pt>
                <c:pt idx="90">
                  <c:v>2060</c:v>
                </c:pt>
                <c:pt idx="91">
                  <c:v>2060.5</c:v>
                </c:pt>
                <c:pt idx="92">
                  <c:v>2061</c:v>
                </c:pt>
                <c:pt idx="93">
                  <c:v>2061.5</c:v>
                </c:pt>
                <c:pt idx="94">
                  <c:v>2062</c:v>
                </c:pt>
                <c:pt idx="95">
                  <c:v>2062.5</c:v>
                </c:pt>
                <c:pt idx="96">
                  <c:v>2063</c:v>
                </c:pt>
                <c:pt idx="97">
                  <c:v>2063.5</c:v>
                </c:pt>
                <c:pt idx="98">
                  <c:v>2064</c:v>
                </c:pt>
                <c:pt idx="99">
                  <c:v>2064.5</c:v>
                </c:pt>
                <c:pt idx="100">
                  <c:v>2065</c:v>
                </c:pt>
              </c:numCache>
            </c:numRef>
          </c:cat>
          <c:val>
            <c:numRef>
              <c:f>[1]Global_Chaos!$B$33:$CX$33</c:f>
              <c:numCache>
                <c:formatCode>General</c:formatCode>
                <c:ptCount val="101"/>
                <c:pt idx="0">
                  <c:v>6854209</c:v>
                </c:pt>
                <c:pt idx="1">
                  <c:v>6854209</c:v>
                </c:pt>
                <c:pt idx="2">
                  <c:v>6931591</c:v>
                </c:pt>
                <c:pt idx="3">
                  <c:v>7005465</c:v>
                </c:pt>
                <c:pt idx="4">
                  <c:v>7076207.5</c:v>
                </c:pt>
                <c:pt idx="5">
                  <c:v>7144149</c:v>
                </c:pt>
                <c:pt idx="6">
                  <c:v>7209513.5</c:v>
                </c:pt>
                <c:pt idx="7">
                  <c:v>7272509</c:v>
                </c:pt>
                <c:pt idx="8">
                  <c:v>7333277.5</c:v>
                </c:pt>
                <c:pt idx="9">
                  <c:v>7391936</c:v>
                </c:pt>
                <c:pt idx="10">
                  <c:v>7448595.5</c:v>
                </c:pt>
                <c:pt idx="11">
                  <c:v>7495630.5</c:v>
                </c:pt>
                <c:pt idx="12">
                  <c:v>7540894</c:v>
                </c:pt>
                <c:pt idx="13">
                  <c:v>7584541</c:v>
                </c:pt>
                <c:pt idx="14">
                  <c:v>7626786</c:v>
                </c:pt>
                <c:pt idx="15">
                  <c:v>7667657.5</c:v>
                </c:pt>
                <c:pt idx="16">
                  <c:v>7707241</c:v>
                </c:pt>
                <c:pt idx="17">
                  <c:v>7745624.5</c:v>
                </c:pt>
                <c:pt idx="18">
                  <c:v>7782911</c:v>
                </c:pt>
                <c:pt idx="19">
                  <c:v>7819180.5</c:v>
                </c:pt>
                <c:pt idx="20">
                  <c:v>7854497.5</c:v>
                </c:pt>
                <c:pt idx="21">
                  <c:v>7864628.5</c:v>
                </c:pt>
                <c:pt idx="22">
                  <c:v>7873702.5</c:v>
                </c:pt>
                <c:pt idx="23">
                  <c:v>7881890</c:v>
                </c:pt>
                <c:pt idx="24">
                  <c:v>7889258.5</c:v>
                </c:pt>
                <c:pt idx="25">
                  <c:v>7895910.5</c:v>
                </c:pt>
                <c:pt idx="26">
                  <c:v>7901870</c:v>
                </c:pt>
                <c:pt idx="27">
                  <c:v>7907200</c:v>
                </c:pt>
                <c:pt idx="28">
                  <c:v>7911679.5</c:v>
                </c:pt>
                <c:pt idx="29">
                  <c:v>7915461.5</c:v>
                </c:pt>
                <c:pt idx="30">
                  <c:v>7918685.5</c:v>
                </c:pt>
                <c:pt idx="31">
                  <c:v>7919305.5</c:v>
                </c:pt>
                <c:pt idx="32">
                  <c:v>7918750.5</c:v>
                </c:pt>
                <c:pt idx="33">
                  <c:v>7917395.5</c:v>
                </c:pt>
                <c:pt idx="34">
                  <c:v>7915194.5</c:v>
                </c:pt>
                <c:pt idx="35">
                  <c:v>7912165.5</c:v>
                </c:pt>
                <c:pt idx="36">
                  <c:v>7908281</c:v>
                </c:pt>
                <c:pt idx="37">
                  <c:v>7903629</c:v>
                </c:pt>
                <c:pt idx="38">
                  <c:v>7897866</c:v>
                </c:pt>
                <c:pt idx="39">
                  <c:v>7891234.5</c:v>
                </c:pt>
                <c:pt idx="40">
                  <c:v>7883881</c:v>
                </c:pt>
                <c:pt idx="41">
                  <c:v>7859449</c:v>
                </c:pt>
                <c:pt idx="42">
                  <c:v>7834323.5</c:v>
                </c:pt>
                <c:pt idx="43">
                  <c:v>7808773.5</c:v>
                </c:pt>
                <c:pt idx="44">
                  <c:v>7782715</c:v>
                </c:pt>
                <c:pt idx="45">
                  <c:v>7756256.5</c:v>
                </c:pt>
                <c:pt idx="46">
                  <c:v>7729361</c:v>
                </c:pt>
                <c:pt idx="47">
                  <c:v>7701800.5</c:v>
                </c:pt>
                <c:pt idx="48">
                  <c:v>7673801</c:v>
                </c:pt>
                <c:pt idx="49">
                  <c:v>7645289.5</c:v>
                </c:pt>
                <c:pt idx="50">
                  <c:v>7616045.5</c:v>
                </c:pt>
                <c:pt idx="51">
                  <c:v>7585992</c:v>
                </c:pt>
                <c:pt idx="52">
                  <c:v>7555197</c:v>
                </c:pt>
                <c:pt idx="53">
                  <c:v>7523707</c:v>
                </c:pt>
                <c:pt idx="54">
                  <c:v>7491500</c:v>
                </c:pt>
                <c:pt idx="55">
                  <c:v>7458471.5</c:v>
                </c:pt>
                <c:pt idx="56">
                  <c:v>7424792.5</c:v>
                </c:pt>
                <c:pt idx="57">
                  <c:v>7390206</c:v>
                </c:pt>
                <c:pt idx="58">
                  <c:v>7355042</c:v>
                </c:pt>
                <c:pt idx="59">
                  <c:v>7319158</c:v>
                </c:pt>
                <c:pt idx="60">
                  <c:v>7282629</c:v>
                </c:pt>
                <c:pt idx="61">
                  <c:v>7245513</c:v>
                </c:pt>
                <c:pt idx="62">
                  <c:v>7207613.5</c:v>
                </c:pt>
                <c:pt idx="63">
                  <c:v>7169168</c:v>
                </c:pt>
                <c:pt idx="64">
                  <c:v>7129924</c:v>
                </c:pt>
                <c:pt idx="65">
                  <c:v>7090192.5</c:v>
                </c:pt>
                <c:pt idx="66">
                  <c:v>7049918.5</c:v>
                </c:pt>
                <c:pt idx="67">
                  <c:v>7009108.5</c:v>
                </c:pt>
                <c:pt idx="68">
                  <c:v>6967753</c:v>
                </c:pt>
                <c:pt idx="69">
                  <c:v>6925764</c:v>
                </c:pt>
                <c:pt idx="70">
                  <c:v>6883173.5</c:v>
                </c:pt>
                <c:pt idx="71">
                  <c:v>6885661</c:v>
                </c:pt>
                <c:pt idx="72">
                  <c:v>6887483</c:v>
                </c:pt>
                <c:pt idx="73">
                  <c:v>6888701.5</c:v>
                </c:pt>
                <c:pt idx="74">
                  <c:v>6889243.5</c:v>
                </c:pt>
                <c:pt idx="75">
                  <c:v>6889121</c:v>
                </c:pt>
                <c:pt idx="76">
                  <c:v>6888368.5</c:v>
                </c:pt>
                <c:pt idx="77">
                  <c:v>6886999</c:v>
                </c:pt>
                <c:pt idx="78">
                  <c:v>6885024</c:v>
                </c:pt>
                <c:pt idx="79">
                  <c:v>6882450.5</c:v>
                </c:pt>
                <c:pt idx="80">
                  <c:v>6879283</c:v>
                </c:pt>
                <c:pt idx="81">
                  <c:v>6875671</c:v>
                </c:pt>
                <c:pt idx="82">
                  <c:v>6871438.5</c:v>
                </c:pt>
                <c:pt idx="83">
                  <c:v>6866754.5</c:v>
                </c:pt>
                <c:pt idx="84">
                  <c:v>6861616</c:v>
                </c:pt>
                <c:pt idx="85">
                  <c:v>6856028.5</c:v>
                </c:pt>
                <c:pt idx="86">
                  <c:v>6849954.5</c:v>
                </c:pt>
                <c:pt idx="87">
                  <c:v>6843325</c:v>
                </c:pt>
                <c:pt idx="88">
                  <c:v>6836196</c:v>
                </c:pt>
                <c:pt idx="89">
                  <c:v>6828591.5</c:v>
                </c:pt>
                <c:pt idx="90">
                  <c:v>6820540.5</c:v>
                </c:pt>
                <c:pt idx="91">
                  <c:v>6811882.5</c:v>
                </c:pt>
                <c:pt idx="92">
                  <c:v>6802647</c:v>
                </c:pt>
                <c:pt idx="93">
                  <c:v>6792860.5</c:v>
                </c:pt>
                <c:pt idx="94">
                  <c:v>6782468.5</c:v>
                </c:pt>
                <c:pt idx="95">
                  <c:v>6771573.5</c:v>
                </c:pt>
                <c:pt idx="96">
                  <c:v>6760131</c:v>
                </c:pt>
                <c:pt idx="97">
                  <c:v>6748167</c:v>
                </c:pt>
                <c:pt idx="98">
                  <c:v>6735722</c:v>
                </c:pt>
                <c:pt idx="99">
                  <c:v>6722667.5</c:v>
                </c:pt>
                <c:pt idx="100">
                  <c:v>6709157.5</c:v>
                </c:pt>
              </c:numCache>
            </c:numRef>
          </c:val>
          <c:smooth val="0"/>
          <c:extLst>
            <c:ext xmlns:c16="http://schemas.microsoft.com/office/drawing/2014/chart" uri="{C3380CC4-5D6E-409C-BE32-E72D297353CC}">
              <c16:uniqueId val="{00000004-C14C-4E4C-BB86-9260F1BEBDD3}"/>
            </c:ext>
          </c:extLst>
        </c:ser>
        <c:dLbls>
          <c:showLegendKey val="0"/>
          <c:showVal val="0"/>
          <c:showCatName val="0"/>
          <c:showSerName val="0"/>
          <c:showPercent val="0"/>
          <c:showBubbleSize val="0"/>
        </c:dLbls>
        <c:marker val="1"/>
        <c:smooth val="0"/>
        <c:axId val="-299003200"/>
        <c:axId val="-299007552"/>
      </c:lineChart>
      <c:catAx>
        <c:axId val="-2990032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007552"/>
        <c:crosses val="autoZero"/>
        <c:auto val="1"/>
        <c:lblAlgn val="ctr"/>
        <c:lblOffset val="100"/>
        <c:noMultiLvlLbl val="0"/>
      </c:catAx>
      <c:valAx>
        <c:axId val="-299007552"/>
        <c:scaling>
          <c:orientation val="minMax"/>
          <c:max val="100000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003200"/>
        <c:crossesAt val="1"/>
        <c:crossBetween val="between"/>
        <c:majorUnit val="1000000"/>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298997760"/>
        <c:scaling>
          <c:orientation val="minMax"/>
          <c:max val="12000000"/>
        </c:scaling>
        <c:delete val="1"/>
        <c:axPos val="r"/>
        <c:numFmt formatCode="General" sourceLinked="1"/>
        <c:majorTickMark val="out"/>
        <c:minorTickMark val="none"/>
        <c:tickLblPos val="nextTo"/>
        <c:crossAx val="-298980352"/>
        <c:crosses val="max"/>
        <c:crossBetween val="between"/>
      </c:valAx>
      <c:catAx>
        <c:axId val="-298980352"/>
        <c:scaling>
          <c:orientation val="minMax"/>
        </c:scaling>
        <c:delete val="1"/>
        <c:axPos val="b"/>
        <c:majorTickMark val="out"/>
        <c:minorTickMark val="none"/>
        <c:tickLblPos val="nextTo"/>
        <c:crossAx val="-29899776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NonWork Trips - Alt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4"/>
          <c:tx>
            <c:strRef>
              <c:f>Outputs!$D$7</c:f>
              <c:strCache>
                <c:ptCount val="1"/>
                <c:pt idx="0">
                  <c:v>ABM</c:v>
                </c:pt>
              </c:strCache>
            </c:strRef>
          </c:tx>
          <c:spPr>
            <a:solidFill>
              <a:schemeClr val="accent5"/>
            </a:solidFill>
            <a:ln>
              <a:noFill/>
            </a:ln>
            <a:effectLst/>
          </c:spPr>
          <c:invertIfNegative val="0"/>
          <c:val>
            <c:numRef>
              <c:f>[1]ABM!$B$34:$CX$34</c:f>
              <c:numCache>
                <c:formatCode>General</c:formatCode>
                <c:ptCount val="101"/>
                <c:pt idx="0">
                  <c:v>12517561</c:v>
                </c:pt>
                <c:pt idx="4">
                  <c:v>12780796</c:v>
                </c:pt>
                <c:pt idx="10">
                  <c:v>13287174</c:v>
                </c:pt>
                <c:pt idx="18">
                  <c:v>14163775</c:v>
                </c:pt>
                <c:pt idx="30">
                  <c:v>15550811</c:v>
                </c:pt>
                <c:pt idx="50">
                  <c:v>17795642</c:v>
                </c:pt>
                <c:pt idx="70">
                  <c:v>0</c:v>
                </c:pt>
              </c:numCache>
            </c:numRef>
          </c:val>
          <c:extLst>
            <c:ext xmlns:c16="http://schemas.microsoft.com/office/drawing/2014/chart" uri="{C3380CC4-5D6E-409C-BE32-E72D297353CC}">
              <c16:uniqueId val="{00000000-8C03-4CB6-824B-9C050F7AA8BF}"/>
            </c:ext>
          </c:extLst>
        </c:ser>
        <c:dLbls>
          <c:showLegendKey val="0"/>
          <c:showVal val="0"/>
          <c:showCatName val="0"/>
          <c:showSerName val="0"/>
          <c:showPercent val="0"/>
          <c:showBubbleSize val="0"/>
        </c:dLbls>
        <c:gapWidth val="40"/>
        <c:axId val="-298981440"/>
        <c:axId val="-299002656"/>
      </c:barChart>
      <c:lineChart>
        <c:grouping val="standard"/>
        <c:varyColors val="0"/>
        <c:ser>
          <c:idx val="0"/>
          <c:order val="0"/>
          <c:tx>
            <c:strRef>
              <c:f>Outputs!$D$3</c:f>
              <c:strCache>
                <c:ptCount val="1"/>
                <c:pt idx="0">
                  <c:v>Momentum</c:v>
                </c:pt>
              </c:strCache>
            </c:strRef>
          </c:tx>
          <c:spPr>
            <a:ln w="28575" cap="rnd">
              <a:solidFill>
                <a:schemeClr val="accent1"/>
              </a:solidFill>
              <a:round/>
            </a:ln>
            <a:effectLst/>
          </c:spPr>
          <c:marker>
            <c:symbol val="none"/>
          </c:marker>
          <c:cat>
            <c:numRef>
              <c:f>[1]Momentum!$B$1:$CX$1</c:f>
              <c:numCache>
                <c:formatCode>General</c:formatCode>
                <c:ptCount val="101"/>
                <c:pt idx="0">
                  <c:v>2015</c:v>
                </c:pt>
                <c:pt idx="1">
                  <c:v>2015.5</c:v>
                </c:pt>
                <c:pt idx="2">
                  <c:v>2016</c:v>
                </c:pt>
                <c:pt idx="3">
                  <c:v>2016.5</c:v>
                </c:pt>
                <c:pt idx="4">
                  <c:v>2017</c:v>
                </c:pt>
                <c:pt idx="5">
                  <c:v>2017.5</c:v>
                </c:pt>
                <c:pt idx="6">
                  <c:v>2018</c:v>
                </c:pt>
                <c:pt idx="7">
                  <c:v>2018.5</c:v>
                </c:pt>
                <c:pt idx="8">
                  <c:v>2019</c:v>
                </c:pt>
                <c:pt idx="9">
                  <c:v>2019.5</c:v>
                </c:pt>
                <c:pt idx="10">
                  <c:v>2020</c:v>
                </c:pt>
                <c:pt idx="11">
                  <c:v>2020.5</c:v>
                </c:pt>
                <c:pt idx="12">
                  <c:v>2021</c:v>
                </c:pt>
                <c:pt idx="13">
                  <c:v>2021.5</c:v>
                </c:pt>
                <c:pt idx="14">
                  <c:v>2022</c:v>
                </c:pt>
                <c:pt idx="15">
                  <c:v>2022.5</c:v>
                </c:pt>
                <c:pt idx="16">
                  <c:v>2023</c:v>
                </c:pt>
                <c:pt idx="17">
                  <c:v>2023.5</c:v>
                </c:pt>
                <c:pt idx="18">
                  <c:v>2024</c:v>
                </c:pt>
                <c:pt idx="19">
                  <c:v>2024.5</c:v>
                </c:pt>
                <c:pt idx="20">
                  <c:v>2025</c:v>
                </c:pt>
                <c:pt idx="21">
                  <c:v>2025.5</c:v>
                </c:pt>
                <c:pt idx="22">
                  <c:v>2026</c:v>
                </c:pt>
                <c:pt idx="23">
                  <c:v>2026.5</c:v>
                </c:pt>
                <c:pt idx="24">
                  <c:v>2027</c:v>
                </c:pt>
                <c:pt idx="25">
                  <c:v>2027.5</c:v>
                </c:pt>
                <c:pt idx="26">
                  <c:v>2028</c:v>
                </c:pt>
                <c:pt idx="27">
                  <c:v>2028.5</c:v>
                </c:pt>
                <c:pt idx="28">
                  <c:v>2029</c:v>
                </c:pt>
                <c:pt idx="29">
                  <c:v>2029.5</c:v>
                </c:pt>
                <c:pt idx="30">
                  <c:v>2030</c:v>
                </c:pt>
                <c:pt idx="31">
                  <c:v>2030.5</c:v>
                </c:pt>
                <c:pt idx="32">
                  <c:v>2031</c:v>
                </c:pt>
                <c:pt idx="33">
                  <c:v>2031.5</c:v>
                </c:pt>
                <c:pt idx="34">
                  <c:v>2032</c:v>
                </c:pt>
                <c:pt idx="35">
                  <c:v>2032.5</c:v>
                </c:pt>
                <c:pt idx="36">
                  <c:v>2033</c:v>
                </c:pt>
                <c:pt idx="37">
                  <c:v>2033.5</c:v>
                </c:pt>
                <c:pt idx="38">
                  <c:v>2034</c:v>
                </c:pt>
                <c:pt idx="39">
                  <c:v>2034.5</c:v>
                </c:pt>
                <c:pt idx="40">
                  <c:v>2035</c:v>
                </c:pt>
                <c:pt idx="41">
                  <c:v>2035.5</c:v>
                </c:pt>
                <c:pt idx="42">
                  <c:v>2036</c:v>
                </c:pt>
                <c:pt idx="43">
                  <c:v>2036.5</c:v>
                </c:pt>
                <c:pt idx="44">
                  <c:v>2037</c:v>
                </c:pt>
                <c:pt idx="45">
                  <c:v>2037.5</c:v>
                </c:pt>
                <c:pt idx="46">
                  <c:v>2038</c:v>
                </c:pt>
                <c:pt idx="47">
                  <c:v>2038.5</c:v>
                </c:pt>
                <c:pt idx="48">
                  <c:v>2039</c:v>
                </c:pt>
                <c:pt idx="49">
                  <c:v>2039.5</c:v>
                </c:pt>
                <c:pt idx="50">
                  <c:v>2040</c:v>
                </c:pt>
                <c:pt idx="51">
                  <c:v>2040.5</c:v>
                </c:pt>
                <c:pt idx="52">
                  <c:v>2041</c:v>
                </c:pt>
                <c:pt idx="53">
                  <c:v>2041.5</c:v>
                </c:pt>
                <c:pt idx="54">
                  <c:v>2042</c:v>
                </c:pt>
                <c:pt idx="55">
                  <c:v>2042.5</c:v>
                </c:pt>
                <c:pt idx="56">
                  <c:v>2043</c:v>
                </c:pt>
                <c:pt idx="57">
                  <c:v>2043.5</c:v>
                </c:pt>
                <c:pt idx="58">
                  <c:v>2044</c:v>
                </c:pt>
                <c:pt idx="59">
                  <c:v>2044.5</c:v>
                </c:pt>
                <c:pt idx="60">
                  <c:v>2045</c:v>
                </c:pt>
                <c:pt idx="61">
                  <c:v>2045.5</c:v>
                </c:pt>
                <c:pt idx="62">
                  <c:v>2046</c:v>
                </c:pt>
                <c:pt idx="63">
                  <c:v>2046.5</c:v>
                </c:pt>
                <c:pt idx="64">
                  <c:v>2047</c:v>
                </c:pt>
                <c:pt idx="65">
                  <c:v>2047.5</c:v>
                </c:pt>
                <c:pt idx="66">
                  <c:v>2048</c:v>
                </c:pt>
                <c:pt idx="67">
                  <c:v>2048.5</c:v>
                </c:pt>
                <c:pt idx="68">
                  <c:v>2049</c:v>
                </c:pt>
                <c:pt idx="69">
                  <c:v>2049.5</c:v>
                </c:pt>
                <c:pt idx="70">
                  <c:v>2050</c:v>
                </c:pt>
                <c:pt idx="71">
                  <c:v>2050.5</c:v>
                </c:pt>
                <c:pt idx="72">
                  <c:v>2051</c:v>
                </c:pt>
                <c:pt idx="73">
                  <c:v>2051.5</c:v>
                </c:pt>
                <c:pt idx="74">
                  <c:v>2052</c:v>
                </c:pt>
                <c:pt idx="75">
                  <c:v>2052.5</c:v>
                </c:pt>
                <c:pt idx="76">
                  <c:v>2053</c:v>
                </c:pt>
                <c:pt idx="77">
                  <c:v>2053.5</c:v>
                </c:pt>
                <c:pt idx="78">
                  <c:v>2054</c:v>
                </c:pt>
                <c:pt idx="79">
                  <c:v>2054.5</c:v>
                </c:pt>
                <c:pt idx="80">
                  <c:v>2055</c:v>
                </c:pt>
                <c:pt idx="81">
                  <c:v>2055.5</c:v>
                </c:pt>
                <c:pt idx="82">
                  <c:v>2056</c:v>
                </c:pt>
                <c:pt idx="83">
                  <c:v>2056.5</c:v>
                </c:pt>
                <c:pt idx="84">
                  <c:v>2057</c:v>
                </c:pt>
                <c:pt idx="85">
                  <c:v>2057.5</c:v>
                </c:pt>
                <c:pt idx="86">
                  <c:v>2058</c:v>
                </c:pt>
                <c:pt idx="87">
                  <c:v>2058.5</c:v>
                </c:pt>
                <c:pt idx="88">
                  <c:v>2059</c:v>
                </c:pt>
                <c:pt idx="89">
                  <c:v>2059.5</c:v>
                </c:pt>
                <c:pt idx="90">
                  <c:v>2060</c:v>
                </c:pt>
                <c:pt idx="91">
                  <c:v>2060.5</c:v>
                </c:pt>
                <c:pt idx="92">
                  <c:v>2061</c:v>
                </c:pt>
                <c:pt idx="93">
                  <c:v>2061.5</c:v>
                </c:pt>
                <c:pt idx="94">
                  <c:v>2062</c:v>
                </c:pt>
                <c:pt idx="95">
                  <c:v>2062.5</c:v>
                </c:pt>
                <c:pt idx="96">
                  <c:v>2063</c:v>
                </c:pt>
                <c:pt idx="97">
                  <c:v>2063.5</c:v>
                </c:pt>
                <c:pt idx="98">
                  <c:v>2064</c:v>
                </c:pt>
                <c:pt idx="99">
                  <c:v>2064.5</c:v>
                </c:pt>
                <c:pt idx="100">
                  <c:v>2065</c:v>
                </c:pt>
              </c:numCache>
            </c:numRef>
          </c:cat>
          <c:val>
            <c:numRef>
              <c:f>[1]Momentum!$B$34:$CX$34</c:f>
              <c:numCache>
                <c:formatCode>General</c:formatCode>
                <c:ptCount val="101"/>
                <c:pt idx="0">
                  <c:v>12108041</c:v>
                </c:pt>
                <c:pt idx="1">
                  <c:v>12108041</c:v>
                </c:pt>
                <c:pt idx="2">
                  <c:v>12267396</c:v>
                </c:pt>
                <c:pt idx="3">
                  <c:v>12422647</c:v>
                </c:pt>
                <c:pt idx="4">
                  <c:v>12574511</c:v>
                </c:pt>
                <c:pt idx="5">
                  <c:v>12723477</c:v>
                </c:pt>
                <c:pt idx="6">
                  <c:v>12869816</c:v>
                </c:pt>
                <c:pt idx="7">
                  <c:v>13013775</c:v>
                </c:pt>
                <c:pt idx="8">
                  <c:v>13155474</c:v>
                </c:pt>
                <c:pt idx="9">
                  <c:v>13295027</c:v>
                </c:pt>
                <c:pt idx="10">
                  <c:v>13432439</c:v>
                </c:pt>
                <c:pt idx="11">
                  <c:v>13567866</c:v>
                </c:pt>
                <c:pt idx="12">
                  <c:v>13701464</c:v>
                </c:pt>
                <c:pt idx="13">
                  <c:v>13833366</c:v>
                </c:pt>
                <c:pt idx="14">
                  <c:v>13963743</c:v>
                </c:pt>
                <c:pt idx="15">
                  <c:v>14092586</c:v>
                </c:pt>
                <c:pt idx="16">
                  <c:v>14219937</c:v>
                </c:pt>
                <c:pt idx="17">
                  <c:v>14345802</c:v>
                </c:pt>
                <c:pt idx="18">
                  <c:v>14470249</c:v>
                </c:pt>
                <c:pt idx="19">
                  <c:v>14593389</c:v>
                </c:pt>
                <c:pt idx="20">
                  <c:v>14715238</c:v>
                </c:pt>
                <c:pt idx="21">
                  <c:v>14760847</c:v>
                </c:pt>
                <c:pt idx="22">
                  <c:v>14803735</c:v>
                </c:pt>
                <c:pt idx="23">
                  <c:v>14843962</c:v>
                </c:pt>
                <c:pt idx="24">
                  <c:v>14881563</c:v>
                </c:pt>
                <c:pt idx="25">
                  <c:v>14916580</c:v>
                </c:pt>
                <c:pt idx="26">
                  <c:v>14949110</c:v>
                </c:pt>
                <c:pt idx="27">
                  <c:v>14979211</c:v>
                </c:pt>
                <c:pt idx="28">
                  <c:v>15006846</c:v>
                </c:pt>
                <c:pt idx="29">
                  <c:v>15032089</c:v>
                </c:pt>
                <c:pt idx="30">
                  <c:v>15054934</c:v>
                </c:pt>
                <c:pt idx="31">
                  <c:v>15155811</c:v>
                </c:pt>
                <c:pt idx="32">
                  <c:v>15255682</c:v>
                </c:pt>
                <c:pt idx="33">
                  <c:v>15354675</c:v>
                </c:pt>
                <c:pt idx="34">
                  <c:v>15452801</c:v>
                </c:pt>
                <c:pt idx="35">
                  <c:v>15550055</c:v>
                </c:pt>
                <c:pt idx="36">
                  <c:v>15646373</c:v>
                </c:pt>
                <c:pt idx="37">
                  <c:v>15741815</c:v>
                </c:pt>
                <c:pt idx="38">
                  <c:v>15836311</c:v>
                </c:pt>
                <c:pt idx="39">
                  <c:v>15929373</c:v>
                </c:pt>
                <c:pt idx="40">
                  <c:v>16020915</c:v>
                </c:pt>
                <c:pt idx="41">
                  <c:v>16111267</c:v>
                </c:pt>
                <c:pt idx="42">
                  <c:v>16200619</c:v>
                </c:pt>
                <c:pt idx="43">
                  <c:v>16288902</c:v>
                </c:pt>
                <c:pt idx="44">
                  <c:v>16376090</c:v>
                </c:pt>
                <c:pt idx="45">
                  <c:v>16462219</c:v>
                </c:pt>
                <c:pt idx="46">
                  <c:v>16547304</c:v>
                </c:pt>
                <c:pt idx="47">
                  <c:v>16631351</c:v>
                </c:pt>
                <c:pt idx="48">
                  <c:v>16714352</c:v>
                </c:pt>
                <c:pt idx="49">
                  <c:v>16796322</c:v>
                </c:pt>
                <c:pt idx="50">
                  <c:v>16877196</c:v>
                </c:pt>
                <c:pt idx="51">
                  <c:v>16867250</c:v>
                </c:pt>
                <c:pt idx="52">
                  <c:v>16854470</c:v>
                </c:pt>
                <c:pt idx="53">
                  <c:v>16839090</c:v>
                </c:pt>
                <c:pt idx="54">
                  <c:v>16821594</c:v>
                </c:pt>
                <c:pt idx="55">
                  <c:v>16801760</c:v>
                </c:pt>
                <c:pt idx="56">
                  <c:v>16779764</c:v>
                </c:pt>
                <c:pt idx="57">
                  <c:v>16755922</c:v>
                </c:pt>
                <c:pt idx="58">
                  <c:v>16730010</c:v>
                </c:pt>
                <c:pt idx="59">
                  <c:v>16702273</c:v>
                </c:pt>
                <c:pt idx="60">
                  <c:v>16672607</c:v>
                </c:pt>
                <c:pt idx="61">
                  <c:v>16734889</c:v>
                </c:pt>
                <c:pt idx="62">
                  <c:v>16795314</c:v>
                </c:pt>
                <c:pt idx="63">
                  <c:v>16854620</c:v>
                </c:pt>
                <c:pt idx="64">
                  <c:v>16912888</c:v>
                </c:pt>
                <c:pt idx="65">
                  <c:v>16969208</c:v>
                </c:pt>
                <c:pt idx="66">
                  <c:v>17024362</c:v>
                </c:pt>
                <c:pt idx="67">
                  <c:v>17078670</c:v>
                </c:pt>
                <c:pt idx="68">
                  <c:v>17131974</c:v>
                </c:pt>
                <c:pt idx="69">
                  <c:v>17183502</c:v>
                </c:pt>
                <c:pt idx="70">
                  <c:v>17233956</c:v>
                </c:pt>
                <c:pt idx="71">
                  <c:v>17282938</c:v>
                </c:pt>
                <c:pt idx="72">
                  <c:v>17330426</c:v>
                </c:pt>
                <c:pt idx="73">
                  <c:v>17376516</c:v>
                </c:pt>
                <c:pt idx="74">
                  <c:v>17421166</c:v>
                </c:pt>
                <c:pt idx="75">
                  <c:v>17464512</c:v>
                </c:pt>
                <c:pt idx="76">
                  <c:v>17506594</c:v>
                </c:pt>
                <c:pt idx="77">
                  <c:v>17547440</c:v>
                </c:pt>
                <c:pt idx="78">
                  <c:v>17587146</c:v>
                </c:pt>
                <c:pt idx="79">
                  <c:v>17625706</c:v>
                </c:pt>
                <c:pt idx="80">
                  <c:v>17663206</c:v>
                </c:pt>
                <c:pt idx="81">
                  <c:v>17601166</c:v>
                </c:pt>
                <c:pt idx="82">
                  <c:v>17538066</c:v>
                </c:pt>
                <c:pt idx="83">
                  <c:v>17473904</c:v>
                </c:pt>
                <c:pt idx="84">
                  <c:v>17408970</c:v>
                </c:pt>
                <c:pt idx="85">
                  <c:v>17343112</c:v>
                </c:pt>
                <c:pt idx="86">
                  <c:v>17276394</c:v>
                </c:pt>
                <c:pt idx="87">
                  <c:v>17208872</c:v>
                </c:pt>
                <c:pt idx="88">
                  <c:v>17140502</c:v>
                </c:pt>
                <c:pt idx="89">
                  <c:v>17071218</c:v>
                </c:pt>
                <c:pt idx="90">
                  <c:v>17000102</c:v>
                </c:pt>
                <c:pt idx="91">
                  <c:v>17028570</c:v>
                </c:pt>
                <c:pt idx="92">
                  <c:v>17055912</c:v>
                </c:pt>
                <c:pt idx="93">
                  <c:v>17082898</c:v>
                </c:pt>
                <c:pt idx="94">
                  <c:v>17109206</c:v>
                </c:pt>
                <c:pt idx="95">
                  <c:v>17134562</c:v>
                </c:pt>
                <c:pt idx="96">
                  <c:v>17159310</c:v>
                </c:pt>
                <c:pt idx="97">
                  <c:v>17183406</c:v>
                </c:pt>
                <c:pt idx="98">
                  <c:v>17206972</c:v>
                </c:pt>
                <c:pt idx="99">
                  <c:v>17229526</c:v>
                </c:pt>
                <c:pt idx="100">
                  <c:v>17251222</c:v>
                </c:pt>
              </c:numCache>
            </c:numRef>
          </c:val>
          <c:smooth val="0"/>
          <c:extLst>
            <c:ext xmlns:c16="http://schemas.microsoft.com/office/drawing/2014/chart" uri="{C3380CC4-5D6E-409C-BE32-E72D297353CC}">
              <c16:uniqueId val="{00000001-8C03-4CB6-824B-9C050F7AA8BF}"/>
            </c:ext>
          </c:extLst>
        </c:ser>
        <c:ser>
          <c:idx val="1"/>
          <c:order val="1"/>
          <c:tx>
            <c:strRef>
              <c:f>Outputs!$D$4</c:f>
              <c:strCache>
                <c:ptCount val="1"/>
                <c:pt idx="0">
                  <c:v>Tech_Triumphs</c:v>
                </c:pt>
              </c:strCache>
            </c:strRef>
          </c:tx>
          <c:spPr>
            <a:ln w="28575" cap="rnd">
              <a:solidFill>
                <a:schemeClr val="accent2"/>
              </a:solidFill>
              <a:round/>
            </a:ln>
            <a:effectLst/>
          </c:spPr>
          <c:marker>
            <c:symbol val="none"/>
          </c:marker>
          <c:cat>
            <c:numRef>
              <c:f>[1]Momentum!$B$1:$CX$1</c:f>
              <c:numCache>
                <c:formatCode>General</c:formatCode>
                <c:ptCount val="101"/>
                <c:pt idx="0">
                  <c:v>2015</c:v>
                </c:pt>
                <c:pt idx="1">
                  <c:v>2015.5</c:v>
                </c:pt>
                <c:pt idx="2">
                  <c:v>2016</c:v>
                </c:pt>
                <c:pt idx="3">
                  <c:v>2016.5</c:v>
                </c:pt>
                <c:pt idx="4">
                  <c:v>2017</c:v>
                </c:pt>
                <c:pt idx="5">
                  <c:v>2017.5</c:v>
                </c:pt>
                <c:pt idx="6">
                  <c:v>2018</c:v>
                </c:pt>
                <c:pt idx="7">
                  <c:v>2018.5</c:v>
                </c:pt>
                <c:pt idx="8">
                  <c:v>2019</c:v>
                </c:pt>
                <c:pt idx="9">
                  <c:v>2019.5</c:v>
                </c:pt>
                <c:pt idx="10">
                  <c:v>2020</c:v>
                </c:pt>
                <c:pt idx="11">
                  <c:v>2020.5</c:v>
                </c:pt>
                <c:pt idx="12">
                  <c:v>2021</c:v>
                </c:pt>
                <c:pt idx="13">
                  <c:v>2021.5</c:v>
                </c:pt>
                <c:pt idx="14">
                  <c:v>2022</c:v>
                </c:pt>
                <c:pt idx="15">
                  <c:v>2022.5</c:v>
                </c:pt>
                <c:pt idx="16">
                  <c:v>2023</c:v>
                </c:pt>
                <c:pt idx="17">
                  <c:v>2023.5</c:v>
                </c:pt>
                <c:pt idx="18">
                  <c:v>2024</c:v>
                </c:pt>
                <c:pt idx="19">
                  <c:v>2024.5</c:v>
                </c:pt>
                <c:pt idx="20">
                  <c:v>2025</c:v>
                </c:pt>
                <c:pt idx="21">
                  <c:v>2025.5</c:v>
                </c:pt>
                <c:pt idx="22">
                  <c:v>2026</c:v>
                </c:pt>
                <c:pt idx="23">
                  <c:v>2026.5</c:v>
                </c:pt>
                <c:pt idx="24">
                  <c:v>2027</c:v>
                </c:pt>
                <c:pt idx="25">
                  <c:v>2027.5</c:v>
                </c:pt>
                <c:pt idx="26">
                  <c:v>2028</c:v>
                </c:pt>
                <c:pt idx="27">
                  <c:v>2028.5</c:v>
                </c:pt>
                <c:pt idx="28">
                  <c:v>2029</c:v>
                </c:pt>
                <c:pt idx="29">
                  <c:v>2029.5</c:v>
                </c:pt>
                <c:pt idx="30">
                  <c:v>2030</c:v>
                </c:pt>
                <c:pt idx="31">
                  <c:v>2030.5</c:v>
                </c:pt>
                <c:pt idx="32">
                  <c:v>2031</c:v>
                </c:pt>
                <c:pt idx="33">
                  <c:v>2031.5</c:v>
                </c:pt>
                <c:pt idx="34">
                  <c:v>2032</c:v>
                </c:pt>
                <c:pt idx="35">
                  <c:v>2032.5</c:v>
                </c:pt>
                <c:pt idx="36">
                  <c:v>2033</c:v>
                </c:pt>
                <c:pt idx="37">
                  <c:v>2033.5</c:v>
                </c:pt>
                <c:pt idx="38">
                  <c:v>2034</c:v>
                </c:pt>
                <c:pt idx="39">
                  <c:v>2034.5</c:v>
                </c:pt>
                <c:pt idx="40">
                  <c:v>2035</c:v>
                </c:pt>
                <c:pt idx="41">
                  <c:v>2035.5</c:v>
                </c:pt>
                <c:pt idx="42">
                  <c:v>2036</c:v>
                </c:pt>
                <c:pt idx="43">
                  <c:v>2036.5</c:v>
                </c:pt>
                <c:pt idx="44">
                  <c:v>2037</c:v>
                </c:pt>
                <c:pt idx="45">
                  <c:v>2037.5</c:v>
                </c:pt>
                <c:pt idx="46">
                  <c:v>2038</c:v>
                </c:pt>
                <c:pt idx="47">
                  <c:v>2038.5</c:v>
                </c:pt>
                <c:pt idx="48">
                  <c:v>2039</c:v>
                </c:pt>
                <c:pt idx="49">
                  <c:v>2039.5</c:v>
                </c:pt>
                <c:pt idx="50">
                  <c:v>2040</c:v>
                </c:pt>
                <c:pt idx="51">
                  <c:v>2040.5</c:v>
                </c:pt>
                <c:pt idx="52">
                  <c:v>2041</c:v>
                </c:pt>
                <c:pt idx="53">
                  <c:v>2041.5</c:v>
                </c:pt>
                <c:pt idx="54">
                  <c:v>2042</c:v>
                </c:pt>
                <c:pt idx="55">
                  <c:v>2042.5</c:v>
                </c:pt>
                <c:pt idx="56">
                  <c:v>2043</c:v>
                </c:pt>
                <c:pt idx="57">
                  <c:v>2043.5</c:v>
                </c:pt>
                <c:pt idx="58">
                  <c:v>2044</c:v>
                </c:pt>
                <c:pt idx="59">
                  <c:v>2044.5</c:v>
                </c:pt>
                <c:pt idx="60">
                  <c:v>2045</c:v>
                </c:pt>
                <c:pt idx="61">
                  <c:v>2045.5</c:v>
                </c:pt>
                <c:pt idx="62">
                  <c:v>2046</c:v>
                </c:pt>
                <c:pt idx="63">
                  <c:v>2046.5</c:v>
                </c:pt>
                <c:pt idx="64">
                  <c:v>2047</c:v>
                </c:pt>
                <c:pt idx="65">
                  <c:v>2047.5</c:v>
                </c:pt>
                <c:pt idx="66">
                  <c:v>2048</c:v>
                </c:pt>
                <c:pt idx="67">
                  <c:v>2048.5</c:v>
                </c:pt>
                <c:pt idx="68">
                  <c:v>2049</c:v>
                </c:pt>
                <c:pt idx="69">
                  <c:v>2049.5</c:v>
                </c:pt>
                <c:pt idx="70">
                  <c:v>2050</c:v>
                </c:pt>
                <c:pt idx="71">
                  <c:v>2050.5</c:v>
                </c:pt>
                <c:pt idx="72">
                  <c:v>2051</c:v>
                </c:pt>
                <c:pt idx="73">
                  <c:v>2051.5</c:v>
                </c:pt>
                <c:pt idx="74">
                  <c:v>2052</c:v>
                </c:pt>
                <c:pt idx="75">
                  <c:v>2052.5</c:v>
                </c:pt>
                <c:pt idx="76">
                  <c:v>2053</c:v>
                </c:pt>
                <c:pt idx="77">
                  <c:v>2053.5</c:v>
                </c:pt>
                <c:pt idx="78">
                  <c:v>2054</c:v>
                </c:pt>
                <c:pt idx="79">
                  <c:v>2054.5</c:v>
                </c:pt>
                <c:pt idx="80">
                  <c:v>2055</c:v>
                </c:pt>
                <c:pt idx="81">
                  <c:v>2055.5</c:v>
                </c:pt>
                <c:pt idx="82">
                  <c:v>2056</c:v>
                </c:pt>
                <c:pt idx="83">
                  <c:v>2056.5</c:v>
                </c:pt>
                <c:pt idx="84">
                  <c:v>2057</c:v>
                </c:pt>
                <c:pt idx="85">
                  <c:v>2057.5</c:v>
                </c:pt>
                <c:pt idx="86">
                  <c:v>2058</c:v>
                </c:pt>
                <c:pt idx="87">
                  <c:v>2058.5</c:v>
                </c:pt>
                <c:pt idx="88">
                  <c:v>2059</c:v>
                </c:pt>
                <c:pt idx="89">
                  <c:v>2059.5</c:v>
                </c:pt>
                <c:pt idx="90">
                  <c:v>2060</c:v>
                </c:pt>
                <c:pt idx="91">
                  <c:v>2060.5</c:v>
                </c:pt>
                <c:pt idx="92">
                  <c:v>2061</c:v>
                </c:pt>
                <c:pt idx="93">
                  <c:v>2061.5</c:v>
                </c:pt>
                <c:pt idx="94">
                  <c:v>2062</c:v>
                </c:pt>
                <c:pt idx="95">
                  <c:v>2062.5</c:v>
                </c:pt>
                <c:pt idx="96">
                  <c:v>2063</c:v>
                </c:pt>
                <c:pt idx="97">
                  <c:v>2063.5</c:v>
                </c:pt>
                <c:pt idx="98">
                  <c:v>2064</c:v>
                </c:pt>
                <c:pt idx="99">
                  <c:v>2064.5</c:v>
                </c:pt>
                <c:pt idx="100">
                  <c:v>2065</c:v>
                </c:pt>
              </c:numCache>
            </c:numRef>
          </c:cat>
          <c:val>
            <c:numRef>
              <c:f>[1]Tech_Triumphs!$B$34:$CX$34</c:f>
              <c:numCache>
                <c:formatCode>General</c:formatCode>
                <c:ptCount val="101"/>
                <c:pt idx="0">
                  <c:v>12108041</c:v>
                </c:pt>
                <c:pt idx="1">
                  <c:v>12108041</c:v>
                </c:pt>
                <c:pt idx="2">
                  <c:v>12267396</c:v>
                </c:pt>
                <c:pt idx="3">
                  <c:v>12422647</c:v>
                </c:pt>
                <c:pt idx="4">
                  <c:v>12574511</c:v>
                </c:pt>
                <c:pt idx="5">
                  <c:v>12723477</c:v>
                </c:pt>
                <c:pt idx="6">
                  <c:v>12869816</c:v>
                </c:pt>
                <c:pt idx="7">
                  <c:v>13013775</c:v>
                </c:pt>
                <c:pt idx="8">
                  <c:v>13155474</c:v>
                </c:pt>
                <c:pt idx="9">
                  <c:v>13295027</c:v>
                </c:pt>
                <c:pt idx="10">
                  <c:v>13432439</c:v>
                </c:pt>
                <c:pt idx="11">
                  <c:v>13567866</c:v>
                </c:pt>
                <c:pt idx="12">
                  <c:v>13701464</c:v>
                </c:pt>
                <c:pt idx="13">
                  <c:v>13833366</c:v>
                </c:pt>
                <c:pt idx="14">
                  <c:v>13963743</c:v>
                </c:pt>
                <c:pt idx="15">
                  <c:v>14092586</c:v>
                </c:pt>
                <c:pt idx="16">
                  <c:v>14219937</c:v>
                </c:pt>
                <c:pt idx="17">
                  <c:v>14345802</c:v>
                </c:pt>
                <c:pt idx="18">
                  <c:v>14470249</c:v>
                </c:pt>
                <c:pt idx="19">
                  <c:v>14593389</c:v>
                </c:pt>
                <c:pt idx="20">
                  <c:v>14715238</c:v>
                </c:pt>
                <c:pt idx="21">
                  <c:v>14909995</c:v>
                </c:pt>
                <c:pt idx="22">
                  <c:v>15104091</c:v>
                </c:pt>
                <c:pt idx="23">
                  <c:v>15297504</c:v>
                </c:pt>
                <c:pt idx="24">
                  <c:v>15489888</c:v>
                </c:pt>
                <c:pt idx="25">
                  <c:v>15681331</c:v>
                </c:pt>
                <c:pt idx="26">
                  <c:v>15871571</c:v>
                </c:pt>
                <c:pt idx="27">
                  <c:v>16061220</c:v>
                </c:pt>
                <c:pt idx="28">
                  <c:v>16250035</c:v>
                </c:pt>
                <c:pt idx="29">
                  <c:v>16437672</c:v>
                </c:pt>
                <c:pt idx="30">
                  <c:v>16623991</c:v>
                </c:pt>
                <c:pt idx="31">
                  <c:v>16809018</c:v>
                </c:pt>
                <c:pt idx="32">
                  <c:v>16993328</c:v>
                </c:pt>
                <c:pt idx="33">
                  <c:v>17176930</c:v>
                </c:pt>
                <c:pt idx="34">
                  <c:v>17359844</c:v>
                </c:pt>
                <c:pt idx="35">
                  <c:v>17542108</c:v>
                </c:pt>
                <c:pt idx="36">
                  <c:v>17723594</c:v>
                </c:pt>
                <c:pt idx="37">
                  <c:v>17904384</c:v>
                </c:pt>
                <c:pt idx="38">
                  <c:v>18084434</c:v>
                </c:pt>
                <c:pt idx="39">
                  <c:v>18263840</c:v>
                </c:pt>
                <c:pt idx="40">
                  <c:v>18442492</c:v>
                </c:pt>
                <c:pt idx="41">
                  <c:v>18620206</c:v>
                </c:pt>
                <c:pt idx="42">
                  <c:v>18796062</c:v>
                </c:pt>
                <c:pt idx="43">
                  <c:v>18970684</c:v>
                </c:pt>
                <c:pt idx="44">
                  <c:v>19143842</c:v>
                </c:pt>
                <c:pt idx="45">
                  <c:v>19315772</c:v>
                </c:pt>
                <c:pt idx="46">
                  <c:v>19486456</c:v>
                </c:pt>
                <c:pt idx="47">
                  <c:v>19655186</c:v>
                </c:pt>
                <c:pt idx="48">
                  <c:v>19822584</c:v>
                </c:pt>
                <c:pt idx="49">
                  <c:v>19988564</c:v>
                </c:pt>
                <c:pt idx="50">
                  <c:v>20153306</c:v>
                </c:pt>
                <c:pt idx="51">
                  <c:v>20316294</c:v>
                </c:pt>
                <c:pt idx="52">
                  <c:v>20477808</c:v>
                </c:pt>
                <c:pt idx="53">
                  <c:v>20636546</c:v>
                </c:pt>
                <c:pt idx="54">
                  <c:v>20793474</c:v>
                </c:pt>
                <c:pt idx="55">
                  <c:v>20948516</c:v>
                </c:pt>
                <c:pt idx="56">
                  <c:v>21101880</c:v>
                </c:pt>
                <c:pt idx="57">
                  <c:v>21253510</c:v>
                </c:pt>
                <c:pt idx="58">
                  <c:v>21403326</c:v>
                </c:pt>
                <c:pt idx="59">
                  <c:v>21551258</c:v>
                </c:pt>
                <c:pt idx="60">
                  <c:v>21697288</c:v>
                </c:pt>
                <c:pt idx="61">
                  <c:v>21841468</c:v>
                </c:pt>
                <c:pt idx="62">
                  <c:v>21983648</c:v>
                </c:pt>
                <c:pt idx="63">
                  <c:v>22123956</c:v>
                </c:pt>
                <c:pt idx="64">
                  <c:v>22262328</c:v>
                </c:pt>
                <c:pt idx="65">
                  <c:v>22398606</c:v>
                </c:pt>
                <c:pt idx="66">
                  <c:v>22532242</c:v>
                </c:pt>
                <c:pt idx="67">
                  <c:v>22663862</c:v>
                </c:pt>
                <c:pt idx="68">
                  <c:v>22792386</c:v>
                </c:pt>
                <c:pt idx="69">
                  <c:v>22918502</c:v>
                </c:pt>
                <c:pt idx="70">
                  <c:v>23042494</c:v>
                </c:pt>
                <c:pt idx="71">
                  <c:v>23073728</c:v>
                </c:pt>
                <c:pt idx="72">
                  <c:v>23103976</c:v>
                </c:pt>
                <c:pt idx="73">
                  <c:v>23133662</c:v>
                </c:pt>
                <c:pt idx="74">
                  <c:v>23162600</c:v>
                </c:pt>
                <c:pt idx="75">
                  <c:v>23190788</c:v>
                </c:pt>
                <c:pt idx="76">
                  <c:v>23218262</c:v>
                </c:pt>
                <c:pt idx="77">
                  <c:v>23245134</c:v>
                </c:pt>
                <c:pt idx="78">
                  <c:v>23271368</c:v>
                </c:pt>
                <c:pt idx="79">
                  <c:v>23296956</c:v>
                </c:pt>
                <c:pt idx="80">
                  <c:v>23321862</c:v>
                </c:pt>
                <c:pt idx="81">
                  <c:v>23346104</c:v>
                </c:pt>
                <c:pt idx="82">
                  <c:v>23369808</c:v>
                </c:pt>
                <c:pt idx="83">
                  <c:v>23392870</c:v>
                </c:pt>
                <c:pt idx="84">
                  <c:v>23414670</c:v>
                </c:pt>
                <c:pt idx="85">
                  <c:v>23435926</c:v>
                </c:pt>
                <c:pt idx="86">
                  <c:v>23456452</c:v>
                </c:pt>
                <c:pt idx="87">
                  <c:v>23475608</c:v>
                </c:pt>
                <c:pt idx="88">
                  <c:v>23494072</c:v>
                </c:pt>
                <c:pt idx="89">
                  <c:v>23511952</c:v>
                </c:pt>
                <c:pt idx="90">
                  <c:v>23529458</c:v>
                </c:pt>
                <c:pt idx="91">
                  <c:v>23546666</c:v>
                </c:pt>
                <c:pt idx="92">
                  <c:v>23563718</c:v>
                </c:pt>
                <c:pt idx="93">
                  <c:v>23580234</c:v>
                </c:pt>
                <c:pt idx="94">
                  <c:v>23596874</c:v>
                </c:pt>
                <c:pt idx="95">
                  <c:v>23613248</c:v>
                </c:pt>
                <c:pt idx="96">
                  <c:v>23629264</c:v>
                </c:pt>
                <c:pt idx="97">
                  <c:v>23644638</c:v>
                </c:pt>
                <c:pt idx="98">
                  <c:v>23658990</c:v>
                </c:pt>
                <c:pt idx="99">
                  <c:v>23671974</c:v>
                </c:pt>
                <c:pt idx="100">
                  <c:v>23684516</c:v>
                </c:pt>
              </c:numCache>
            </c:numRef>
          </c:val>
          <c:smooth val="0"/>
          <c:extLst>
            <c:ext xmlns:c16="http://schemas.microsoft.com/office/drawing/2014/chart" uri="{C3380CC4-5D6E-409C-BE32-E72D297353CC}">
              <c16:uniqueId val="{00000002-8C03-4CB6-824B-9C050F7AA8BF}"/>
            </c:ext>
          </c:extLst>
        </c:ser>
        <c:ser>
          <c:idx val="2"/>
          <c:order val="2"/>
          <c:tx>
            <c:strRef>
              <c:f>Outputs!$D$5</c:f>
              <c:strCache>
                <c:ptCount val="1"/>
                <c:pt idx="0">
                  <c:v>Gentle_Footprint</c:v>
                </c:pt>
              </c:strCache>
            </c:strRef>
          </c:tx>
          <c:spPr>
            <a:ln w="28575" cap="rnd">
              <a:solidFill>
                <a:schemeClr val="accent3"/>
              </a:solidFill>
              <a:round/>
            </a:ln>
            <a:effectLst/>
          </c:spPr>
          <c:marker>
            <c:symbol val="none"/>
          </c:marker>
          <c:cat>
            <c:numRef>
              <c:f>[1]Momentum!$B$1:$CX$1</c:f>
              <c:numCache>
                <c:formatCode>General</c:formatCode>
                <c:ptCount val="101"/>
                <c:pt idx="0">
                  <c:v>2015</c:v>
                </c:pt>
                <c:pt idx="1">
                  <c:v>2015.5</c:v>
                </c:pt>
                <c:pt idx="2">
                  <c:v>2016</c:v>
                </c:pt>
                <c:pt idx="3">
                  <c:v>2016.5</c:v>
                </c:pt>
                <c:pt idx="4">
                  <c:v>2017</c:v>
                </c:pt>
                <c:pt idx="5">
                  <c:v>2017.5</c:v>
                </c:pt>
                <c:pt idx="6">
                  <c:v>2018</c:v>
                </c:pt>
                <c:pt idx="7">
                  <c:v>2018.5</c:v>
                </c:pt>
                <c:pt idx="8">
                  <c:v>2019</c:v>
                </c:pt>
                <c:pt idx="9">
                  <c:v>2019.5</c:v>
                </c:pt>
                <c:pt idx="10">
                  <c:v>2020</c:v>
                </c:pt>
                <c:pt idx="11">
                  <c:v>2020.5</c:v>
                </c:pt>
                <c:pt idx="12">
                  <c:v>2021</c:v>
                </c:pt>
                <c:pt idx="13">
                  <c:v>2021.5</c:v>
                </c:pt>
                <c:pt idx="14">
                  <c:v>2022</c:v>
                </c:pt>
                <c:pt idx="15">
                  <c:v>2022.5</c:v>
                </c:pt>
                <c:pt idx="16">
                  <c:v>2023</c:v>
                </c:pt>
                <c:pt idx="17">
                  <c:v>2023.5</c:v>
                </c:pt>
                <c:pt idx="18">
                  <c:v>2024</c:v>
                </c:pt>
                <c:pt idx="19">
                  <c:v>2024.5</c:v>
                </c:pt>
                <c:pt idx="20">
                  <c:v>2025</c:v>
                </c:pt>
                <c:pt idx="21">
                  <c:v>2025.5</c:v>
                </c:pt>
                <c:pt idx="22">
                  <c:v>2026</c:v>
                </c:pt>
                <c:pt idx="23">
                  <c:v>2026.5</c:v>
                </c:pt>
                <c:pt idx="24">
                  <c:v>2027</c:v>
                </c:pt>
                <c:pt idx="25">
                  <c:v>2027.5</c:v>
                </c:pt>
                <c:pt idx="26">
                  <c:v>2028</c:v>
                </c:pt>
                <c:pt idx="27">
                  <c:v>2028.5</c:v>
                </c:pt>
                <c:pt idx="28">
                  <c:v>2029</c:v>
                </c:pt>
                <c:pt idx="29">
                  <c:v>2029.5</c:v>
                </c:pt>
                <c:pt idx="30">
                  <c:v>2030</c:v>
                </c:pt>
                <c:pt idx="31">
                  <c:v>2030.5</c:v>
                </c:pt>
                <c:pt idx="32">
                  <c:v>2031</c:v>
                </c:pt>
                <c:pt idx="33">
                  <c:v>2031.5</c:v>
                </c:pt>
                <c:pt idx="34">
                  <c:v>2032</c:v>
                </c:pt>
                <c:pt idx="35">
                  <c:v>2032.5</c:v>
                </c:pt>
                <c:pt idx="36">
                  <c:v>2033</c:v>
                </c:pt>
                <c:pt idx="37">
                  <c:v>2033.5</c:v>
                </c:pt>
                <c:pt idx="38">
                  <c:v>2034</c:v>
                </c:pt>
                <c:pt idx="39">
                  <c:v>2034.5</c:v>
                </c:pt>
                <c:pt idx="40">
                  <c:v>2035</c:v>
                </c:pt>
                <c:pt idx="41">
                  <c:v>2035.5</c:v>
                </c:pt>
                <c:pt idx="42">
                  <c:v>2036</c:v>
                </c:pt>
                <c:pt idx="43">
                  <c:v>2036.5</c:v>
                </c:pt>
                <c:pt idx="44">
                  <c:v>2037</c:v>
                </c:pt>
                <c:pt idx="45">
                  <c:v>2037.5</c:v>
                </c:pt>
                <c:pt idx="46">
                  <c:v>2038</c:v>
                </c:pt>
                <c:pt idx="47">
                  <c:v>2038.5</c:v>
                </c:pt>
                <c:pt idx="48">
                  <c:v>2039</c:v>
                </c:pt>
                <c:pt idx="49">
                  <c:v>2039.5</c:v>
                </c:pt>
                <c:pt idx="50">
                  <c:v>2040</c:v>
                </c:pt>
                <c:pt idx="51">
                  <c:v>2040.5</c:v>
                </c:pt>
                <c:pt idx="52">
                  <c:v>2041</c:v>
                </c:pt>
                <c:pt idx="53">
                  <c:v>2041.5</c:v>
                </c:pt>
                <c:pt idx="54">
                  <c:v>2042</c:v>
                </c:pt>
                <c:pt idx="55">
                  <c:v>2042.5</c:v>
                </c:pt>
                <c:pt idx="56">
                  <c:v>2043</c:v>
                </c:pt>
                <c:pt idx="57">
                  <c:v>2043.5</c:v>
                </c:pt>
                <c:pt idx="58">
                  <c:v>2044</c:v>
                </c:pt>
                <c:pt idx="59">
                  <c:v>2044.5</c:v>
                </c:pt>
                <c:pt idx="60">
                  <c:v>2045</c:v>
                </c:pt>
                <c:pt idx="61">
                  <c:v>2045.5</c:v>
                </c:pt>
                <c:pt idx="62">
                  <c:v>2046</c:v>
                </c:pt>
                <c:pt idx="63">
                  <c:v>2046.5</c:v>
                </c:pt>
                <c:pt idx="64">
                  <c:v>2047</c:v>
                </c:pt>
                <c:pt idx="65">
                  <c:v>2047.5</c:v>
                </c:pt>
                <c:pt idx="66">
                  <c:v>2048</c:v>
                </c:pt>
                <c:pt idx="67">
                  <c:v>2048.5</c:v>
                </c:pt>
                <c:pt idx="68">
                  <c:v>2049</c:v>
                </c:pt>
                <c:pt idx="69">
                  <c:v>2049.5</c:v>
                </c:pt>
                <c:pt idx="70">
                  <c:v>2050</c:v>
                </c:pt>
                <c:pt idx="71">
                  <c:v>2050.5</c:v>
                </c:pt>
                <c:pt idx="72">
                  <c:v>2051</c:v>
                </c:pt>
                <c:pt idx="73">
                  <c:v>2051.5</c:v>
                </c:pt>
                <c:pt idx="74">
                  <c:v>2052</c:v>
                </c:pt>
                <c:pt idx="75">
                  <c:v>2052.5</c:v>
                </c:pt>
                <c:pt idx="76">
                  <c:v>2053</c:v>
                </c:pt>
                <c:pt idx="77">
                  <c:v>2053.5</c:v>
                </c:pt>
                <c:pt idx="78">
                  <c:v>2054</c:v>
                </c:pt>
                <c:pt idx="79">
                  <c:v>2054.5</c:v>
                </c:pt>
                <c:pt idx="80">
                  <c:v>2055</c:v>
                </c:pt>
                <c:pt idx="81">
                  <c:v>2055.5</c:v>
                </c:pt>
                <c:pt idx="82">
                  <c:v>2056</c:v>
                </c:pt>
                <c:pt idx="83">
                  <c:v>2056.5</c:v>
                </c:pt>
                <c:pt idx="84">
                  <c:v>2057</c:v>
                </c:pt>
                <c:pt idx="85">
                  <c:v>2057.5</c:v>
                </c:pt>
                <c:pt idx="86">
                  <c:v>2058</c:v>
                </c:pt>
                <c:pt idx="87">
                  <c:v>2058.5</c:v>
                </c:pt>
                <c:pt idx="88">
                  <c:v>2059</c:v>
                </c:pt>
                <c:pt idx="89">
                  <c:v>2059.5</c:v>
                </c:pt>
                <c:pt idx="90">
                  <c:v>2060</c:v>
                </c:pt>
                <c:pt idx="91">
                  <c:v>2060.5</c:v>
                </c:pt>
                <c:pt idx="92">
                  <c:v>2061</c:v>
                </c:pt>
                <c:pt idx="93">
                  <c:v>2061.5</c:v>
                </c:pt>
                <c:pt idx="94">
                  <c:v>2062</c:v>
                </c:pt>
                <c:pt idx="95">
                  <c:v>2062.5</c:v>
                </c:pt>
                <c:pt idx="96">
                  <c:v>2063</c:v>
                </c:pt>
                <c:pt idx="97">
                  <c:v>2063.5</c:v>
                </c:pt>
                <c:pt idx="98">
                  <c:v>2064</c:v>
                </c:pt>
                <c:pt idx="99">
                  <c:v>2064.5</c:v>
                </c:pt>
                <c:pt idx="100">
                  <c:v>2065</c:v>
                </c:pt>
              </c:numCache>
            </c:numRef>
          </c:cat>
          <c:val>
            <c:numRef>
              <c:f>[1]Gentle_Footprint!$B$34:$CX$34</c:f>
              <c:numCache>
                <c:formatCode>General</c:formatCode>
                <c:ptCount val="101"/>
                <c:pt idx="0">
                  <c:v>12108041</c:v>
                </c:pt>
                <c:pt idx="1">
                  <c:v>12108041</c:v>
                </c:pt>
                <c:pt idx="2">
                  <c:v>12267396</c:v>
                </c:pt>
                <c:pt idx="3">
                  <c:v>12422647</c:v>
                </c:pt>
                <c:pt idx="4">
                  <c:v>12574511</c:v>
                </c:pt>
                <c:pt idx="5">
                  <c:v>12723477</c:v>
                </c:pt>
                <c:pt idx="6">
                  <c:v>12869816</c:v>
                </c:pt>
                <c:pt idx="7">
                  <c:v>13013775</c:v>
                </c:pt>
                <c:pt idx="8">
                  <c:v>13155474</c:v>
                </c:pt>
                <c:pt idx="9">
                  <c:v>13295027</c:v>
                </c:pt>
                <c:pt idx="10">
                  <c:v>13432439</c:v>
                </c:pt>
                <c:pt idx="11">
                  <c:v>13567866</c:v>
                </c:pt>
                <c:pt idx="12">
                  <c:v>13701464</c:v>
                </c:pt>
                <c:pt idx="13">
                  <c:v>13833366</c:v>
                </c:pt>
                <c:pt idx="14">
                  <c:v>13963743</c:v>
                </c:pt>
                <c:pt idx="15">
                  <c:v>14092586</c:v>
                </c:pt>
                <c:pt idx="16">
                  <c:v>14219937</c:v>
                </c:pt>
                <c:pt idx="17">
                  <c:v>14345802</c:v>
                </c:pt>
                <c:pt idx="18">
                  <c:v>14470249</c:v>
                </c:pt>
                <c:pt idx="19">
                  <c:v>14593389</c:v>
                </c:pt>
                <c:pt idx="20">
                  <c:v>14715238</c:v>
                </c:pt>
                <c:pt idx="21">
                  <c:v>14759159</c:v>
                </c:pt>
                <c:pt idx="22">
                  <c:v>14799039</c:v>
                </c:pt>
                <c:pt idx="23">
                  <c:v>14835087</c:v>
                </c:pt>
                <c:pt idx="24">
                  <c:v>14867342</c:v>
                </c:pt>
                <c:pt idx="25">
                  <c:v>14895921</c:v>
                </c:pt>
                <c:pt idx="26">
                  <c:v>14920854</c:v>
                </c:pt>
                <c:pt idx="27">
                  <c:v>14942176</c:v>
                </c:pt>
                <c:pt idx="28">
                  <c:v>14959508</c:v>
                </c:pt>
                <c:pt idx="29">
                  <c:v>14973105</c:v>
                </c:pt>
                <c:pt idx="30">
                  <c:v>14983331</c:v>
                </c:pt>
                <c:pt idx="31">
                  <c:v>14990317</c:v>
                </c:pt>
                <c:pt idx="32">
                  <c:v>14993192</c:v>
                </c:pt>
                <c:pt idx="33">
                  <c:v>14992735</c:v>
                </c:pt>
                <c:pt idx="34">
                  <c:v>14988929</c:v>
                </c:pt>
                <c:pt idx="35">
                  <c:v>14981695</c:v>
                </c:pt>
                <c:pt idx="36">
                  <c:v>14971203</c:v>
                </c:pt>
                <c:pt idx="37">
                  <c:v>14957004</c:v>
                </c:pt>
                <c:pt idx="38">
                  <c:v>14939517</c:v>
                </c:pt>
                <c:pt idx="39">
                  <c:v>14918839</c:v>
                </c:pt>
                <c:pt idx="40">
                  <c:v>14895360</c:v>
                </c:pt>
                <c:pt idx="41">
                  <c:v>14867802</c:v>
                </c:pt>
                <c:pt idx="42">
                  <c:v>14836852</c:v>
                </c:pt>
                <c:pt idx="43">
                  <c:v>14802411</c:v>
                </c:pt>
                <c:pt idx="44">
                  <c:v>14764860</c:v>
                </c:pt>
                <c:pt idx="45">
                  <c:v>14724125</c:v>
                </c:pt>
                <c:pt idx="46">
                  <c:v>14679694</c:v>
                </c:pt>
                <c:pt idx="47">
                  <c:v>14632058</c:v>
                </c:pt>
                <c:pt idx="48">
                  <c:v>14581030</c:v>
                </c:pt>
                <c:pt idx="49">
                  <c:v>14527118</c:v>
                </c:pt>
                <c:pt idx="50">
                  <c:v>14469737</c:v>
                </c:pt>
                <c:pt idx="51">
                  <c:v>14410151</c:v>
                </c:pt>
                <c:pt idx="52">
                  <c:v>14348155</c:v>
                </c:pt>
                <c:pt idx="53">
                  <c:v>14283917</c:v>
                </c:pt>
                <c:pt idx="54">
                  <c:v>14216865</c:v>
                </c:pt>
                <c:pt idx="55">
                  <c:v>14147615</c:v>
                </c:pt>
                <c:pt idx="56">
                  <c:v>14075948</c:v>
                </c:pt>
                <c:pt idx="57">
                  <c:v>14002141</c:v>
                </c:pt>
                <c:pt idx="58">
                  <c:v>13926031</c:v>
                </c:pt>
                <c:pt idx="59">
                  <c:v>13847252</c:v>
                </c:pt>
                <c:pt idx="60">
                  <c:v>13766415</c:v>
                </c:pt>
                <c:pt idx="61">
                  <c:v>13683870</c:v>
                </c:pt>
                <c:pt idx="62">
                  <c:v>13599271</c:v>
                </c:pt>
                <c:pt idx="63">
                  <c:v>13512623</c:v>
                </c:pt>
                <c:pt idx="64">
                  <c:v>13424177</c:v>
                </c:pt>
                <c:pt idx="65">
                  <c:v>13333887</c:v>
                </c:pt>
                <c:pt idx="66">
                  <c:v>13242143</c:v>
                </c:pt>
                <c:pt idx="67">
                  <c:v>13148662</c:v>
                </c:pt>
                <c:pt idx="68">
                  <c:v>13052796</c:v>
                </c:pt>
                <c:pt idx="69">
                  <c:v>12955317</c:v>
                </c:pt>
                <c:pt idx="70">
                  <c:v>12856261</c:v>
                </c:pt>
                <c:pt idx="71">
                  <c:v>12757079</c:v>
                </c:pt>
                <c:pt idx="72">
                  <c:v>12657379</c:v>
                </c:pt>
                <c:pt idx="73">
                  <c:v>12557475</c:v>
                </c:pt>
                <c:pt idx="74">
                  <c:v>12457090</c:v>
                </c:pt>
                <c:pt idx="75">
                  <c:v>12356589</c:v>
                </c:pt>
                <c:pt idx="76">
                  <c:v>12255850</c:v>
                </c:pt>
                <c:pt idx="77">
                  <c:v>12154907</c:v>
                </c:pt>
                <c:pt idx="78">
                  <c:v>12053716</c:v>
                </c:pt>
                <c:pt idx="79">
                  <c:v>11952332</c:v>
                </c:pt>
                <c:pt idx="80">
                  <c:v>11850715</c:v>
                </c:pt>
                <c:pt idx="81">
                  <c:v>11748915</c:v>
                </c:pt>
                <c:pt idx="82">
                  <c:v>11646227</c:v>
                </c:pt>
                <c:pt idx="83">
                  <c:v>11543204</c:v>
                </c:pt>
                <c:pt idx="84">
                  <c:v>11439981</c:v>
                </c:pt>
                <c:pt idx="85">
                  <c:v>11336654</c:v>
                </c:pt>
                <c:pt idx="86">
                  <c:v>11233009</c:v>
                </c:pt>
                <c:pt idx="87">
                  <c:v>11128813</c:v>
                </c:pt>
                <c:pt idx="88">
                  <c:v>11024426</c:v>
                </c:pt>
                <c:pt idx="89">
                  <c:v>10919865</c:v>
                </c:pt>
                <c:pt idx="90">
                  <c:v>10815340</c:v>
                </c:pt>
                <c:pt idx="91">
                  <c:v>10710813</c:v>
                </c:pt>
                <c:pt idx="92">
                  <c:v>10606255</c:v>
                </c:pt>
                <c:pt idx="93">
                  <c:v>10501711</c:v>
                </c:pt>
                <c:pt idx="94">
                  <c:v>10397146</c:v>
                </c:pt>
                <c:pt idx="95">
                  <c:v>10292635</c:v>
                </c:pt>
                <c:pt idx="96">
                  <c:v>10188052</c:v>
                </c:pt>
                <c:pt idx="97">
                  <c:v>10083541</c:v>
                </c:pt>
                <c:pt idx="98">
                  <c:v>9978636</c:v>
                </c:pt>
                <c:pt idx="99">
                  <c:v>9873823</c:v>
                </c:pt>
                <c:pt idx="100">
                  <c:v>9768858</c:v>
                </c:pt>
              </c:numCache>
            </c:numRef>
          </c:val>
          <c:smooth val="0"/>
          <c:extLst>
            <c:ext xmlns:c16="http://schemas.microsoft.com/office/drawing/2014/chart" uri="{C3380CC4-5D6E-409C-BE32-E72D297353CC}">
              <c16:uniqueId val="{00000003-8C03-4CB6-824B-9C050F7AA8BF}"/>
            </c:ext>
          </c:extLst>
        </c:ser>
        <c:ser>
          <c:idx val="3"/>
          <c:order val="3"/>
          <c:tx>
            <c:strRef>
              <c:f>Outputs!$D$6</c:f>
              <c:strCache>
                <c:ptCount val="1"/>
                <c:pt idx="0">
                  <c:v>Global_Chaos</c:v>
                </c:pt>
              </c:strCache>
            </c:strRef>
          </c:tx>
          <c:spPr>
            <a:ln w="28575" cap="rnd">
              <a:solidFill>
                <a:schemeClr val="accent4"/>
              </a:solidFill>
              <a:round/>
            </a:ln>
            <a:effectLst/>
          </c:spPr>
          <c:marker>
            <c:symbol val="none"/>
          </c:marker>
          <c:cat>
            <c:numRef>
              <c:f>[1]Momentum!$B$1:$CX$1</c:f>
              <c:numCache>
                <c:formatCode>General</c:formatCode>
                <c:ptCount val="101"/>
                <c:pt idx="0">
                  <c:v>2015</c:v>
                </c:pt>
                <c:pt idx="1">
                  <c:v>2015.5</c:v>
                </c:pt>
                <c:pt idx="2">
                  <c:v>2016</c:v>
                </c:pt>
                <c:pt idx="3">
                  <c:v>2016.5</c:v>
                </c:pt>
                <c:pt idx="4">
                  <c:v>2017</c:v>
                </c:pt>
                <c:pt idx="5">
                  <c:v>2017.5</c:v>
                </c:pt>
                <c:pt idx="6">
                  <c:v>2018</c:v>
                </c:pt>
                <c:pt idx="7">
                  <c:v>2018.5</c:v>
                </c:pt>
                <c:pt idx="8">
                  <c:v>2019</c:v>
                </c:pt>
                <c:pt idx="9">
                  <c:v>2019.5</c:v>
                </c:pt>
                <c:pt idx="10">
                  <c:v>2020</c:v>
                </c:pt>
                <c:pt idx="11">
                  <c:v>2020.5</c:v>
                </c:pt>
                <c:pt idx="12">
                  <c:v>2021</c:v>
                </c:pt>
                <c:pt idx="13">
                  <c:v>2021.5</c:v>
                </c:pt>
                <c:pt idx="14">
                  <c:v>2022</c:v>
                </c:pt>
                <c:pt idx="15">
                  <c:v>2022.5</c:v>
                </c:pt>
                <c:pt idx="16">
                  <c:v>2023</c:v>
                </c:pt>
                <c:pt idx="17">
                  <c:v>2023.5</c:v>
                </c:pt>
                <c:pt idx="18">
                  <c:v>2024</c:v>
                </c:pt>
                <c:pt idx="19">
                  <c:v>2024.5</c:v>
                </c:pt>
                <c:pt idx="20">
                  <c:v>2025</c:v>
                </c:pt>
                <c:pt idx="21">
                  <c:v>2025.5</c:v>
                </c:pt>
                <c:pt idx="22">
                  <c:v>2026</c:v>
                </c:pt>
                <c:pt idx="23">
                  <c:v>2026.5</c:v>
                </c:pt>
                <c:pt idx="24">
                  <c:v>2027</c:v>
                </c:pt>
                <c:pt idx="25">
                  <c:v>2027.5</c:v>
                </c:pt>
                <c:pt idx="26">
                  <c:v>2028</c:v>
                </c:pt>
                <c:pt idx="27">
                  <c:v>2028.5</c:v>
                </c:pt>
                <c:pt idx="28">
                  <c:v>2029</c:v>
                </c:pt>
                <c:pt idx="29">
                  <c:v>2029.5</c:v>
                </c:pt>
                <c:pt idx="30">
                  <c:v>2030</c:v>
                </c:pt>
                <c:pt idx="31">
                  <c:v>2030.5</c:v>
                </c:pt>
                <c:pt idx="32">
                  <c:v>2031</c:v>
                </c:pt>
                <c:pt idx="33">
                  <c:v>2031.5</c:v>
                </c:pt>
                <c:pt idx="34">
                  <c:v>2032</c:v>
                </c:pt>
                <c:pt idx="35">
                  <c:v>2032.5</c:v>
                </c:pt>
                <c:pt idx="36">
                  <c:v>2033</c:v>
                </c:pt>
                <c:pt idx="37">
                  <c:v>2033.5</c:v>
                </c:pt>
                <c:pt idx="38">
                  <c:v>2034</c:v>
                </c:pt>
                <c:pt idx="39">
                  <c:v>2034.5</c:v>
                </c:pt>
                <c:pt idx="40">
                  <c:v>2035</c:v>
                </c:pt>
                <c:pt idx="41">
                  <c:v>2035.5</c:v>
                </c:pt>
                <c:pt idx="42">
                  <c:v>2036</c:v>
                </c:pt>
                <c:pt idx="43">
                  <c:v>2036.5</c:v>
                </c:pt>
                <c:pt idx="44">
                  <c:v>2037</c:v>
                </c:pt>
                <c:pt idx="45">
                  <c:v>2037.5</c:v>
                </c:pt>
                <c:pt idx="46">
                  <c:v>2038</c:v>
                </c:pt>
                <c:pt idx="47">
                  <c:v>2038.5</c:v>
                </c:pt>
                <c:pt idx="48">
                  <c:v>2039</c:v>
                </c:pt>
                <c:pt idx="49">
                  <c:v>2039.5</c:v>
                </c:pt>
                <c:pt idx="50">
                  <c:v>2040</c:v>
                </c:pt>
                <c:pt idx="51">
                  <c:v>2040.5</c:v>
                </c:pt>
                <c:pt idx="52">
                  <c:v>2041</c:v>
                </c:pt>
                <c:pt idx="53">
                  <c:v>2041.5</c:v>
                </c:pt>
                <c:pt idx="54">
                  <c:v>2042</c:v>
                </c:pt>
                <c:pt idx="55">
                  <c:v>2042.5</c:v>
                </c:pt>
                <c:pt idx="56">
                  <c:v>2043</c:v>
                </c:pt>
                <c:pt idx="57">
                  <c:v>2043.5</c:v>
                </c:pt>
                <c:pt idx="58">
                  <c:v>2044</c:v>
                </c:pt>
                <c:pt idx="59">
                  <c:v>2044.5</c:v>
                </c:pt>
                <c:pt idx="60">
                  <c:v>2045</c:v>
                </c:pt>
                <c:pt idx="61">
                  <c:v>2045.5</c:v>
                </c:pt>
                <c:pt idx="62">
                  <c:v>2046</c:v>
                </c:pt>
                <c:pt idx="63">
                  <c:v>2046.5</c:v>
                </c:pt>
                <c:pt idx="64">
                  <c:v>2047</c:v>
                </c:pt>
                <c:pt idx="65">
                  <c:v>2047.5</c:v>
                </c:pt>
                <c:pt idx="66">
                  <c:v>2048</c:v>
                </c:pt>
                <c:pt idx="67">
                  <c:v>2048.5</c:v>
                </c:pt>
                <c:pt idx="68">
                  <c:v>2049</c:v>
                </c:pt>
                <c:pt idx="69">
                  <c:v>2049.5</c:v>
                </c:pt>
                <c:pt idx="70">
                  <c:v>2050</c:v>
                </c:pt>
                <c:pt idx="71">
                  <c:v>2050.5</c:v>
                </c:pt>
                <c:pt idx="72">
                  <c:v>2051</c:v>
                </c:pt>
                <c:pt idx="73">
                  <c:v>2051.5</c:v>
                </c:pt>
                <c:pt idx="74">
                  <c:v>2052</c:v>
                </c:pt>
                <c:pt idx="75">
                  <c:v>2052.5</c:v>
                </c:pt>
                <c:pt idx="76">
                  <c:v>2053</c:v>
                </c:pt>
                <c:pt idx="77">
                  <c:v>2053.5</c:v>
                </c:pt>
                <c:pt idx="78">
                  <c:v>2054</c:v>
                </c:pt>
                <c:pt idx="79">
                  <c:v>2054.5</c:v>
                </c:pt>
                <c:pt idx="80">
                  <c:v>2055</c:v>
                </c:pt>
                <c:pt idx="81">
                  <c:v>2055.5</c:v>
                </c:pt>
                <c:pt idx="82">
                  <c:v>2056</c:v>
                </c:pt>
                <c:pt idx="83">
                  <c:v>2056.5</c:v>
                </c:pt>
                <c:pt idx="84">
                  <c:v>2057</c:v>
                </c:pt>
                <c:pt idx="85">
                  <c:v>2057.5</c:v>
                </c:pt>
                <c:pt idx="86">
                  <c:v>2058</c:v>
                </c:pt>
                <c:pt idx="87">
                  <c:v>2058.5</c:v>
                </c:pt>
                <c:pt idx="88">
                  <c:v>2059</c:v>
                </c:pt>
                <c:pt idx="89">
                  <c:v>2059.5</c:v>
                </c:pt>
                <c:pt idx="90">
                  <c:v>2060</c:v>
                </c:pt>
                <c:pt idx="91">
                  <c:v>2060.5</c:v>
                </c:pt>
                <c:pt idx="92">
                  <c:v>2061</c:v>
                </c:pt>
                <c:pt idx="93">
                  <c:v>2061.5</c:v>
                </c:pt>
                <c:pt idx="94">
                  <c:v>2062</c:v>
                </c:pt>
                <c:pt idx="95">
                  <c:v>2062.5</c:v>
                </c:pt>
                <c:pt idx="96">
                  <c:v>2063</c:v>
                </c:pt>
                <c:pt idx="97">
                  <c:v>2063.5</c:v>
                </c:pt>
                <c:pt idx="98">
                  <c:v>2064</c:v>
                </c:pt>
                <c:pt idx="99">
                  <c:v>2064.5</c:v>
                </c:pt>
                <c:pt idx="100">
                  <c:v>2065</c:v>
                </c:pt>
              </c:numCache>
            </c:numRef>
          </c:cat>
          <c:val>
            <c:numRef>
              <c:f>[1]Global_Chaos!$B$34:$CX$34</c:f>
              <c:numCache>
                <c:formatCode>General</c:formatCode>
                <c:ptCount val="101"/>
                <c:pt idx="0">
                  <c:v>12108041</c:v>
                </c:pt>
                <c:pt idx="1">
                  <c:v>12108041</c:v>
                </c:pt>
                <c:pt idx="2">
                  <c:v>12267396</c:v>
                </c:pt>
                <c:pt idx="3">
                  <c:v>12422647</c:v>
                </c:pt>
                <c:pt idx="4">
                  <c:v>12574511</c:v>
                </c:pt>
                <c:pt idx="5">
                  <c:v>12723477</c:v>
                </c:pt>
                <c:pt idx="6">
                  <c:v>12869816</c:v>
                </c:pt>
                <c:pt idx="7">
                  <c:v>13013775</c:v>
                </c:pt>
                <c:pt idx="8">
                  <c:v>13155474</c:v>
                </c:pt>
                <c:pt idx="9">
                  <c:v>13295027</c:v>
                </c:pt>
                <c:pt idx="10">
                  <c:v>13432439</c:v>
                </c:pt>
                <c:pt idx="11">
                  <c:v>13567866</c:v>
                </c:pt>
                <c:pt idx="12">
                  <c:v>13701464</c:v>
                </c:pt>
                <c:pt idx="13">
                  <c:v>13833366</c:v>
                </c:pt>
                <c:pt idx="14">
                  <c:v>13963743</c:v>
                </c:pt>
                <c:pt idx="15">
                  <c:v>14092586</c:v>
                </c:pt>
                <c:pt idx="16">
                  <c:v>14219937</c:v>
                </c:pt>
                <c:pt idx="17">
                  <c:v>14345802</c:v>
                </c:pt>
                <c:pt idx="18">
                  <c:v>14470249</c:v>
                </c:pt>
                <c:pt idx="19">
                  <c:v>14593389</c:v>
                </c:pt>
                <c:pt idx="20">
                  <c:v>14715238</c:v>
                </c:pt>
                <c:pt idx="21">
                  <c:v>14760614</c:v>
                </c:pt>
                <c:pt idx="22">
                  <c:v>14803405</c:v>
                </c:pt>
                <c:pt idx="23">
                  <c:v>14843805</c:v>
                </c:pt>
                <c:pt idx="24">
                  <c:v>14881869</c:v>
                </c:pt>
                <c:pt idx="25">
                  <c:v>14917675</c:v>
                </c:pt>
                <c:pt idx="26">
                  <c:v>14951209</c:v>
                </c:pt>
                <c:pt idx="27">
                  <c:v>14982512</c:v>
                </c:pt>
                <c:pt idx="28">
                  <c:v>15011238</c:v>
                </c:pt>
                <c:pt idx="29">
                  <c:v>15037425</c:v>
                </c:pt>
                <c:pt idx="30">
                  <c:v>15061492</c:v>
                </c:pt>
                <c:pt idx="31">
                  <c:v>15163172</c:v>
                </c:pt>
                <c:pt idx="32">
                  <c:v>15263192</c:v>
                </c:pt>
                <c:pt idx="33">
                  <c:v>15362238</c:v>
                </c:pt>
                <c:pt idx="34">
                  <c:v>15460183</c:v>
                </c:pt>
                <c:pt idx="35">
                  <c:v>15557038</c:v>
                </c:pt>
                <c:pt idx="36">
                  <c:v>15652734</c:v>
                </c:pt>
                <c:pt idx="37">
                  <c:v>15747384</c:v>
                </c:pt>
                <c:pt idx="38">
                  <c:v>15840362</c:v>
                </c:pt>
                <c:pt idx="39">
                  <c:v>15931999</c:v>
                </c:pt>
                <c:pt idx="40">
                  <c:v>16022611</c:v>
                </c:pt>
                <c:pt idx="41">
                  <c:v>16111942</c:v>
                </c:pt>
                <c:pt idx="42">
                  <c:v>16199595</c:v>
                </c:pt>
                <c:pt idx="43">
                  <c:v>16286111</c:v>
                </c:pt>
                <c:pt idx="44">
                  <c:v>16371266</c:v>
                </c:pt>
                <c:pt idx="45">
                  <c:v>16455270</c:v>
                </c:pt>
                <c:pt idx="46">
                  <c:v>16538151</c:v>
                </c:pt>
                <c:pt idx="47">
                  <c:v>16619341</c:v>
                </c:pt>
                <c:pt idx="48">
                  <c:v>16699330</c:v>
                </c:pt>
                <c:pt idx="49">
                  <c:v>16777926</c:v>
                </c:pt>
                <c:pt idx="50">
                  <c:v>16854726</c:v>
                </c:pt>
                <c:pt idx="51">
                  <c:v>16841322</c:v>
                </c:pt>
                <c:pt idx="52">
                  <c:v>16826152</c:v>
                </c:pt>
                <c:pt idx="53">
                  <c:v>16809252</c:v>
                </c:pt>
                <c:pt idx="54">
                  <c:v>16790536</c:v>
                </c:pt>
                <c:pt idx="55">
                  <c:v>16769837</c:v>
                </c:pt>
                <c:pt idx="56">
                  <c:v>16747438</c:v>
                </c:pt>
                <c:pt idx="57">
                  <c:v>16722833</c:v>
                </c:pt>
                <c:pt idx="58">
                  <c:v>16696638</c:v>
                </c:pt>
                <c:pt idx="59">
                  <c:v>16668722</c:v>
                </c:pt>
                <c:pt idx="60">
                  <c:v>16639130</c:v>
                </c:pt>
                <c:pt idx="61">
                  <c:v>16700616</c:v>
                </c:pt>
                <c:pt idx="62">
                  <c:v>16760608</c:v>
                </c:pt>
                <c:pt idx="63">
                  <c:v>16819682</c:v>
                </c:pt>
                <c:pt idx="64">
                  <c:v>16877172</c:v>
                </c:pt>
                <c:pt idx="65">
                  <c:v>16933878</c:v>
                </c:pt>
                <c:pt idx="66">
                  <c:v>16989588</c:v>
                </c:pt>
                <c:pt idx="67">
                  <c:v>17044352</c:v>
                </c:pt>
                <c:pt idx="68">
                  <c:v>17098116</c:v>
                </c:pt>
                <c:pt idx="69">
                  <c:v>17150640</c:v>
                </c:pt>
                <c:pt idx="70">
                  <c:v>17201938</c:v>
                </c:pt>
                <c:pt idx="71">
                  <c:v>17137006</c:v>
                </c:pt>
                <c:pt idx="72">
                  <c:v>17070460</c:v>
                </c:pt>
                <c:pt idx="73">
                  <c:v>17002474</c:v>
                </c:pt>
                <c:pt idx="74">
                  <c:v>16932876</c:v>
                </c:pt>
                <c:pt idx="75">
                  <c:v>16861734</c:v>
                </c:pt>
                <c:pt idx="76">
                  <c:v>16789072</c:v>
                </c:pt>
                <c:pt idx="77">
                  <c:v>16714947</c:v>
                </c:pt>
                <c:pt idx="78">
                  <c:v>16639405</c:v>
                </c:pt>
                <c:pt idx="79">
                  <c:v>16562495</c:v>
                </c:pt>
                <c:pt idx="80">
                  <c:v>16484189</c:v>
                </c:pt>
                <c:pt idx="81">
                  <c:v>16404338</c:v>
                </c:pt>
                <c:pt idx="82">
                  <c:v>16322554</c:v>
                </c:pt>
                <c:pt idx="83">
                  <c:v>16239300</c:v>
                </c:pt>
                <c:pt idx="84">
                  <c:v>16154543</c:v>
                </c:pt>
                <c:pt idx="85">
                  <c:v>16068330</c:v>
                </c:pt>
                <c:pt idx="86">
                  <c:v>15980669</c:v>
                </c:pt>
                <c:pt idx="87">
                  <c:v>15891273</c:v>
                </c:pt>
                <c:pt idx="88">
                  <c:v>15800372</c:v>
                </c:pt>
                <c:pt idx="89">
                  <c:v>15708137</c:v>
                </c:pt>
                <c:pt idx="90">
                  <c:v>15614606</c:v>
                </c:pt>
                <c:pt idx="91">
                  <c:v>15519835</c:v>
                </c:pt>
                <c:pt idx="92">
                  <c:v>15423957</c:v>
                </c:pt>
                <c:pt idx="93">
                  <c:v>15326988</c:v>
                </c:pt>
                <c:pt idx="94">
                  <c:v>15228916</c:v>
                </c:pt>
                <c:pt idx="95">
                  <c:v>15129788</c:v>
                </c:pt>
                <c:pt idx="96">
                  <c:v>15029744</c:v>
                </c:pt>
                <c:pt idx="97">
                  <c:v>14928665</c:v>
                </c:pt>
                <c:pt idx="98">
                  <c:v>14826742</c:v>
                </c:pt>
                <c:pt idx="99">
                  <c:v>14723627</c:v>
                </c:pt>
                <c:pt idx="100">
                  <c:v>14619680</c:v>
                </c:pt>
              </c:numCache>
            </c:numRef>
          </c:val>
          <c:smooth val="0"/>
          <c:extLst>
            <c:ext xmlns:c16="http://schemas.microsoft.com/office/drawing/2014/chart" uri="{C3380CC4-5D6E-409C-BE32-E72D297353CC}">
              <c16:uniqueId val="{00000004-8C03-4CB6-824B-9C050F7AA8BF}"/>
            </c:ext>
          </c:extLst>
        </c:ser>
        <c:dLbls>
          <c:showLegendKey val="0"/>
          <c:showVal val="0"/>
          <c:showCatName val="0"/>
          <c:showSerName val="0"/>
          <c:showPercent val="0"/>
          <c:showBubbleSize val="0"/>
        </c:dLbls>
        <c:marker val="1"/>
        <c:smooth val="0"/>
        <c:axId val="-298981984"/>
        <c:axId val="-298989056"/>
      </c:lineChart>
      <c:catAx>
        <c:axId val="-2989819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989056"/>
        <c:crosses val="autoZero"/>
        <c:auto val="1"/>
        <c:lblAlgn val="ctr"/>
        <c:lblOffset val="100"/>
        <c:noMultiLvlLbl val="0"/>
      </c:catAx>
      <c:valAx>
        <c:axId val="-298989056"/>
        <c:scaling>
          <c:orientation val="minMax"/>
          <c:max val="440000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981984"/>
        <c:crossesAt val="1"/>
        <c:crossBetween val="between"/>
        <c:majorUnit val="4000000"/>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299002656"/>
        <c:scaling>
          <c:orientation val="minMax"/>
          <c:max val="12000000"/>
        </c:scaling>
        <c:delete val="1"/>
        <c:axPos val="r"/>
        <c:numFmt formatCode="General" sourceLinked="1"/>
        <c:majorTickMark val="out"/>
        <c:minorTickMark val="none"/>
        <c:tickLblPos val="nextTo"/>
        <c:crossAx val="-298981440"/>
        <c:crosses val="max"/>
        <c:crossBetween val="between"/>
      </c:valAx>
      <c:catAx>
        <c:axId val="-298981440"/>
        <c:scaling>
          <c:orientation val="minMax"/>
        </c:scaling>
        <c:delete val="1"/>
        <c:axPos val="b"/>
        <c:majorTickMark val="out"/>
        <c:minorTickMark val="none"/>
        <c:tickLblPos val="nextTo"/>
        <c:crossAx val="-2990026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VMT/Capita - Alt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4"/>
          <c:tx>
            <c:strRef>
              <c:f>Outputs!$D$7</c:f>
              <c:strCache>
                <c:ptCount val="1"/>
                <c:pt idx="0">
                  <c:v>ABM</c:v>
                </c:pt>
              </c:strCache>
            </c:strRef>
          </c:tx>
          <c:spPr>
            <a:solidFill>
              <a:schemeClr val="accent5"/>
            </a:solidFill>
            <a:ln>
              <a:noFill/>
            </a:ln>
            <a:effectLst/>
          </c:spPr>
          <c:invertIfNegative val="0"/>
          <c:cat>
            <c:numRef>
              <c:f>([2]Sheet9!$C$3,[2]Sheet9!$C$8,[2]Sheet9!$C$13,[2]Sheet9!$C$18,[2]Sheet9!$C$23,[2]Sheet9!$C$28,[2]Sheet9!$C$33)</c:f>
              <c:numCache>
                <c:formatCode>General</c:formatCode>
                <c:ptCount val="7"/>
                <c:pt idx="0">
                  <c:v>2015</c:v>
                </c:pt>
                <c:pt idx="1">
                  <c:v>2017</c:v>
                </c:pt>
                <c:pt idx="2">
                  <c:v>2020</c:v>
                </c:pt>
                <c:pt idx="3">
                  <c:v>2024</c:v>
                </c:pt>
                <c:pt idx="4">
                  <c:v>2030</c:v>
                </c:pt>
                <c:pt idx="5">
                  <c:v>2040</c:v>
                </c:pt>
                <c:pt idx="6">
                  <c:v>2050</c:v>
                </c:pt>
              </c:numCache>
            </c:numRef>
          </c:cat>
          <c:val>
            <c:numRef>
              <c:f>(Outputs!$Z$7,Outputs!$Z$12,Outputs!$Z$17,Outputs!$Z$22,Outputs!$Z$27,Outputs!$Z$32,Outputs!$Z$37)</c:f>
              <c:numCache>
                <c:formatCode>#,##0</c:formatCode>
                <c:ptCount val="7"/>
                <c:pt idx="0">
                  <c:v>10475.5</c:v>
                </c:pt>
                <c:pt idx="1">
                  <c:v>10548.5</c:v>
                </c:pt>
                <c:pt idx="2">
                  <c:v>10548.5</c:v>
                </c:pt>
                <c:pt idx="3">
                  <c:v>10439</c:v>
                </c:pt>
                <c:pt idx="4">
                  <c:v>10293</c:v>
                </c:pt>
                <c:pt idx="5">
                  <c:v>10001</c:v>
                </c:pt>
                <c:pt idx="6" formatCode="_(* #,##0_);_(* \(#,##0\);_(* &quot;-&quot;??_);_(@_)">
                  <c:v>0</c:v>
                </c:pt>
              </c:numCache>
            </c:numRef>
          </c:val>
          <c:extLst>
            <c:ext xmlns:c16="http://schemas.microsoft.com/office/drawing/2014/chart" uri="{C3380CC4-5D6E-409C-BE32-E72D297353CC}">
              <c16:uniqueId val="{00000000-3844-4AC5-A50A-B5550E4DD388}"/>
            </c:ext>
          </c:extLst>
        </c:ser>
        <c:dLbls>
          <c:showLegendKey val="0"/>
          <c:showVal val="0"/>
          <c:showCatName val="0"/>
          <c:showSerName val="0"/>
          <c:showPercent val="0"/>
          <c:showBubbleSize val="0"/>
        </c:dLbls>
        <c:gapWidth val="500"/>
        <c:axId val="-298982528"/>
        <c:axId val="-298977088"/>
      </c:barChart>
      <c:lineChart>
        <c:grouping val="standard"/>
        <c:varyColors val="0"/>
        <c:ser>
          <c:idx val="0"/>
          <c:order val="0"/>
          <c:tx>
            <c:strRef>
              <c:f>Outputs!$D$3</c:f>
              <c:strCache>
                <c:ptCount val="1"/>
                <c:pt idx="0">
                  <c:v>Momentum</c:v>
                </c:pt>
              </c:strCache>
            </c:strRef>
          </c:tx>
          <c:spPr>
            <a:ln w="28575" cap="rnd">
              <a:solidFill>
                <a:schemeClr val="accent1"/>
              </a:solidFill>
              <a:round/>
            </a:ln>
            <a:effectLst/>
          </c:spPr>
          <c:marker>
            <c:symbol val="none"/>
          </c:marker>
          <c:cat>
            <c:numRef>
              <c:f>([2]Sheet9!$C$3,[2]Sheet9!$C$8,[2]Sheet9!$C$13,[2]Sheet9!$C$18,[2]Sheet9!$C$23,[2]Sheet9!$C$28,[2]Sheet9!$C$33)</c:f>
              <c:numCache>
                <c:formatCode>General</c:formatCode>
                <c:ptCount val="7"/>
                <c:pt idx="0">
                  <c:v>2015</c:v>
                </c:pt>
                <c:pt idx="1">
                  <c:v>2017</c:v>
                </c:pt>
                <c:pt idx="2">
                  <c:v>2020</c:v>
                </c:pt>
                <c:pt idx="3">
                  <c:v>2024</c:v>
                </c:pt>
                <c:pt idx="4">
                  <c:v>2030</c:v>
                </c:pt>
                <c:pt idx="5">
                  <c:v>2040</c:v>
                </c:pt>
                <c:pt idx="6">
                  <c:v>2050</c:v>
                </c:pt>
              </c:numCache>
            </c:numRef>
          </c:cat>
          <c:val>
            <c:numRef>
              <c:f>(Outputs!$Z$3,Outputs!$Z$8,Outputs!$Z$13,Outputs!$Z$18,Outputs!$Z$23,Outputs!$Z$28,Outputs!$Z$33)</c:f>
              <c:numCache>
                <c:formatCode>#,##0</c:formatCode>
                <c:ptCount val="7"/>
                <c:pt idx="0">
                  <c:v>10679.360089248503</c:v>
                </c:pt>
                <c:pt idx="1">
                  <c:v>10520.92515196527</c:v>
                </c:pt>
                <c:pt idx="2">
                  <c:v>10468.170345369095</c:v>
                </c:pt>
                <c:pt idx="3">
                  <c:v>10322.920735171007</c:v>
                </c:pt>
                <c:pt idx="4">
                  <c:v>9982.0232746167803</c:v>
                </c:pt>
                <c:pt idx="5">
                  <c:v>8758.1908935889951</c:v>
                </c:pt>
                <c:pt idx="6">
                  <c:v>7672.1335423743012</c:v>
                </c:pt>
              </c:numCache>
            </c:numRef>
          </c:val>
          <c:smooth val="0"/>
          <c:extLst>
            <c:ext xmlns:c16="http://schemas.microsoft.com/office/drawing/2014/chart" uri="{C3380CC4-5D6E-409C-BE32-E72D297353CC}">
              <c16:uniqueId val="{00000001-3844-4AC5-A50A-B5550E4DD388}"/>
            </c:ext>
          </c:extLst>
        </c:ser>
        <c:ser>
          <c:idx val="1"/>
          <c:order val="1"/>
          <c:tx>
            <c:strRef>
              <c:f>Outputs!$D$4</c:f>
              <c:strCache>
                <c:ptCount val="1"/>
                <c:pt idx="0">
                  <c:v>Tech_Triumphs</c:v>
                </c:pt>
              </c:strCache>
            </c:strRef>
          </c:tx>
          <c:spPr>
            <a:ln w="28575" cap="rnd">
              <a:solidFill>
                <a:schemeClr val="accent2"/>
              </a:solidFill>
              <a:round/>
            </a:ln>
            <a:effectLst/>
          </c:spPr>
          <c:marker>
            <c:symbol val="none"/>
          </c:marker>
          <c:cat>
            <c:numRef>
              <c:f>([2]Sheet9!$C$3,[2]Sheet9!$C$8,[2]Sheet9!$C$13,[2]Sheet9!$C$18,[2]Sheet9!$C$23,[2]Sheet9!$C$28,[2]Sheet9!$C$33)</c:f>
              <c:numCache>
                <c:formatCode>General</c:formatCode>
                <c:ptCount val="7"/>
                <c:pt idx="0">
                  <c:v>2015</c:v>
                </c:pt>
                <c:pt idx="1">
                  <c:v>2017</c:v>
                </c:pt>
                <c:pt idx="2">
                  <c:v>2020</c:v>
                </c:pt>
                <c:pt idx="3">
                  <c:v>2024</c:v>
                </c:pt>
                <c:pt idx="4">
                  <c:v>2030</c:v>
                </c:pt>
                <c:pt idx="5">
                  <c:v>2040</c:v>
                </c:pt>
                <c:pt idx="6">
                  <c:v>2050</c:v>
                </c:pt>
              </c:numCache>
            </c:numRef>
          </c:cat>
          <c:val>
            <c:numRef>
              <c:f>(Outputs!$Z$4,Outputs!$Z$9,Outputs!$Z$14,Outputs!$Z$19,Outputs!$Z$24,Outputs!$Z$29,Outputs!$Z$34)</c:f>
              <c:numCache>
                <c:formatCode>#,##0</c:formatCode>
                <c:ptCount val="7"/>
                <c:pt idx="0">
                  <c:v>10679.360089248503</c:v>
                </c:pt>
                <c:pt idx="1">
                  <c:v>10520.92515196527</c:v>
                </c:pt>
                <c:pt idx="2">
                  <c:v>10468.170345369095</c:v>
                </c:pt>
                <c:pt idx="3">
                  <c:v>10322.920735171007</c:v>
                </c:pt>
                <c:pt idx="4">
                  <c:v>10489.255097790938</c:v>
                </c:pt>
                <c:pt idx="5">
                  <c:v>10467.465452751761</c:v>
                </c:pt>
                <c:pt idx="6">
                  <c:v>10854.855252187674</c:v>
                </c:pt>
              </c:numCache>
            </c:numRef>
          </c:val>
          <c:smooth val="0"/>
          <c:extLst>
            <c:ext xmlns:c16="http://schemas.microsoft.com/office/drawing/2014/chart" uri="{C3380CC4-5D6E-409C-BE32-E72D297353CC}">
              <c16:uniqueId val="{00000002-3844-4AC5-A50A-B5550E4DD388}"/>
            </c:ext>
          </c:extLst>
        </c:ser>
        <c:ser>
          <c:idx val="2"/>
          <c:order val="2"/>
          <c:tx>
            <c:strRef>
              <c:f>Outputs!$D$5</c:f>
              <c:strCache>
                <c:ptCount val="1"/>
                <c:pt idx="0">
                  <c:v>Gentle_Footprint</c:v>
                </c:pt>
              </c:strCache>
            </c:strRef>
          </c:tx>
          <c:spPr>
            <a:ln w="28575" cap="rnd">
              <a:solidFill>
                <a:schemeClr val="accent3"/>
              </a:solidFill>
              <a:round/>
            </a:ln>
            <a:effectLst/>
          </c:spPr>
          <c:marker>
            <c:symbol val="none"/>
          </c:marker>
          <c:cat>
            <c:numRef>
              <c:f>([2]Sheet9!$C$3,[2]Sheet9!$C$8,[2]Sheet9!$C$13,[2]Sheet9!$C$18,[2]Sheet9!$C$23,[2]Sheet9!$C$28,[2]Sheet9!$C$33)</c:f>
              <c:numCache>
                <c:formatCode>General</c:formatCode>
                <c:ptCount val="7"/>
                <c:pt idx="0">
                  <c:v>2015</c:v>
                </c:pt>
                <c:pt idx="1">
                  <c:v>2017</c:v>
                </c:pt>
                <c:pt idx="2">
                  <c:v>2020</c:v>
                </c:pt>
                <c:pt idx="3">
                  <c:v>2024</c:v>
                </c:pt>
                <c:pt idx="4">
                  <c:v>2030</c:v>
                </c:pt>
                <c:pt idx="5">
                  <c:v>2040</c:v>
                </c:pt>
                <c:pt idx="6">
                  <c:v>2050</c:v>
                </c:pt>
              </c:numCache>
            </c:numRef>
          </c:cat>
          <c:val>
            <c:numRef>
              <c:f>(Outputs!$Z$5,Outputs!$Z$10,Outputs!$Z$15,Outputs!$Z$20,Outputs!$Z$25,Outputs!$Z$30,Outputs!$Z$35)</c:f>
              <c:numCache>
                <c:formatCode>#,##0</c:formatCode>
                <c:ptCount val="7"/>
                <c:pt idx="0">
                  <c:v>10679.360089248503</c:v>
                </c:pt>
                <c:pt idx="1">
                  <c:v>10520.92515196527</c:v>
                </c:pt>
                <c:pt idx="2">
                  <c:v>10468.170345369095</c:v>
                </c:pt>
                <c:pt idx="3">
                  <c:v>10322.920735171007</c:v>
                </c:pt>
                <c:pt idx="4">
                  <c:v>9067.0211594001576</c:v>
                </c:pt>
                <c:pt idx="5">
                  <c:v>7290.9132766368593</c:v>
                </c:pt>
                <c:pt idx="6">
                  <c:v>6069.4368144536738</c:v>
                </c:pt>
              </c:numCache>
            </c:numRef>
          </c:val>
          <c:smooth val="0"/>
          <c:extLst>
            <c:ext xmlns:c16="http://schemas.microsoft.com/office/drawing/2014/chart" uri="{C3380CC4-5D6E-409C-BE32-E72D297353CC}">
              <c16:uniqueId val="{00000003-3844-4AC5-A50A-B5550E4DD388}"/>
            </c:ext>
          </c:extLst>
        </c:ser>
        <c:ser>
          <c:idx val="3"/>
          <c:order val="3"/>
          <c:tx>
            <c:strRef>
              <c:f>Outputs!$D$6</c:f>
              <c:strCache>
                <c:ptCount val="1"/>
                <c:pt idx="0">
                  <c:v>Global_Chaos</c:v>
                </c:pt>
              </c:strCache>
            </c:strRef>
          </c:tx>
          <c:spPr>
            <a:ln w="28575" cap="rnd">
              <a:solidFill>
                <a:schemeClr val="accent4"/>
              </a:solidFill>
              <a:round/>
            </a:ln>
            <a:effectLst/>
          </c:spPr>
          <c:marker>
            <c:symbol val="none"/>
          </c:marker>
          <c:cat>
            <c:numRef>
              <c:f>([2]Sheet9!$C$3,[2]Sheet9!$C$8,[2]Sheet9!$C$13,[2]Sheet9!$C$18,[2]Sheet9!$C$23,[2]Sheet9!$C$28,[2]Sheet9!$C$33)</c:f>
              <c:numCache>
                <c:formatCode>General</c:formatCode>
                <c:ptCount val="7"/>
                <c:pt idx="0">
                  <c:v>2015</c:v>
                </c:pt>
                <c:pt idx="1">
                  <c:v>2017</c:v>
                </c:pt>
                <c:pt idx="2">
                  <c:v>2020</c:v>
                </c:pt>
                <c:pt idx="3">
                  <c:v>2024</c:v>
                </c:pt>
                <c:pt idx="4">
                  <c:v>2030</c:v>
                </c:pt>
                <c:pt idx="5">
                  <c:v>2040</c:v>
                </c:pt>
                <c:pt idx="6">
                  <c:v>2050</c:v>
                </c:pt>
              </c:numCache>
            </c:numRef>
          </c:cat>
          <c:val>
            <c:numRef>
              <c:f>(Outputs!$Z$6,Outputs!$Z$11,Outputs!$Z$16,Outputs!$Z$21,Outputs!$Z$26,Outputs!$Z$31,Outputs!$Z$36)</c:f>
              <c:numCache>
                <c:formatCode>#,##0</c:formatCode>
                <c:ptCount val="7"/>
                <c:pt idx="0">
                  <c:v>10679.360089248503</c:v>
                </c:pt>
                <c:pt idx="1">
                  <c:v>10520.92515196527</c:v>
                </c:pt>
                <c:pt idx="2">
                  <c:v>10468.170345369095</c:v>
                </c:pt>
                <c:pt idx="3">
                  <c:v>10322.920735171007</c:v>
                </c:pt>
                <c:pt idx="4">
                  <c:v>8944.1431625902424</c:v>
                </c:pt>
                <c:pt idx="5">
                  <c:v>7175.9394233833755</c:v>
                </c:pt>
                <c:pt idx="6">
                  <c:v>5488.0005822524754</c:v>
                </c:pt>
              </c:numCache>
            </c:numRef>
          </c:val>
          <c:smooth val="0"/>
          <c:extLst>
            <c:ext xmlns:c16="http://schemas.microsoft.com/office/drawing/2014/chart" uri="{C3380CC4-5D6E-409C-BE32-E72D297353CC}">
              <c16:uniqueId val="{00000004-3844-4AC5-A50A-B5550E4DD388}"/>
            </c:ext>
          </c:extLst>
        </c:ser>
        <c:dLbls>
          <c:showLegendKey val="0"/>
          <c:showVal val="0"/>
          <c:showCatName val="0"/>
          <c:showSerName val="0"/>
          <c:showPercent val="0"/>
          <c:showBubbleSize val="0"/>
        </c:dLbls>
        <c:marker val="1"/>
        <c:smooth val="0"/>
        <c:axId val="-298992320"/>
        <c:axId val="-298996672"/>
      </c:lineChart>
      <c:catAx>
        <c:axId val="-2989923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996672"/>
        <c:crosses val="autoZero"/>
        <c:auto val="1"/>
        <c:lblAlgn val="ctr"/>
        <c:lblOffset val="100"/>
        <c:noMultiLvlLbl val="0"/>
      </c:catAx>
      <c:valAx>
        <c:axId val="-298996672"/>
        <c:scaling>
          <c:orientation val="minMax"/>
          <c:max val="14000"/>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992320"/>
        <c:crossesAt val="1"/>
        <c:crossBetween val="between"/>
        <c:majorUnit val="2000"/>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298977088"/>
        <c:scaling>
          <c:orientation val="minMax"/>
          <c:max val="12000000"/>
        </c:scaling>
        <c:delete val="1"/>
        <c:axPos val="r"/>
        <c:numFmt formatCode="#,##0" sourceLinked="1"/>
        <c:majorTickMark val="out"/>
        <c:minorTickMark val="none"/>
        <c:tickLblPos val="nextTo"/>
        <c:crossAx val="-298982528"/>
        <c:crosses val="max"/>
        <c:crossBetween val="between"/>
      </c:valAx>
      <c:catAx>
        <c:axId val="-298982528"/>
        <c:scaling>
          <c:orientation val="minMax"/>
        </c:scaling>
        <c:delete val="1"/>
        <c:axPos val="b"/>
        <c:numFmt formatCode="General" sourceLinked="1"/>
        <c:majorTickMark val="out"/>
        <c:minorTickMark val="none"/>
        <c:tickLblPos val="nextTo"/>
        <c:crossAx val="-29897708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6" dropStyle="combo" dx="16" fmlaLink="$L$12" fmlaRange="$L$5:$L$10" noThreeD="1" sel="2" val="0"/>
</file>

<file path=xl/ctrlProps/ctrlProp3.xml><?xml version="1.0" encoding="utf-8"?>
<formControlPr xmlns="http://schemas.microsoft.com/office/spreadsheetml/2009/9/main" objectType="Drop" dropLines="4" dropStyle="combo" dx="16" fmlaLink="$L$18" fmlaRange="$L$13:$L$16" noThreeD="1" sel="1" val="0"/>
</file>

<file path=xl/ctrlProps/ctrlProp4.xml><?xml version="1.0" encoding="utf-8"?>
<formControlPr xmlns="http://schemas.microsoft.com/office/spreadsheetml/2009/9/main" objectType="Drop" dropLines="4" dropStyle="combo" dx="16" fmlaLink="$L$18" fmlaRange="$L$13:$L$1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18" Type="http://schemas.openxmlformats.org/officeDocument/2006/relationships/chart" Target="../charts/chart2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17" Type="http://schemas.openxmlformats.org/officeDocument/2006/relationships/chart" Target="../charts/chart20.xml"/><Relationship Id="rId2" Type="http://schemas.openxmlformats.org/officeDocument/2006/relationships/chart" Target="../charts/chart5.xml"/><Relationship Id="rId16" Type="http://schemas.openxmlformats.org/officeDocument/2006/relationships/chart" Target="../charts/chart19.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5" Type="http://schemas.openxmlformats.org/officeDocument/2006/relationships/chart" Target="../charts/chart1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1695450</xdr:colOff>
          <xdr:row>16</xdr:row>
          <xdr:rowOff>161925</xdr:rowOff>
        </xdr:from>
        <xdr:to>
          <xdr:col>5</xdr:col>
          <xdr:colOff>1009650</xdr:colOff>
          <xdr:row>18</xdr:row>
          <xdr:rowOff>133350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2000" b="0" i="0" u="none" strike="noStrike" baseline="0">
                  <a:solidFill>
                    <a:srgbClr val="000000"/>
                  </a:solidFill>
                  <a:latin typeface="Calibri"/>
                </a:rPr>
                <a:t>Run Model</a:t>
              </a:r>
            </a:p>
          </xdr:txBody>
        </xdr:sp>
        <xdr:clientData fPrintsWithSheet="0"/>
      </xdr:twoCellAnchor>
    </mc:Choice>
    <mc:Fallback/>
  </mc:AlternateContent>
  <xdr:twoCellAnchor>
    <xdr:from>
      <xdr:col>4</xdr:col>
      <xdr:colOff>123825</xdr:colOff>
      <xdr:row>2</xdr:row>
      <xdr:rowOff>605236</xdr:rowOff>
    </xdr:from>
    <xdr:to>
      <xdr:col>4</xdr:col>
      <xdr:colOff>2714625</xdr:colOff>
      <xdr:row>16</xdr:row>
      <xdr:rowOff>79375</xdr:rowOff>
    </xdr:to>
    <xdr:sp macro="" textlink="">
      <xdr:nvSpPr>
        <xdr:cNvPr id="15" name="Rounded Rectangle 14"/>
        <xdr:cNvSpPr/>
      </xdr:nvSpPr>
      <xdr:spPr>
        <a:xfrm>
          <a:off x="3878263" y="748111"/>
          <a:ext cx="2590800" cy="3141264"/>
        </a:xfrm>
        <a:prstGeom prst="roundRect">
          <a:avLst>
            <a:gd name="adj" fmla="val 3222"/>
          </a:avLst>
        </a:prstGeom>
        <a:noFill/>
        <a:ln w="38100">
          <a:solidFill>
            <a:srgbClr val="00583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219075</xdr:colOff>
      <xdr:row>5</xdr:row>
      <xdr:rowOff>28575</xdr:rowOff>
    </xdr:from>
    <xdr:to>
      <xdr:col>4</xdr:col>
      <xdr:colOff>2562225</xdr:colOff>
      <xdr:row>5</xdr:row>
      <xdr:rowOff>28575</xdr:rowOff>
    </xdr:to>
    <xdr:cxnSp macro="">
      <xdr:nvCxnSpPr>
        <xdr:cNvPr id="17" name="Straight Connector 16"/>
        <xdr:cNvCxnSpPr/>
      </xdr:nvCxnSpPr>
      <xdr:spPr>
        <a:xfrm>
          <a:off x="4914900" y="676275"/>
          <a:ext cx="2343150"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2828925</xdr:colOff>
      <xdr:row>2</xdr:row>
      <xdr:rowOff>585392</xdr:rowOff>
    </xdr:from>
    <xdr:to>
      <xdr:col>8</xdr:col>
      <xdr:colOff>9525</xdr:colOff>
      <xdr:row>16</xdr:row>
      <xdr:rowOff>71438</xdr:rowOff>
    </xdr:to>
    <xdr:sp macro="" textlink="">
      <xdr:nvSpPr>
        <xdr:cNvPr id="23" name="Rounded Rectangle 22"/>
        <xdr:cNvSpPr/>
      </xdr:nvSpPr>
      <xdr:spPr>
        <a:xfrm>
          <a:off x="6583363" y="728267"/>
          <a:ext cx="3776662" cy="3153171"/>
        </a:xfrm>
        <a:prstGeom prst="roundRect">
          <a:avLst>
            <a:gd name="adj" fmla="val 3222"/>
          </a:avLst>
        </a:prstGeom>
        <a:noFill/>
        <a:ln w="38100">
          <a:solidFill>
            <a:srgbClr val="00583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171450</xdr:colOff>
      <xdr:row>5</xdr:row>
      <xdr:rowOff>28575</xdr:rowOff>
    </xdr:from>
    <xdr:to>
      <xdr:col>7</xdr:col>
      <xdr:colOff>657225</xdr:colOff>
      <xdr:row>5</xdr:row>
      <xdr:rowOff>28575</xdr:rowOff>
    </xdr:to>
    <xdr:cxnSp macro="">
      <xdr:nvCxnSpPr>
        <xdr:cNvPr id="24" name="Straight Connector 23"/>
        <xdr:cNvCxnSpPr/>
      </xdr:nvCxnSpPr>
      <xdr:spPr>
        <a:xfrm>
          <a:off x="6677025" y="628650"/>
          <a:ext cx="2743200"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24</xdr:row>
      <xdr:rowOff>252846</xdr:rowOff>
    </xdr:from>
    <xdr:to>
      <xdr:col>2</xdr:col>
      <xdr:colOff>19050</xdr:colOff>
      <xdr:row>24</xdr:row>
      <xdr:rowOff>252846</xdr:rowOff>
    </xdr:to>
    <xdr:cxnSp macro="">
      <xdr:nvCxnSpPr>
        <xdr:cNvPr id="28" name="Straight Connector 27"/>
        <xdr:cNvCxnSpPr/>
      </xdr:nvCxnSpPr>
      <xdr:spPr>
        <a:xfrm>
          <a:off x="95250" y="4833505"/>
          <a:ext cx="3439391"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76200</xdr:colOff>
      <xdr:row>21</xdr:row>
      <xdr:rowOff>9525</xdr:rowOff>
    </xdr:from>
    <xdr:to>
      <xdr:col>2</xdr:col>
      <xdr:colOff>0</xdr:colOff>
      <xdr:row>21</xdr:row>
      <xdr:rowOff>9525</xdr:rowOff>
    </xdr:to>
    <xdr:cxnSp macro="">
      <xdr:nvCxnSpPr>
        <xdr:cNvPr id="29" name="Straight Connector 28"/>
        <xdr:cNvCxnSpPr/>
      </xdr:nvCxnSpPr>
      <xdr:spPr>
        <a:xfrm>
          <a:off x="76200" y="3343275"/>
          <a:ext cx="3438525"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74163</xdr:rowOff>
    </xdr:from>
    <xdr:to>
      <xdr:col>4</xdr:col>
      <xdr:colOff>19843</xdr:colOff>
      <xdr:row>10</xdr:row>
      <xdr:rowOff>2166</xdr:rowOff>
    </xdr:to>
    <xdr:grpSp>
      <xdr:nvGrpSpPr>
        <xdr:cNvPr id="1029" name="Group 1028"/>
        <xdr:cNvGrpSpPr/>
      </xdr:nvGrpSpPr>
      <xdr:grpSpPr>
        <a:xfrm>
          <a:off x="0" y="74163"/>
          <a:ext cx="3766343" cy="2446836"/>
          <a:chOff x="0" y="97975"/>
          <a:chExt cx="3774281" cy="2460066"/>
        </a:xfrm>
      </xdr:grpSpPr>
      <xdr:grpSp>
        <xdr:nvGrpSpPr>
          <xdr:cNvPr id="1028" name="Group 1027"/>
          <xdr:cNvGrpSpPr/>
        </xdr:nvGrpSpPr>
        <xdr:grpSpPr>
          <a:xfrm>
            <a:off x="103909" y="97975"/>
            <a:ext cx="3670372" cy="2460066"/>
            <a:chOff x="103909" y="97975"/>
            <a:chExt cx="3670372" cy="2460066"/>
          </a:xfrm>
        </xdr:grpSpPr>
        <xdr:sp macro="" textlink="">
          <xdr:nvSpPr>
            <xdr:cNvPr id="46" name="Freeform 45"/>
            <xdr:cNvSpPr/>
          </xdr:nvSpPr>
          <xdr:spPr>
            <a:xfrm>
              <a:off x="103909" y="142875"/>
              <a:ext cx="3588568" cy="2415166"/>
            </a:xfrm>
            <a:custGeom>
              <a:avLst/>
              <a:gdLst>
                <a:gd name="connsiteX0" fmla="*/ 0 w 3576205"/>
                <a:gd name="connsiteY0" fmla="*/ 2346613 h 2372591"/>
                <a:gd name="connsiteX1" fmla="*/ 381000 w 3576205"/>
                <a:gd name="connsiteY1" fmla="*/ 1827068 h 2372591"/>
                <a:gd name="connsiteX2" fmla="*/ 536864 w 3576205"/>
                <a:gd name="connsiteY2" fmla="*/ 1905000 h 2372591"/>
                <a:gd name="connsiteX3" fmla="*/ 891886 w 3576205"/>
                <a:gd name="connsiteY3" fmla="*/ 1532659 h 2372591"/>
                <a:gd name="connsiteX4" fmla="*/ 1056409 w 3576205"/>
                <a:gd name="connsiteY4" fmla="*/ 1515341 h 2372591"/>
                <a:gd name="connsiteX5" fmla="*/ 1290205 w 3576205"/>
                <a:gd name="connsiteY5" fmla="*/ 1324841 h 2372591"/>
                <a:gd name="connsiteX6" fmla="*/ 1420091 w 3576205"/>
                <a:gd name="connsiteY6" fmla="*/ 1307522 h 2372591"/>
                <a:gd name="connsiteX7" fmla="*/ 1584614 w 3576205"/>
                <a:gd name="connsiteY7" fmla="*/ 1411432 h 2372591"/>
                <a:gd name="connsiteX8" fmla="*/ 1766455 w 3576205"/>
                <a:gd name="connsiteY8" fmla="*/ 1411432 h 2372591"/>
                <a:gd name="connsiteX9" fmla="*/ 1896341 w 3576205"/>
                <a:gd name="connsiteY9" fmla="*/ 1238250 h 2372591"/>
                <a:gd name="connsiteX10" fmla="*/ 2017568 w 3576205"/>
                <a:gd name="connsiteY10" fmla="*/ 1255568 h 2372591"/>
                <a:gd name="connsiteX11" fmla="*/ 2311977 w 3576205"/>
                <a:gd name="connsiteY11" fmla="*/ 762000 h 2372591"/>
                <a:gd name="connsiteX12" fmla="*/ 3273136 w 3576205"/>
                <a:gd name="connsiteY12" fmla="*/ 173182 h 2372591"/>
                <a:gd name="connsiteX13" fmla="*/ 3420341 w 3576205"/>
                <a:gd name="connsiteY13" fmla="*/ 0 h 2372591"/>
                <a:gd name="connsiteX14" fmla="*/ 3576205 w 3576205"/>
                <a:gd name="connsiteY14" fmla="*/ 25977 h 2372591"/>
                <a:gd name="connsiteX15" fmla="*/ 3524250 w 3576205"/>
                <a:gd name="connsiteY15" fmla="*/ 606136 h 2372591"/>
                <a:gd name="connsiteX16" fmla="*/ 3420341 w 3576205"/>
                <a:gd name="connsiteY16" fmla="*/ 883227 h 2372591"/>
                <a:gd name="connsiteX17" fmla="*/ 3403023 w 3576205"/>
                <a:gd name="connsiteY17" fmla="*/ 2372591 h 2372591"/>
                <a:gd name="connsiteX18" fmla="*/ 3403023 w 3576205"/>
                <a:gd name="connsiteY18" fmla="*/ 2372591 h 237259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576205" h="2372591">
                  <a:moveTo>
                    <a:pt x="0" y="2346613"/>
                  </a:moveTo>
                  <a:lnTo>
                    <a:pt x="381000" y="1827068"/>
                  </a:lnTo>
                  <a:lnTo>
                    <a:pt x="536864" y="1905000"/>
                  </a:lnTo>
                  <a:lnTo>
                    <a:pt x="891886" y="1532659"/>
                  </a:lnTo>
                  <a:lnTo>
                    <a:pt x="1056409" y="1515341"/>
                  </a:lnTo>
                  <a:lnTo>
                    <a:pt x="1290205" y="1324841"/>
                  </a:lnTo>
                  <a:lnTo>
                    <a:pt x="1420091" y="1307522"/>
                  </a:lnTo>
                  <a:lnTo>
                    <a:pt x="1584614" y="1411432"/>
                  </a:lnTo>
                  <a:lnTo>
                    <a:pt x="1766455" y="1411432"/>
                  </a:lnTo>
                  <a:lnTo>
                    <a:pt x="1896341" y="1238250"/>
                  </a:lnTo>
                  <a:lnTo>
                    <a:pt x="2017568" y="1255568"/>
                  </a:lnTo>
                  <a:lnTo>
                    <a:pt x="2311977" y="762000"/>
                  </a:lnTo>
                  <a:lnTo>
                    <a:pt x="3273136" y="173182"/>
                  </a:lnTo>
                  <a:lnTo>
                    <a:pt x="3420341" y="0"/>
                  </a:lnTo>
                  <a:lnTo>
                    <a:pt x="3576205" y="25977"/>
                  </a:lnTo>
                  <a:lnTo>
                    <a:pt x="3524250" y="606136"/>
                  </a:lnTo>
                  <a:lnTo>
                    <a:pt x="3420341" y="883227"/>
                  </a:lnTo>
                  <a:lnTo>
                    <a:pt x="3403023" y="2372591"/>
                  </a:lnTo>
                  <a:lnTo>
                    <a:pt x="3403023" y="2372591"/>
                  </a:lnTo>
                </a:path>
              </a:pathLst>
            </a:custGeom>
            <a:solidFill>
              <a:srgbClr val="0058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Rectangle 46"/>
            <xdr:cNvSpPr/>
          </xdr:nvSpPr>
          <xdr:spPr>
            <a:xfrm>
              <a:off x="3544746" y="97975"/>
              <a:ext cx="229535" cy="10849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6" name="TextBox 5"/>
          <xdr:cNvSpPr txBox="1"/>
        </xdr:nvSpPr>
        <xdr:spPr>
          <a:xfrm>
            <a:off x="95250" y="1003589"/>
            <a:ext cx="2933699" cy="4587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00583C"/>
                </a:solidFill>
                <a:effectLst/>
                <a:latin typeface="Arial Black" pitchFamily="34" charset="0"/>
                <a:ea typeface="+mn-ea"/>
                <a:cs typeface="+mn-cs"/>
              </a:rPr>
              <a:t>PROJECT 20-83</a:t>
            </a:r>
            <a:r>
              <a:rPr lang="en-US" sz="1800" b="1">
                <a:solidFill>
                  <a:srgbClr val="00583C"/>
                </a:solidFill>
                <a:latin typeface="Arial Black" pitchFamily="34" charset="0"/>
              </a:rPr>
              <a:t> </a:t>
            </a:r>
          </a:p>
        </xdr:txBody>
      </xdr:sp>
      <xdr:pic>
        <xdr:nvPicPr>
          <xdr:cNvPr id="39" name="yui_3_5_1_8_1353374550270_492" descr="http://www.watchyourdirt.com/storage/0001-2010-posts/01-febmar-posts/NCHRP.jpg?__SQUARESPACE_CACHEVERSION=1292604184893"/>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525" t="13270" r="12065" b="75269"/>
          <a:stretch/>
        </xdr:blipFill>
        <xdr:spPr bwMode="auto">
          <a:xfrm>
            <a:off x="0" y="366280"/>
            <a:ext cx="3420341" cy="638211"/>
          </a:xfrm>
          <a:prstGeom prst="rect">
            <a:avLst/>
          </a:prstGeom>
          <a:noFill/>
          <a:ln w="38100">
            <a:solidFill>
              <a:schemeClr val="bg1"/>
            </a:solidFill>
          </a:ln>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7942</xdr:colOff>
      <xdr:row>8</xdr:row>
      <xdr:rowOff>65182</xdr:rowOff>
    </xdr:from>
    <xdr:to>
      <xdr:col>2</xdr:col>
      <xdr:colOff>15340</xdr:colOff>
      <xdr:row>15</xdr:row>
      <xdr:rowOff>166710</xdr:rowOff>
    </xdr:to>
    <xdr:sp macro="" textlink="">
      <xdr:nvSpPr>
        <xdr:cNvPr id="3" name="TextBox 2"/>
        <xdr:cNvSpPr txBox="1"/>
      </xdr:nvSpPr>
      <xdr:spPr>
        <a:xfrm>
          <a:off x="103192" y="2152745"/>
          <a:ext cx="3428461" cy="1625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2600" b="1" i="0" u="none" strike="noStrike">
              <a:solidFill>
                <a:schemeClr val="bg1">
                  <a:lumMod val="95000"/>
                </a:schemeClr>
              </a:solidFill>
              <a:effectLst/>
              <a:latin typeface="Arial Narrow" pitchFamily="34" charset="0"/>
              <a:ea typeface="+mn-ea"/>
              <a:cs typeface="+mn-cs"/>
            </a:rPr>
            <a:t>IMPACTS 2050:</a:t>
          </a:r>
        </a:p>
        <a:p>
          <a:pPr algn="r"/>
          <a:r>
            <a:rPr lang="en-US" sz="2600" b="1" i="0" u="none" strike="noStrike">
              <a:solidFill>
                <a:schemeClr val="bg1">
                  <a:lumMod val="95000"/>
                </a:schemeClr>
              </a:solidFill>
              <a:effectLst/>
              <a:latin typeface="Arial Narrow" pitchFamily="34" charset="0"/>
              <a:ea typeface="+mn-ea"/>
              <a:cs typeface="+mn-cs"/>
            </a:rPr>
            <a:t>Dynamic Analysis of Socio-Demographic</a:t>
          </a:r>
          <a:r>
            <a:rPr lang="en-US" sz="2600" b="1" i="0" u="none" strike="noStrike" baseline="0">
              <a:solidFill>
                <a:schemeClr val="bg1">
                  <a:lumMod val="95000"/>
                </a:schemeClr>
              </a:solidFill>
              <a:effectLst/>
              <a:latin typeface="Arial Narrow" pitchFamily="34" charset="0"/>
              <a:ea typeface="+mn-ea"/>
              <a:cs typeface="+mn-cs"/>
            </a:rPr>
            <a:t>  </a:t>
          </a:r>
        </a:p>
        <a:p>
          <a:pPr algn="r"/>
          <a:r>
            <a:rPr lang="en-US" sz="2600" b="1" i="0" u="none" strike="noStrike" baseline="0">
              <a:solidFill>
                <a:schemeClr val="bg1">
                  <a:lumMod val="95000"/>
                </a:schemeClr>
              </a:solidFill>
              <a:effectLst/>
              <a:latin typeface="Arial Narrow" pitchFamily="34" charset="0"/>
              <a:ea typeface="+mn-ea"/>
              <a:cs typeface="+mn-cs"/>
            </a:rPr>
            <a:t>&amp; Travel</a:t>
          </a:r>
          <a:r>
            <a:rPr lang="en-US" sz="2600" b="1" i="0" u="none" strike="noStrike">
              <a:solidFill>
                <a:schemeClr val="bg1">
                  <a:lumMod val="95000"/>
                </a:schemeClr>
              </a:solidFill>
              <a:effectLst/>
              <a:latin typeface="Arial Narrow" pitchFamily="34" charset="0"/>
              <a:ea typeface="+mn-ea"/>
              <a:cs typeface="+mn-cs"/>
            </a:rPr>
            <a:t> Scenarios</a:t>
          </a:r>
        </a:p>
      </xdr:txBody>
    </xdr:sp>
    <xdr:clientData/>
  </xdr:twoCellAnchor>
  <xdr:twoCellAnchor>
    <xdr:from>
      <xdr:col>4</xdr:col>
      <xdr:colOff>1081485</xdr:colOff>
      <xdr:row>2</xdr:row>
      <xdr:rowOff>73026</xdr:rowOff>
    </xdr:from>
    <xdr:to>
      <xdr:col>4</xdr:col>
      <xdr:colOff>1865710</xdr:colOff>
      <xdr:row>2</xdr:row>
      <xdr:rowOff>827089</xdr:rowOff>
    </xdr:to>
    <xdr:sp macro="" textlink="">
      <xdr:nvSpPr>
        <xdr:cNvPr id="48" name="Oval 47"/>
        <xdr:cNvSpPr/>
      </xdr:nvSpPr>
      <xdr:spPr>
        <a:xfrm>
          <a:off x="4841876" y="221854"/>
          <a:ext cx="784225" cy="754063"/>
        </a:xfrm>
        <a:prstGeom prst="ellipse">
          <a:avLst/>
        </a:prstGeom>
        <a:solidFill>
          <a:schemeClr val="bg1"/>
        </a:solidFill>
        <a:ln w="114300">
          <a:solidFill>
            <a:srgbClr val="00583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a:solidFill>
                <a:srgbClr val="00583C"/>
              </a:solidFill>
              <a:latin typeface="Arial Black" pitchFamily="34" charset="0"/>
            </a:rPr>
            <a:t>1</a:t>
          </a:r>
          <a:endParaRPr lang="en-US" sz="1100">
            <a:solidFill>
              <a:srgbClr val="00583C"/>
            </a:solidFill>
            <a:latin typeface="Arial Black" pitchFamily="34" charset="0"/>
          </a:endParaRPr>
        </a:p>
      </xdr:txBody>
    </xdr:sp>
    <xdr:clientData/>
  </xdr:twoCellAnchor>
  <xdr:twoCellAnchor>
    <xdr:from>
      <xdr:col>5</xdr:col>
      <xdr:colOff>1174354</xdr:colOff>
      <xdr:row>2</xdr:row>
      <xdr:rowOff>73026</xdr:rowOff>
    </xdr:from>
    <xdr:to>
      <xdr:col>6</xdr:col>
      <xdr:colOff>638970</xdr:colOff>
      <xdr:row>2</xdr:row>
      <xdr:rowOff>827089</xdr:rowOff>
    </xdr:to>
    <xdr:sp macro="" textlink="">
      <xdr:nvSpPr>
        <xdr:cNvPr id="55" name="Oval 54"/>
        <xdr:cNvSpPr/>
      </xdr:nvSpPr>
      <xdr:spPr>
        <a:xfrm>
          <a:off x="7782323" y="221854"/>
          <a:ext cx="784225" cy="754063"/>
        </a:xfrm>
        <a:prstGeom prst="ellipse">
          <a:avLst/>
        </a:prstGeom>
        <a:solidFill>
          <a:schemeClr val="bg1"/>
        </a:solidFill>
        <a:ln w="114300">
          <a:solidFill>
            <a:srgbClr val="00583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a:solidFill>
                <a:srgbClr val="00583C"/>
              </a:solidFill>
              <a:latin typeface="Arial Black" pitchFamily="34" charset="0"/>
            </a:rPr>
            <a:t>2</a:t>
          </a:r>
          <a:endParaRPr lang="en-US" sz="1100">
            <a:solidFill>
              <a:srgbClr val="00583C"/>
            </a:solidFill>
            <a:latin typeface="Arial Black" pitchFamily="34" charset="0"/>
          </a:endParaRPr>
        </a:p>
      </xdr:txBody>
    </xdr:sp>
    <xdr:clientData/>
  </xdr:twoCellAnchor>
  <xdr:twoCellAnchor>
    <xdr:from>
      <xdr:col>5</xdr:col>
      <xdr:colOff>751286</xdr:colOff>
      <xdr:row>15</xdr:row>
      <xdr:rowOff>165894</xdr:rowOff>
    </xdr:from>
    <xdr:to>
      <xdr:col>6</xdr:col>
      <xdr:colOff>215902</xdr:colOff>
      <xdr:row>19</xdr:row>
      <xdr:rowOff>165895</xdr:rowOff>
    </xdr:to>
    <xdr:sp macro="" textlink="">
      <xdr:nvSpPr>
        <xdr:cNvPr id="56" name="Oval 55"/>
        <xdr:cNvSpPr/>
      </xdr:nvSpPr>
      <xdr:spPr>
        <a:xfrm>
          <a:off x="7359255" y="3747691"/>
          <a:ext cx="784225" cy="754063"/>
        </a:xfrm>
        <a:prstGeom prst="ellipse">
          <a:avLst/>
        </a:prstGeom>
        <a:solidFill>
          <a:schemeClr val="bg1"/>
        </a:solidFill>
        <a:ln w="114300">
          <a:solidFill>
            <a:srgbClr val="00583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a:solidFill>
                <a:srgbClr val="00583C"/>
              </a:solidFill>
              <a:latin typeface="Arial Black" pitchFamily="34" charset="0"/>
            </a:rPr>
            <a:t>3</a:t>
          </a:r>
          <a:endParaRPr lang="en-US" sz="1100">
            <a:solidFill>
              <a:srgbClr val="00583C"/>
            </a:solidFill>
            <a:latin typeface="Arial Black" pitchFamily="34" charset="0"/>
          </a:endParaRPr>
        </a:p>
      </xdr:txBody>
    </xdr:sp>
    <xdr:clientData/>
  </xdr:twoCellAnchor>
  <xdr:twoCellAnchor>
    <xdr:from>
      <xdr:col>4</xdr:col>
      <xdr:colOff>1865710</xdr:colOff>
      <xdr:row>2</xdr:row>
      <xdr:rowOff>450058</xdr:rowOff>
    </xdr:from>
    <xdr:to>
      <xdr:col>5</xdr:col>
      <xdr:colOff>1174354</xdr:colOff>
      <xdr:row>2</xdr:row>
      <xdr:rowOff>450058</xdr:rowOff>
    </xdr:to>
    <xdr:cxnSp macro="">
      <xdr:nvCxnSpPr>
        <xdr:cNvPr id="57" name="Straight Arrow Connector 56"/>
        <xdr:cNvCxnSpPr>
          <a:stCxn id="48" idx="6"/>
          <a:endCxn id="55" idx="2"/>
        </xdr:cNvCxnSpPr>
      </xdr:nvCxnSpPr>
      <xdr:spPr>
        <a:xfrm>
          <a:off x="5626101" y="598886"/>
          <a:ext cx="2156222" cy="0"/>
        </a:xfrm>
        <a:prstGeom prst="straightConnector1">
          <a:avLst/>
        </a:prstGeom>
        <a:ln w="76200">
          <a:solidFill>
            <a:srgbClr val="00583C"/>
          </a:solidFill>
          <a:prstDash val="sys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215902</xdr:colOff>
      <xdr:row>2</xdr:row>
      <xdr:rowOff>450058</xdr:rowOff>
    </xdr:from>
    <xdr:to>
      <xdr:col>6</xdr:col>
      <xdr:colOff>638970</xdr:colOff>
      <xdr:row>17</xdr:row>
      <xdr:rowOff>165895</xdr:rowOff>
    </xdr:to>
    <xdr:cxnSp macro="">
      <xdr:nvCxnSpPr>
        <xdr:cNvPr id="60" name="Elbow Connector 59"/>
        <xdr:cNvCxnSpPr>
          <a:stCxn id="55" idx="6"/>
          <a:endCxn id="56" idx="6"/>
        </xdr:cNvCxnSpPr>
      </xdr:nvCxnSpPr>
      <xdr:spPr>
        <a:xfrm flipH="1">
          <a:off x="8143480" y="598886"/>
          <a:ext cx="423068" cy="3525837"/>
        </a:xfrm>
        <a:prstGeom prst="bentConnector3">
          <a:avLst>
            <a:gd name="adj1" fmla="val -463509"/>
          </a:avLst>
        </a:prstGeom>
        <a:ln w="76200">
          <a:solidFill>
            <a:srgbClr val="00583C"/>
          </a:solidFill>
          <a:prstDash val="sys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7</xdr:col>
          <xdr:colOff>19050</xdr:colOff>
          <xdr:row>5</xdr:row>
          <xdr:rowOff>171450</xdr:rowOff>
        </xdr:from>
        <xdr:to>
          <xdr:col>7</xdr:col>
          <xdr:colOff>1343025</xdr:colOff>
          <xdr:row>6</xdr:row>
          <xdr:rowOff>209550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9</xdr:row>
          <xdr:rowOff>180975</xdr:rowOff>
        </xdr:from>
        <xdr:to>
          <xdr:col>7</xdr:col>
          <xdr:colOff>1323975</xdr:colOff>
          <xdr:row>10</xdr:row>
          <xdr:rowOff>209550</xdr:rowOff>
        </xdr:to>
        <xdr:sp macro="" textlink="">
          <xdr:nvSpPr>
            <xdr:cNvPr id="1027" name="Drop Down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1400175</xdr:colOff>
          <xdr:row>6</xdr:row>
          <xdr:rowOff>47625</xdr:rowOff>
        </xdr:from>
        <xdr:to>
          <xdr:col>4</xdr:col>
          <xdr:colOff>2638425</xdr:colOff>
          <xdr:row>7</xdr:row>
          <xdr:rowOff>0</xdr:rowOff>
        </xdr:to>
        <xdr:sp macro="" textlink="">
          <xdr:nvSpPr>
            <xdr:cNvPr id="2" name="Drop Down 4"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380999</xdr:colOff>
      <xdr:row>3</xdr:row>
      <xdr:rowOff>133350</xdr:rowOff>
    </xdr:from>
    <xdr:to>
      <xdr:col>18</xdr:col>
      <xdr:colOff>219074</xdr:colOff>
      <xdr:row>7</xdr:row>
      <xdr:rowOff>133350</xdr:rowOff>
    </xdr:to>
    <xdr:sp macro="" textlink="">
      <xdr:nvSpPr>
        <xdr:cNvPr id="2" name="TextBox 1"/>
        <xdr:cNvSpPr txBox="1"/>
      </xdr:nvSpPr>
      <xdr:spPr>
        <a:xfrm>
          <a:off x="7810499" y="704850"/>
          <a:ext cx="3162300" cy="762000"/>
        </a:xfrm>
        <a:prstGeom prst="rect">
          <a:avLst/>
        </a:prstGeom>
        <a:solidFill>
          <a:schemeClr val="lt1"/>
        </a:solidFill>
        <a:ln w="3810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C00000"/>
              </a:solidFill>
            </a:rPr>
            <a:t>Be Careful: Editing</a:t>
          </a:r>
          <a:r>
            <a:rPr lang="en-US" sz="1100" b="1" baseline="0">
              <a:solidFill>
                <a:srgbClr val="C00000"/>
              </a:solidFill>
            </a:rPr>
            <a:t> this box wil change the Momentum Scenario for this and future runs, until changed back to the original value</a:t>
          </a:r>
          <a:r>
            <a:rPr lang="en-US" sz="1100" b="1" baseline="0">
              <a:solidFill>
                <a:srgbClr val="00583C"/>
              </a:solidFill>
            </a:rPr>
            <a:t>.</a:t>
          </a:r>
          <a:endParaRPr lang="en-US" sz="1100"/>
        </a:p>
      </xdr:txBody>
    </xdr:sp>
    <xdr:clientData/>
  </xdr:twoCellAnchor>
  <xdr:twoCellAnchor>
    <xdr:from>
      <xdr:col>12</xdr:col>
      <xdr:colOff>104775</xdr:colOff>
      <xdr:row>2</xdr:row>
      <xdr:rowOff>161925</xdr:rowOff>
    </xdr:from>
    <xdr:to>
      <xdr:col>13</xdr:col>
      <xdr:colOff>66674</xdr:colOff>
      <xdr:row>4</xdr:row>
      <xdr:rowOff>152400</xdr:rowOff>
    </xdr:to>
    <xdr:sp macro="" textlink="">
      <xdr:nvSpPr>
        <xdr:cNvPr id="3" name="Oval 2"/>
        <xdr:cNvSpPr/>
      </xdr:nvSpPr>
      <xdr:spPr>
        <a:xfrm>
          <a:off x="7534275" y="542925"/>
          <a:ext cx="352424" cy="371475"/>
        </a:xfrm>
        <a:prstGeom prst="ellipse">
          <a:avLst/>
        </a:prstGeom>
        <a:solidFill>
          <a:schemeClr val="bg1"/>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C00000"/>
              </a:solidFill>
              <a:latin typeface="Arial Black" pitchFamily="34" charset="0"/>
            </a:rPr>
            <a:t>!</a:t>
          </a:r>
          <a:endParaRPr lang="en-US" sz="800">
            <a:solidFill>
              <a:srgbClr val="C00000"/>
            </a:solidFill>
            <a:latin typeface="Arial Black"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466725</xdr:colOff>
      <xdr:row>0</xdr:row>
      <xdr:rowOff>209550</xdr:rowOff>
    </xdr:from>
    <xdr:to>
      <xdr:col>8</xdr:col>
      <xdr:colOff>238125</xdr:colOff>
      <xdr:row>2</xdr:row>
      <xdr:rowOff>142875</xdr:rowOff>
    </xdr:to>
    <xdr:sp macro="" textlink="" fLocksText="0">
      <xdr:nvSpPr>
        <xdr:cNvPr id="3" name="TextBox 2"/>
        <xdr:cNvSpPr txBox="1"/>
      </xdr:nvSpPr>
      <xdr:spPr>
        <a:xfrm>
          <a:off x="3105150" y="209550"/>
          <a:ext cx="3162300" cy="581025"/>
        </a:xfrm>
        <a:prstGeom prst="rect">
          <a:avLst/>
        </a:prstGeom>
        <a:solidFill>
          <a:schemeClr val="bg1">
            <a:lumMod val="95000"/>
          </a:schemeClr>
        </a:solidFill>
        <a:ln w="38100" cmpd="sng">
          <a:solidFill>
            <a:srgbClr val="00583C"/>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00583C"/>
              </a:solidFill>
            </a:rPr>
            <a:t>Model Tip: </a:t>
          </a:r>
          <a:r>
            <a:rPr lang="en-US" sz="1100"/>
            <a:t>use this space to make a comment about inputs</a:t>
          </a:r>
          <a:r>
            <a:rPr lang="en-US" sz="1100" baseline="0"/>
            <a:t> on this page including suggestions.</a:t>
          </a:r>
          <a:endParaRPr lang="en-US" sz="1100"/>
        </a:p>
      </xdr:txBody>
    </xdr:sp>
    <xdr:clientData/>
  </xdr:twoCellAnchor>
  <xdr:twoCellAnchor>
    <xdr:from>
      <xdr:col>2</xdr:col>
      <xdr:colOff>190501</xdr:colOff>
      <xdr:row>0</xdr:row>
      <xdr:rowOff>47625</xdr:rowOff>
    </xdr:from>
    <xdr:to>
      <xdr:col>2</xdr:col>
      <xdr:colOff>542925</xdr:colOff>
      <xdr:row>0</xdr:row>
      <xdr:rowOff>419100</xdr:rowOff>
    </xdr:to>
    <xdr:sp macro="" textlink="">
      <xdr:nvSpPr>
        <xdr:cNvPr id="2" name="Oval 1"/>
        <xdr:cNvSpPr/>
      </xdr:nvSpPr>
      <xdr:spPr>
        <a:xfrm>
          <a:off x="2828926" y="47625"/>
          <a:ext cx="352424" cy="371475"/>
        </a:xfrm>
        <a:prstGeom prst="ellipse">
          <a:avLst/>
        </a:prstGeom>
        <a:solidFill>
          <a:schemeClr val="bg1"/>
        </a:solidFill>
        <a:ln w="38100">
          <a:solidFill>
            <a:srgbClr val="00583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00583C"/>
              </a:solidFill>
              <a:latin typeface="Arial Black" pitchFamily="34" charset="0"/>
            </a:rPr>
            <a:t>!</a:t>
          </a:r>
          <a:endParaRPr lang="en-US" sz="800">
            <a:solidFill>
              <a:srgbClr val="00583C"/>
            </a:solidFill>
            <a:latin typeface="Arial Black"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85725</xdr:colOff>
      <xdr:row>44</xdr:row>
      <xdr:rowOff>100012</xdr:rowOff>
    </xdr:from>
    <xdr:to>
      <xdr:col>9</xdr:col>
      <xdr:colOff>1123950</xdr:colOff>
      <xdr:row>58</xdr:row>
      <xdr:rowOff>176212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161925</xdr:colOff>
      <xdr:row>189</xdr:row>
      <xdr:rowOff>42862</xdr:rowOff>
    </xdr:from>
    <xdr:to>
      <xdr:col>11</xdr:col>
      <xdr:colOff>285750</xdr:colOff>
      <xdr:row>205</xdr:row>
      <xdr:rowOff>119062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24</xdr:col>
      <xdr:colOff>579968</xdr:colOff>
      <xdr:row>39</xdr:row>
      <xdr:rowOff>67734</xdr:rowOff>
    </xdr:from>
    <xdr:to>
      <xdr:col>35</xdr:col>
      <xdr:colOff>511176</xdr:colOff>
      <xdr:row>65</xdr:row>
      <xdr:rowOff>134409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0</xdr:colOff>
      <xdr:row>1</xdr:row>
      <xdr:rowOff>0</xdr:rowOff>
    </xdr:from>
    <xdr:to>
      <xdr:col>13</xdr:col>
      <xdr:colOff>581024</xdr:colOff>
      <xdr:row>29</xdr:row>
      <xdr:rowOff>161925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433918</xdr:colOff>
      <xdr:row>30</xdr:row>
      <xdr:rowOff>179916</xdr:rowOff>
    </xdr:from>
    <xdr:to>
      <xdr:col>13</xdr:col>
      <xdr:colOff>500593</xdr:colOff>
      <xdr:row>57</xdr:row>
      <xdr:rowOff>56091</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58</xdr:row>
      <xdr:rowOff>0</xdr:rowOff>
    </xdr:from>
    <xdr:to>
      <xdr:col>14</xdr:col>
      <xdr:colOff>66675</xdr:colOff>
      <xdr:row>84</xdr:row>
      <xdr:rowOff>66675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86</xdr:row>
      <xdr:rowOff>0</xdr:rowOff>
    </xdr:from>
    <xdr:to>
      <xdr:col>14</xdr:col>
      <xdr:colOff>95250</xdr:colOff>
      <xdr:row>112</xdr:row>
      <xdr:rowOff>66675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113</xdr:row>
      <xdr:rowOff>0</xdr:rowOff>
    </xdr:from>
    <xdr:to>
      <xdr:col>14</xdr:col>
      <xdr:colOff>95250</xdr:colOff>
      <xdr:row>139</xdr:row>
      <xdr:rowOff>66675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141</xdr:row>
      <xdr:rowOff>0</xdr:rowOff>
    </xdr:from>
    <xdr:to>
      <xdr:col>14</xdr:col>
      <xdr:colOff>95250</xdr:colOff>
      <xdr:row>167</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169</xdr:row>
      <xdr:rowOff>0</xdr:rowOff>
    </xdr:from>
    <xdr:to>
      <xdr:col>14</xdr:col>
      <xdr:colOff>95250</xdr:colOff>
      <xdr:row>195</xdr:row>
      <xdr:rowOff>66675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197</xdr:row>
      <xdr:rowOff>0</xdr:rowOff>
    </xdr:from>
    <xdr:to>
      <xdr:col>15</xdr:col>
      <xdr:colOff>472282</xdr:colOff>
      <xdr:row>223</xdr:row>
      <xdr:rowOff>66675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30</xdr:col>
      <xdr:colOff>52917</xdr:colOff>
      <xdr:row>1</xdr:row>
      <xdr:rowOff>105833</xdr:rowOff>
    </xdr:from>
    <xdr:to>
      <xdr:col>42</xdr:col>
      <xdr:colOff>20108</xdr:colOff>
      <xdr:row>30</xdr:row>
      <xdr:rowOff>77258</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30</xdr:col>
      <xdr:colOff>63500</xdr:colOff>
      <xdr:row>31</xdr:row>
      <xdr:rowOff>158750</xdr:rowOff>
    </xdr:from>
    <xdr:to>
      <xdr:col>42</xdr:col>
      <xdr:colOff>130175</xdr:colOff>
      <xdr:row>58</xdr:row>
      <xdr:rowOff>34925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116416</xdr:colOff>
      <xdr:row>59</xdr:row>
      <xdr:rowOff>21166</xdr:rowOff>
    </xdr:from>
    <xdr:to>
      <xdr:col>42</xdr:col>
      <xdr:colOff>183091</xdr:colOff>
      <xdr:row>85</xdr:row>
      <xdr:rowOff>87841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0</xdr:colOff>
      <xdr:row>86</xdr:row>
      <xdr:rowOff>0</xdr:rowOff>
    </xdr:from>
    <xdr:to>
      <xdr:col>27</xdr:col>
      <xdr:colOff>95250</xdr:colOff>
      <xdr:row>112</xdr:row>
      <xdr:rowOff>66675</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0</xdr:colOff>
      <xdr:row>113</xdr:row>
      <xdr:rowOff>0</xdr:rowOff>
    </xdr:from>
    <xdr:to>
      <xdr:col>27</xdr:col>
      <xdr:colOff>95250</xdr:colOff>
      <xdr:row>139</xdr:row>
      <xdr:rowOff>66675</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141</xdr:row>
      <xdr:rowOff>0</xdr:rowOff>
    </xdr:from>
    <xdr:to>
      <xdr:col>27</xdr:col>
      <xdr:colOff>95250</xdr:colOff>
      <xdr:row>167</xdr:row>
      <xdr:rowOff>66675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84668</xdr:colOff>
      <xdr:row>196</xdr:row>
      <xdr:rowOff>158750</xdr:rowOff>
    </xdr:from>
    <xdr:to>
      <xdr:col>31</xdr:col>
      <xdr:colOff>127001</xdr:colOff>
      <xdr:row>224</xdr:row>
      <xdr:rowOff>105833</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xdr:col>
      <xdr:colOff>137583</xdr:colOff>
      <xdr:row>29</xdr:row>
      <xdr:rowOff>169333</xdr:rowOff>
    </xdr:from>
    <xdr:to>
      <xdr:col>29</xdr:col>
      <xdr:colOff>179916</xdr:colOff>
      <xdr:row>57</xdr:row>
      <xdr:rowOff>116416</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14</xdr:col>
      <xdr:colOff>127000</xdr:colOff>
      <xdr:row>58</xdr:row>
      <xdr:rowOff>10583</xdr:rowOff>
    </xdr:from>
    <xdr:to>
      <xdr:col>29</xdr:col>
      <xdr:colOff>169333</xdr:colOff>
      <xdr:row>85</xdr:row>
      <xdr:rowOff>148166</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15</xdr:col>
      <xdr:colOff>0</xdr:colOff>
      <xdr:row>169</xdr:row>
      <xdr:rowOff>0</xdr:rowOff>
    </xdr:from>
    <xdr:to>
      <xdr:col>30</xdr:col>
      <xdr:colOff>42332</xdr:colOff>
      <xdr:row>196</xdr:row>
      <xdr:rowOff>137583</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HRP2%20-%20Round%205/06%20-%20Modeling/Impacts2050/Impacts_results_ARC_Alternate_Fi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W:\Impacts%202050\Impacts_results_ARC_Basic.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tion reports"/>
      <sheetName val="Simulation Charts"/>
      <sheetName val="Momentum"/>
      <sheetName val="Tech_Triumphs"/>
      <sheetName val="Gentle_Footprint"/>
      <sheetName val="Global_Chaos"/>
      <sheetName val="ABM"/>
    </sheetNames>
    <sheetDataSet>
      <sheetData sheetId="0">
        <row r="27">
          <cell r="AD27">
            <v>10475.5</v>
          </cell>
          <cell r="AE27">
            <v>10548.5</v>
          </cell>
          <cell r="AF27">
            <v>10548.5</v>
          </cell>
          <cell r="AG27">
            <v>10439</v>
          </cell>
          <cell r="AH27">
            <v>10293</v>
          </cell>
          <cell r="AI27">
            <v>10001</v>
          </cell>
        </row>
      </sheetData>
      <sheetData sheetId="1" refreshError="1"/>
      <sheetData sheetId="2">
        <row r="1">
          <cell r="B1">
            <v>2015</v>
          </cell>
          <cell r="C1">
            <v>2015.5</v>
          </cell>
          <cell r="D1">
            <v>2016</v>
          </cell>
          <cell r="E1">
            <v>2016.5</v>
          </cell>
          <cell r="F1">
            <v>2017</v>
          </cell>
          <cell r="G1">
            <v>2017.5</v>
          </cell>
          <cell r="H1">
            <v>2018</v>
          </cell>
          <cell r="I1">
            <v>2018.5</v>
          </cell>
          <cell r="J1">
            <v>2019</v>
          </cell>
          <cell r="K1">
            <v>2019.5</v>
          </cell>
          <cell r="L1">
            <v>2020</v>
          </cell>
          <cell r="M1">
            <v>2020.5</v>
          </cell>
          <cell r="N1">
            <v>2021</v>
          </cell>
          <cell r="O1">
            <v>2021.5</v>
          </cell>
          <cell r="P1">
            <v>2022</v>
          </cell>
          <cell r="Q1">
            <v>2022.5</v>
          </cell>
          <cell r="R1">
            <v>2023</v>
          </cell>
          <cell r="S1">
            <v>2023.5</v>
          </cell>
          <cell r="T1">
            <v>2024</v>
          </cell>
          <cell r="U1">
            <v>2024.5</v>
          </cell>
          <cell r="V1">
            <v>2025</v>
          </cell>
          <cell r="W1">
            <v>2025.5</v>
          </cell>
          <cell r="X1">
            <v>2026</v>
          </cell>
          <cell r="Y1">
            <v>2026.5</v>
          </cell>
          <cell r="Z1">
            <v>2027</v>
          </cell>
          <cell r="AA1">
            <v>2027.5</v>
          </cell>
          <cell r="AB1">
            <v>2028</v>
          </cell>
          <cell r="AC1">
            <v>2028.5</v>
          </cell>
          <cell r="AD1">
            <v>2029</v>
          </cell>
          <cell r="AE1">
            <v>2029.5</v>
          </cell>
          <cell r="AF1">
            <v>2030</v>
          </cell>
          <cell r="AG1">
            <v>2030.5</v>
          </cell>
          <cell r="AH1">
            <v>2031</v>
          </cell>
          <cell r="AI1">
            <v>2031.5</v>
          </cell>
          <cell r="AJ1">
            <v>2032</v>
          </cell>
          <cell r="AK1">
            <v>2032.5</v>
          </cell>
          <cell r="AL1">
            <v>2033</v>
          </cell>
          <cell r="AM1">
            <v>2033.5</v>
          </cell>
          <cell r="AN1">
            <v>2034</v>
          </cell>
          <cell r="AO1">
            <v>2034.5</v>
          </cell>
          <cell r="AP1">
            <v>2035</v>
          </cell>
          <cell r="AQ1">
            <v>2035.5</v>
          </cell>
          <cell r="AR1">
            <v>2036</v>
          </cell>
          <cell r="AS1">
            <v>2036.5</v>
          </cell>
          <cell r="AT1">
            <v>2037</v>
          </cell>
          <cell r="AU1">
            <v>2037.5</v>
          </cell>
          <cell r="AV1">
            <v>2038</v>
          </cell>
          <cell r="AW1">
            <v>2038.5</v>
          </cell>
          <cell r="AX1">
            <v>2039</v>
          </cell>
          <cell r="AY1">
            <v>2039.5</v>
          </cell>
          <cell r="AZ1">
            <v>2040</v>
          </cell>
          <cell r="BA1">
            <v>2040.5</v>
          </cell>
          <cell r="BB1">
            <v>2041</v>
          </cell>
          <cell r="BC1">
            <v>2041.5</v>
          </cell>
          <cell r="BD1">
            <v>2042</v>
          </cell>
          <cell r="BE1">
            <v>2042.5</v>
          </cell>
          <cell r="BF1">
            <v>2043</v>
          </cell>
          <cell r="BG1">
            <v>2043.5</v>
          </cell>
          <cell r="BH1">
            <v>2044</v>
          </cell>
          <cell r="BI1">
            <v>2044.5</v>
          </cell>
          <cell r="BJ1">
            <v>2045</v>
          </cell>
          <cell r="BK1">
            <v>2045.5</v>
          </cell>
          <cell r="BL1">
            <v>2046</v>
          </cell>
          <cell r="BM1">
            <v>2046.5</v>
          </cell>
          <cell r="BN1">
            <v>2047</v>
          </cell>
          <cell r="BO1">
            <v>2047.5</v>
          </cell>
          <cell r="BP1">
            <v>2048</v>
          </cell>
          <cell r="BQ1">
            <v>2048.5</v>
          </cell>
          <cell r="BR1">
            <v>2049</v>
          </cell>
          <cell r="BS1">
            <v>2049.5</v>
          </cell>
          <cell r="BT1">
            <v>2050</v>
          </cell>
          <cell r="BU1">
            <v>2050.5</v>
          </cell>
          <cell r="BV1">
            <v>2051</v>
          </cell>
          <cell r="BW1">
            <v>2051.5</v>
          </cell>
          <cell r="BX1">
            <v>2052</v>
          </cell>
          <cell r="BY1">
            <v>2052.5</v>
          </cell>
          <cell r="BZ1">
            <v>2053</v>
          </cell>
          <cell r="CA1">
            <v>2053.5</v>
          </cell>
          <cell r="CB1">
            <v>2054</v>
          </cell>
          <cell r="CC1">
            <v>2054.5</v>
          </cell>
          <cell r="CD1">
            <v>2055</v>
          </cell>
          <cell r="CE1">
            <v>2055.5</v>
          </cell>
          <cell r="CF1">
            <v>2056</v>
          </cell>
          <cell r="CG1">
            <v>2056.5</v>
          </cell>
          <cell r="CH1">
            <v>2057</v>
          </cell>
          <cell r="CI1">
            <v>2057.5</v>
          </cell>
          <cell r="CJ1">
            <v>2058</v>
          </cell>
          <cell r="CK1">
            <v>2058.5</v>
          </cell>
          <cell r="CL1">
            <v>2059</v>
          </cell>
          <cell r="CM1">
            <v>2059.5</v>
          </cell>
          <cell r="CN1">
            <v>2060</v>
          </cell>
          <cell r="CO1">
            <v>2060.5</v>
          </cell>
          <cell r="CP1">
            <v>2061</v>
          </cell>
          <cell r="CQ1">
            <v>2061.5</v>
          </cell>
          <cell r="CR1">
            <v>2062</v>
          </cell>
          <cell r="CS1">
            <v>2062.5</v>
          </cell>
          <cell r="CT1">
            <v>2063</v>
          </cell>
          <cell r="CU1">
            <v>2063.5</v>
          </cell>
          <cell r="CV1">
            <v>2064</v>
          </cell>
          <cell r="CW1">
            <v>2064.5</v>
          </cell>
          <cell r="CX1">
            <v>2065</v>
          </cell>
        </row>
        <row r="2">
          <cell r="B2">
            <v>5509111.5</v>
          </cell>
          <cell r="C2">
            <v>5583911.5</v>
          </cell>
          <cell r="D2">
            <v>5655235</v>
          </cell>
          <cell r="E2">
            <v>5724362.5</v>
          </cell>
          <cell r="F2">
            <v>5791579.5</v>
          </cell>
          <cell r="G2">
            <v>5857071</v>
          </cell>
          <cell r="H2">
            <v>5921020</v>
          </cell>
          <cell r="I2">
            <v>5983546.5</v>
          </cell>
          <cell r="J2">
            <v>6044722</v>
          </cell>
          <cell r="K2">
            <v>6104571.5</v>
          </cell>
          <cell r="L2">
            <v>6163170</v>
          </cell>
          <cell r="M2">
            <v>6220590</v>
          </cell>
          <cell r="N2">
            <v>6276925.5</v>
          </cell>
          <cell r="O2">
            <v>6332238.5</v>
          </cell>
          <cell r="P2">
            <v>6386671</v>
          </cell>
          <cell r="Q2">
            <v>6440211.5</v>
          </cell>
          <cell r="R2">
            <v>6492903.5</v>
          </cell>
          <cell r="S2">
            <v>6544765.5</v>
          </cell>
          <cell r="T2">
            <v>6595861.5</v>
          </cell>
          <cell r="U2">
            <v>6646241</v>
          </cell>
          <cell r="V2">
            <v>6695936</v>
          </cell>
          <cell r="W2">
            <v>6744844.5</v>
          </cell>
          <cell r="X2">
            <v>6793001</v>
          </cell>
          <cell r="Y2">
            <v>6840465</v>
          </cell>
          <cell r="Z2">
            <v>6887235.5</v>
          </cell>
          <cell r="AA2">
            <v>6933357.5</v>
          </cell>
          <cell r="AB2">
            <v>6978852</v>
          </cell>
          <cell r="AC2">
            <v>7023711.5</v>
          </cell>
          <cell r="AD2">
            <v>7067972</v>
          </cell>
          <cell r="AE2">
            <v>7111634</v>
          </cell>
          <cell r="AF2">
            <v>7154714</v>
          </cell>
          <cell r="AG2">
            <v>7197321.5</v>
          </cell>
          <cell r="AH2">
            <v>7239441</v>
          </cell>
          <cell r="AI2">
            <v>7281159.5</v>
          </cell>
          <cell r="AJ2">
            <v>7322466</v>
          </cell>
          <cell r="AK2">
            <v>7363347</v>
          </cell>
          <cell r="AL2">
            <v>7403813.5</v>
          </cell>
          <cell r="AM2">
            <v>7443885.5</v>
          </cell>
          <cell r="AN2">
            <v>7483502.5</v>
          </cell>
          <cell r="AO2">
            <v>7522474.5</v>
          </cell>
          <cell r="AP2">
            <v>7560776.5</v>
          </cell>
          <cell r="AQ2">
            <v>7598529.5</v>
          </cell>
          <cell r="AR2">
            <v>7635862.5</v>
          </cell>
          <cell r="AS2">
            <v>7672700</v>
          </cell>
          <cell r="AT2">
            <v>7709040.5</v>
          </cell>
          <cell r="AU2">
            <v>7744897</v>
          </cell>
          <cell r="AV2">
            <v>7780297.5</v>
          </cell>
          <cell r="AW2">
            <v>7815241.5</v>
          </cell>
          <cell r="AX2">
            <v>7849725</v>
          </cell>
          <cell r="AY2">
            <v>7883789</v>
          </cell>
          <cell r="AZ2">
            <v>7917353</v>
          </cell>
          <cell r="BA2">
            <v>7950402.5</v>
          </cell>
          <cell r="BB2">
            <v>7982594</v>
          </cell>
          <cell r="BC2">
            <v>8014067</v>
          </cell>
          <cell r="BD2">
            <v>8044929.5</v>
          </cell>
          <cell r="BE2">
            <v>8075142.5</v>
          </cell>
          <cell r="BF2">
            <v>8104734</v>
          </cell>
          <cell r="BG2">
            <v>8133837.5</v>
          </cell>
          <cell r="BH2">
            <v>8162362.5</v>
          </cell>
          <cell r="BI2">
            <v>8190399.5</v>
          </cell>
          <cell r="BJ2">
            <v>8217918</v>
          </cell>
          <cell r="BK2">
            <v>8245130.5</v>
          </cell>
          <cell r="BL2">
            <v>8271480</v>
          </cell>
          <cell r="BM2">
            <v>8297336.5</v>
          </cell>
          <cell r="BN2">
            <v>8322671</v>
          </cell>
          <cell r="BO2">
            <v>8347113.5</v>
          </cell>
          <cell r="BP2">
            <v>8371037</v>
          </cell>
          <cell r="BQ2">
            <v>8394584</v>
          </cell>
          <cell r="BR2">
            <v>8417641</v>
          </cell>
          <cell r="BS2">
            <v>8439897</v>
          </cell>
          <cell r="BT2">
            <v>8461668</v>
          </cell>
          <cell r="BU2">
            <v>8482730</v>
          </cell>
          <cell r="BV2">
            <v>8503121</v>
          </cell>
          <cell r="BW2">
            <v>8522834</v>
          </cell>
          <cell r="BX2">
            <v>8541909</v>
          </cell>
          <cell r="BY2">
            <v>8560375</v>
          </cell>
          <cell r="BZ2">
            <v>8578238</v>
          </cell>
          <cell r="CA2">
            <v>8595575</v>
          </cell>
          <cell r="CB2">
            <v>8612394</v>
          </cell>
          <cell r="CC2">
            <v>8628688</v>
          </cell>
          <cell r="CD2">
            <v>8644496</v>
          </cell>
          <cell r="CE2">
            <v>8659969</v>
          </cell>
          <cell r="CF2">
            <v>8675201</v>
          </cell>
          <cell r="CG2">
            <v>8690163</v>
          </cell>
          <cell r="CH2">
            <v>8704921</v>
          </cell>
          <cell r="CI2">
            <v>8719544</v>
          </cell>
          <cell r="CJ2">
            <v>8733978</v>
          </cell>
          <cell r="CK2">
            <v>8748205</v>
          </cell>
          <cell r="CL2">
            <v>8762231</v>
          </cell>
          <cell r="CM2">
            <v>8776046</v>
          </cell>
          <cell r="CN2">
            <v>8789149</v>
          </cell>
          <cell r="CO2">
            <v>8801971</v>
          </cell>
          <cell r="CP2">
            <v>8814209</v>
          </cell>
          <cell r="CQ2">
            <v>8826267</v>
          </cell>
          <cell r="CR2">
            <v>8838037</v>
          </cell>
          <cell r="CS2">
            <v>8849264</v>
          </cell>
          <cell r="CT2">
            <v>8860168</v>
          </cell>
          <cell r="CU2">
            <v>8870791</v>
          </cell>
          <cell r="CV2">
            <v>8881148</v>
          </cell>
          <cell r="CW2">
            <v>8891030</v>
          </cell>
          <cell r="CX2">
            <v>8900471</v>
          </cell>
        </row>
        <row r="33">
          <cell r="B33">
            <v>6854209</v>
          </cell>
          <cell r="C33">
            <v>6854209</v>
          </cell>
          <cell r="D33">
            <v>6931591</v>
          </cell>
          <cell r="E33">
            <v>7005465</v>
          </cell>
          <cell r="F33">
            <v>7076207.5</v>
          </cell>
          <cell r="G33">
            <v>7144149</v>
          </cell>
          <cell r="H33">
            <v>7209513.5</v>
          </cell>
          <cell r="I33">
            <v>7272509</v>
          </cell>
          <cell r="J33">
            <v>7333277.5</v>
          </cell>
          <cell r="K33">
            <v>7391936</v>
          </cell>
          <cell r="L33">
            <v>7448595.5</v>
          </cell>
          <cell r="M33">
            <v>7495630.5</v>
          </cell>
          <cell r="N33">
            <v>7540894</v>
          </cell>
          <cell r="O33">
            <v>7584541</v>
          </cell>
          <cell r="P33">
            <v>7626786</v>
          </cell>
          <cell r="Q33">
            <v>7667657.5</v>
          </cell>
          <cell r="R33">
            <v>7707241</v>
          </cell>
          <cell r="S33">
            <v>7745624.5</v>
          </cell>
          <cell r="T33">
            <v>7782911</v>
          </cell>
          <cell r="U33">
            <v>7819180.5</v>
          </cell>
          <cell r="V33">
            <v>7854497.5</v>
          </cell>
          <cell r="W33">
            <v>7905184</v>
          </cell>
          <cell r="X33">
            <v>7955210</v>
          </cell>
          <cell r="Y33">
            <v>8004642.5</v>
          </cell>
          <cell r="Z33">
            <v>8053568</v>
          </cell>
          <cell r="AA33">
            <v>8102010</v>
          </cell>
          <cell r="AB33">
            <v>8150005.5</v>
          </cell>
          <cell r="AC33">
            <v>8197593</v>
          </cell>
          <cell r="AD33">
            <v>8244807</v>
          </cell>
          <cell r="AE33">
            <v>8291689</v>
          </cell>
          <cell r="AF33">
            <v>8338208.5</v>
          </cell>
          <cell r="AG33">
            <v>8299100.5</v>
          </cell>
          <cell r="AH33">
            <v>8259053.5</v>
          </cell>
          <cell r="AI33">
            <v>8218166.5</v>
          </cell>
          <cell r="AJ33">
            <v>8176454.5</v>
          </cell>
          <cell r="AK33">
            <v>8133926.5</v>
          </cell>
          <cell r="AL33">
            <v>8090598</v>
          </cell>
          <cell r="AM33">
            <v>8046463.5</v>
          </cell>
          <cell r="AN33">
            <v>8001531</v>
          </cell>
          <cell r="AO33">
            <v>7955565.5</v>
          </cell>
          <cell r="AP33">
            <v>7908568.5</v>
          </cell>
          <cell r="AQ33">
            <v>7887147</v>
          </cell>
          <cell r="AR33">
            <v>7865128.5</v>
          </cell>
          <cell r="AS33">
            <v>7842459.5</v>
          </cell>
          <cell r="AT33">
            <v>7819177.5</v>
          </cell>
          <cell r="AU33">
            <v>7795266</v>
          </cell>
          <cell r="AV33">
            <v>7770794</v>
          </cell>
          <cell r="AW33">
            <v>7745736.5</v>
          </cell>
          <cell r="AX33">
            <v>7720138</v>
          </cell>
          <cell r="AY33">
            <v>7693991.5</v>
          </cell>
          <cell r="AZ33">
            <v>7667298</v>
          </cell>
          <cell r="BA33">
            <v>7640029</v>
          </cell>
          <cell r="BB33">
            <v>7611947</v>
          </cell>
          <cell r="BC33">
            <v>7583178.5</v>
          </cell>
          <cell r="BD33">
            <v>7553866</v>
          </cell>
          <cell r="BE33">
            <v>7523982</v>
          </cell>
          <cell r="BF33">
            <v>7493562.5</v>
          </cell>
          <cell r="BG33">
            <v>7462736</v>
          </cell>
          <cell r="BH33">
            <v>7431426.5</v>
          </cell>
          <cell r="BI33">
            <v>7399715.5</v>
          </cell>
          <cell r="BJ33">
            <v>7367574.5</v>
          </cell>
          <cell r="BK33">
            <v>7335203</v>
          </cell>
          <cell r="BL33">
            <v>7302031.5</v>
          </cell>
          <cell r="BM33">
            <v>7268410</v>
          </cell>
          <cell r="BN33">
            <v>7234293.5</v>
          </cell>
          <cell r="BO33">
            <v>7199376.5</v>
          </cell>
          <cell r="BP33">
            <v>7163982</v>
          </cell>
          <cell r="BQ33">
            <v>7128239.5</v>
          </cell>
          <cell r="BR33">
            <v>7092059</v>
          </cell>
          <cell r="BS33">
            <v>7055148.5</v>
          </cell>
          <cell r="BT33">
            <v>7017839.5</v>
          </cell>
          <cell r="BU33">
            <v>6979936.5</v>
          </cell>
          <cell r="BV33">
            <v>6941449</v>
          </cell>
          <cell r="BW33">
            <v>6902417</v>
          </cell>
          <cell r="BX33">
            <v>6862852.5</v>
          </cell>
          <cell r="BY33">
            <v>6822805</v>
          </cell>
          <cell r="BZ33">
            <v>6782325</v>
          </cell>
          <cell r="CA33">
            <v>6741385.5</v>
          </cell>
          <cell r="CB33">
            <v>6700055</v>
          </cell>
          <cell r="CC33">
            <v>6658356.5</v>
          </cell>
          <cell r="CD33">
            <v>6616301</v>
          </cell>
          <cell r="CE33">
            <v>6573990.5</v>
          </cell>
          <cell r="CF33">
            <v>6531534.5</v>
          </cell>
          <cell r="CG33">
            <v>6488973.5</v>
          </cell>
          <cell r="CH33">
            <v>6446349.5</v>
          </cell>
          <cell r="CI33">
            <v>6403658</v>
          </cell>
          <cell r="CJ33">
            <v>6360898</v>
          </cell>
          <cell r="CK33">
            <v>6318054.5</v>
          </cell>
          <cell r="CL33">
            <v>6275137</v>
          </cell>
          <cell r="CM33">
            <v>6232116.5</v>
          </cell>
          <cell r="CN33">
            <v>6188632</v>
          </cell>
          <cell r="CO33">
            <v>6145041</v>
          </cell>
          <cell r="CP33">
            <v>6101083</v>
          </cell>
          <cell r="CQ33">
            <v>6057038</v>
          </cell>
          <cell r="CR33">
            <v>6012787.5</v>
          </cell>
          <cell r="CS33">
            <v>5968187</v>
          </cell>
          <cell r="CT33">
            <v>5923381.5</v>
          </cell>
          <cell r="CU33">
            <v>5878415</v>
          </cell>
          <cell r="CV33">
            <v>5833286.5</v>
          </cell>
          <cell r="CW33">
            <v>5787833</v>
          </cell>
          <cell r="CX33">
            <v>5742142.5</v>
          </cell>
        </row>
        <row r="34">
          <cell r="B34">
            <v>12108041</v>
          </cell>
          <cell r="C34">
            <v>12108041</v>
          </cell>
          <cell r="D34">
            <v>12267396</v>
          </cell>
          <cell r="E34">
            <v>12422647</v>
          </cell>
          <cell r="F34">
            <v>12574511</v>
          </cell>
          <cell r="G34">
            <v>12723477</v>
          </cell>
          <cell r="H34">
            <v>12869816</v>
          </cell>
          <cell r="I34">
            <v>13013775</v>
          </cell>
          <cell r="J34">
            <v>13155474</v>
          </cell>
          <cell r="K34">
            <v>13295027</v>
          </cell>
          <cell r="L34">
            <v>13432439</v>
          </cell>
          <cell r="M34">
            <v>13567866</v>
          </cell>
          <cell r="N34">
            <v>13701464</v>
          </cell>
          <cell r="O34">
            <v>13833366</v>
          </cell>
          <cell r="P34">
            <v>13963743</v>
          </cell>
          <cell r="Q34">
            <v>14092586</v>
          </cell>
          <cell r="R34">
            <v>14219937</v>
          </cell>
          <cell r="S34">
            <v>14345802</v>
          </cell>
          <cell r="T34">
            <v>14470249</v>
          </cell>
          <cell r="U34">
            <v>14593389</v>
          </cell>
          <cell r="V34">
            <v>14715238</v>
          </cell>
          <cell r="W34">
            <v>14760847</v>
          </cell>
          <cell r="X34">
            <v>14803735</v>
          </cell>
          <cell r="Y34">
            <v>14843962</v>
          </cell>
          <cell r="Z34">
            <v>14881563</v>
          </cell>
          <cell r="AA34">
            <v>14916580</v>
          </cell>
          <cell r="AB34">
            <v>14949110</v>
          </cell>
          <cell r="AC34">
            <v>14979211</v>
          </cell>
          <cell r="AD34">
            <v>15006846</v>
          </cell>
          <cell r="AE34">
            <v>15032089</v>
          </cell>
          <cell r="AF34">
            <v>15054934</v>
          </cell>
          <cell r="AG34">
            <v>15155811</v>
          </cell>
          <cell r="AH34">
            <v>15255682</v>
          </cell>
          <cell r="AI34">
            <v>15354675</v>
          </cell>
          <cell r="AJ34">
            <v>15452801</v>
          </cell>
          <cell r="AK34">
            <v>15550055</v>
          </cell>
          <cell r="AL34">
            <v>15646373</v>
          </cell>
          <cell r="AM34">
            <v>15741815</v>
          </cell>
          <cell r="AN34">
            <v>15836311</v>
          </cell>
          <cell r="AO34">
            <v>15929373</v>
          </cell>
          <cell r="AP34">
            <v>16020915</v>
          </cell>
          <cell r="AQ34">
            <v>16111267</v>
          </cell>
          <cell r="AR34">
            <v>16200619</v>
          </cell>
          <cell r="AS34">
            <v>16288902</v>
          </cell>
          <cell r="AT34">
            <v>16376090</v>
          </cell>
          <cell r="AU34">
            <v>16462219</v>
          </cell>
          <cell r="AV34">
            <v>16547304</v>
          </cell>
          <cell r="AW34">
            <v>16631351</v>
          </cell>
          <cell r="AX34">
            <v>16714352</v>
          </cell>
          <cell r="AY34">
            <v>16796322</v>
          </cell>
          <cell r="AZ34">
            <v>16877196</v>
          </cell>
          <cell r="BA34">
            <v>16867250</v>
          </cell>
          <cell r="BB34">
            <v>16854470</v>
          </cell>
          <cell r="BC34">
            <v>16839090</v>
          </cell>
          <cell r="BD34">
            <v>16821594</v>
          </cell>
          <cell r="BE34">
            <v>16801760</v>
          </cell>
          <cell r="BF34">
            <v>16779764</v>
          </cell>
          <cell r="BG34">
            <v>16755922</v>
          </cell>
          <cell r="BH34">
            <v>16730010</v>
          </cell>
          <cell r="BI34">
            <v>16702273</v>
          </cell>
          <cell r="BJ34">
            <v>16672607</v>
          </cell>
          <cell r="BK34">
            <v>16734889</v>
          </cell>
          <cell r="BL34">
            <v>16795314</v>
          </cell>
          <cell r="BM34">
            <v>16854620</v>
          </cell>
          <cell r="BN34">
            <v>16912888</v>
          </cell>
          <cell r="BO34">
            <v>16969208</v>
          </cell>
          <cell r="BP34">
            <v>17024362</v>
          </cell>
          <cell r="BQ34">
            <v>17078670</v>
          </cell>
          <cell r="BR34">
            <v>17131974</v>
          </cell>
          <cell r="BS34">
            <v>17183502</v>
          </cell>
          <cell r="BT34">
            <v>17233956</v>
          </cell>
          <cell r="BU34">
            <v>17282938</v>
          </cell>
          <cell r="BV34">
            <v>17330426</v>
          </cell>
          <cell r="BW34">
            <v>17376516</v>
          </cell>
          <cell r="BX34">
            <v>17421166</v>
          </cell>
          <cell r="BY34">
            <v>17464512</v>
          </cell>
          <cell r="BZ34">
            <v>17506594</v>
          </cell>
          <cell r="CA34">
            <v>17547440</v>
          </cell>
          <cell r="CB34">
            <v>17587146</v>
          </cell>
          <cell r="CC34">
            <v>17625706</v>
          </cell>
          <cell r="CD34">
            <v>17663206</v>
          </cell>
          <cell r="CE34">
            <v>17601166</v>
          </cell>
          <cell r="CF34">
            <v>17538066</v>
          </cell>
          <cell r="CG34">
            <v>17473904</v>
          </cell>
          <cell r="CH34">
            <v>17408970</v>
          </cell>
          <cell r="CI34">
            <v>17343112</v>
          </cell>
          <cell r="CJ34">
            <v>17276394</v>
          </cell>
          <cell r="CK34">
            <v>17208872</v>
          </cell>
          <cell r="CL34">
            <v>17140502</v>
          </cell>
          <cell r="CM34">
            <v>17071218</v>
          </cell>
          <cell r="CN34">
            <v>17000102</v>
          </cell>
          <cell r="CO34">
            <v>17028570</v>
          </cell>
          <cell r="CP34">
            <v>17055912</v>
          </cell>
          <cell r="CQ34">
            <v>17082898</v>
          </cell>
          <cell r="CR34">
            <v>17109206</v>
          </cell>
          <cell r="CS34">
            <v>17134562</v>
          </cell>
          <cell r="CT34">
            <v>17159310</v>
          </cell>
          <cell r="CU34">
            <v>17183406</v>
          </cell>
          <cell r="CV34">
            <v>17206972</v>
          </cell>
          <cell r="CW34">
            <v>17229526</v>
          </cell>
          <cell r="CX34">
            <v>17251222</v>
          </cell>
        </row>
        <row r="35">
          <cell r="B35">
            <v>5173887.5</v>
          </cell>
          <cell r="F35">
            <v>5347543.5</v>
          </cell>
          <cell r="L35">
            <v>5637741.5</v>
          </cell>
          <cell r="T35">
            <v>5896609</v>
          </cell>
          <cell r="AF35">
            <v>6272436</v>
          </cell>
          <cell r="AZ35">
            <v>5719176</v>
          </cell>
          <cell r="BT35">
            <v>5165584.5</v>
          </cell>
        </row>
        <row r="36">
          <cell r="B36">
            <v>1189440.3799999999</v>
          </cell>
          <cell r="F36">
            <v>1214569.25</v>
          </cell>
          <cell r="L36">
            <v>1256930.8799999999</v>
          </cell>
          <cell r="T36">
            <v>1293187.6299999999</v>
          </cell>
          <cell r="AF36">
            <v>1372133.88</v>
          </cell>
          <cell r="AZ36">
            <v>1267854.8799999999</v>
          </cell>
          <cell r="BT36">
            <v>1165733.5</v>
          </cell>
        </row>
        <row r="37">
          <cell r="B37">
            <v>169515.48</v>
          </cell>
          <cell r="F37">
            <v>177607.47</v>
          </cell>
          <cell r="L37">
            <v>191722.67</v>
          </cell>
          <cell r="T37">
            <v>206115.38</v>
          </cell>
          <cell r="AF37">
            <v>241174.09</v>
          </cell>
          <cell r="AZ37">
            <v>235184.98</v>
          </cell>
          <cell r="BT37">
            <v>235695.5</v>
          </cell>
        </row>
        <row r="38">
          <cell r="B38">
            <v>321373.21999999997</v>
          </cell>
          <cell r="F38">
            <v>336493.28</v>
          </cell>
          <cell r="L38">
            <v>362200.13</v>
          </cell>
          <cell r="T38">
            <v>387006.19</v>
          </cell>
          <cell r="AF38">
            <v>452467.94</v>
          </cell>
          <cell r="AZ38">
            <v>445087.53</v>
          </cell>
          <cell r="BT38">
            <v>450826.97</v>
          </cell>
        </row>
        <row r="39">
          <cell r="B39">
            <v>109528992</v>
          </cell>
          <cell r="F39">
            <v>112923416</v>
          </cell>
          <cell r="L39">
            <v>118592240</v>
          </cell>
          <cell r="T39">
            <v>123566552</v>
          </cell>
          <cell r="AF39">
            <v>130966728</v>
          </cell>
          <cell r="AZ39">
            <v>118969360</v>
          </cell>
          <cell r="BT39">
            <v>107236416</v>
          </cell>
        </row>
        <row r="42">
          <cell r="B42">
            <v>4408959.5</v>
          </cell>
          <cell r="F42">
            <v>4618690</v>
          </cell>
          <cell r="L42">
            <v>4998210.5</v>
          </cell>
          <cell r="T42">
            <v>5452492</v>
          </cell>
          <cell r="AF42">
            <v>5660037.5</v>
          </cell>
          <cell r="AZ42">
            <v>6303811.5</v>
          </cell>
          <cell r="BT42">
            <v>6336385.5</v>
          </cell>
        </row>
        <row r="43">
          <cell r="B43">
            <v>6195695</v>
          </cell>
          <cell r="F43">
            <v>6396266.5</v>
          </cell>
          <cell r="L43">
            <v>6763286.5</v>
          </cell>
          <cell r="T43">
            <v>7204250.5</v>
          </cell>
          <cell r="AF43">
            <v>7378455.5</v>
          </cell>
          <cell r="AZ43">
            <v>8183935</v>
          </cell>
          <cell r="BT43">
            <v>8232770.5</v>
          </cell>
        </row>
        <row r="44">
          <cell r="B44">
            <v>913909.94</v>
          </cell>
          <cell r="F44">
            <v>946450.31</v>
          </cell>
          <cell r="L44">
            <v>1012945.44</v>
          </cell>
          <cell r="T44">
            <v>1102847.75</v>
          </cell>
          <cell r="AF44">
            <v>1243459.3799999999</v>
          </cell>
          <cell r="AZ44">
            <v>1523420</v>
          </cell>
          <cell r="BT44">
            <v>1751242.75</v>
          </cell>
        </row>
        <row r="45">
          <cell r="B45">
            <v>589466.06000000006</v>
          </cell>
          <cell r="F45">
            <v>613137.63</v>
          </cell>
          <cell r="L45">
            <v>657968.56000000006</v>
          </cell>
          <cell r="T45">
            <v>710682.25</v>
          </cell>
          <cell r="AF45">
            <v>772980.69</v>
          </cell>
          <cell r="AZ45">
            <v>866042.56</v>
          </cell>
          <cell r="BT45">
            <v>913537.38</v>
          </cell>
        </row>
        <row r="46">
          <cell r="B46">
            <v>51659476</v>
          </cell>
          <cell r="F46">
            <v>54015656</v>
          </cell>
          <cell r="L46">
            <v>58166896</v>
          </cell>
          <cell r="T46">
            <v>62977584</v>
          </cell>
          <cell r="AF46">
            <v>64700776</v>
          </cell>
          <cell r="AZ46">
            <v>71007816</v>
          </cell>
          <cell r="BT46">
            <v>70623792</v>
          </cell>
        </row>
        <row r="81">
          <cell r="B81">
            <v>1235655.75</v>
          </cell>
          <cell r="F81">
            <v>1287487</v>
          </cell>
          <cell r="L81">
            <v>1362694.75</v>
          </cell>
          <cell r="T81">
            <v>1449304.75</v>
          </cell>
          <cell r="AF81">
            <v>1539328.5</v>
          </cell>
          <cell r="AZ81">
            <v>1629157</v>
          </cell>
          <cell r="BT81">
            <v>1653697.38</v>
          </cell>
        </row>
        <row r="82">
          <cell r="B82">
            <v>1016967</v>
          </cell>
          <cell r="F82">
            <v>1090713.25</v>
          </cell>
          <cell r="L82">
            <v>1149795.25</v>
          </cell>
          <cell r="T82">
            <v>1195259.25</v>
          </cell>
          <cell r="AF82">
            <v>1250043.5</v>
          </cell>
          <cell r="AZ82">
            <v>1328922</v>
          </cell>
          <cell r="BT82">
            <v>1382506.25</v>
          </cell>
        </row>
        <row r="83">
          <cell r="B83">
            <v>1202378.6299999999</v>
          </cell>
          <cell r="F83">
            <v>1239215.5</v>
          </cell>
          <cell r="L83">
            <v>1300285.5</v>
          </cell>
          <cell r="T83">
            <v>1373785</v>
          </cell>
          <cell r="AF83">
            <v>1460412.5</v>
          </cell>
          <cell r="AZ83">
            <v>1568099.5</v>
          </cell>
          <cell r="BT83">
            <v>1637182.88</v>
          </cell>
        </row>
        <row r="84">
          <cell r="B84">
            <v>1169330.1299999999</v>
          </cell>
          <cell r="F84">
            <v>1181534.6299999999</v>
          </cell>
          <cell r="L84">
            <v>1208223.25</v>
          </cell>
          <cell r="T84">
            <v>1254873.5</v>
          </cell>
          <cell r="AF84">
            <v>1334478.8799999999</v>
          </cell>
          <cell r="AZ84">
            <v>1460275.38</v>
          </cell>
          <cell r="BT84">
            <v>1553663</v>
          </cell>
        </row>
        <row r="85">
          <cell r="B85">
            <v>666817.06000000006</v>
          </cell>
          <cell r="F85">
            <v>722470.88</v>
          </cell>
          <cell r="L85">
            <v>796167.5</v>
          </cell>
          <cell r="T85">
            <v>881900.69</v>
          </cell>
          <cell r="AF85">
            <v>995495</v>
          </cell>
          <cell r="AZ85">
            <v>1156909.8799999999</v>
          </cell>
          <cell r="BT85">
            <v>1281921.25</v>
          </cell>
        </row>
        <row r="86">
          <cell r="B86">
            <v>217962.97</v>
          </cell>
          <cell r="F86">
            <v>270157.28000000003</v>
          </cell>
          <cell r="L86">
            <v>345999.5</v>
          </cell>
          <cell r="T86">
            <v>440749.78</v>
          </cell>
          <cell r="AF86">
            <v>574965.06000000006</v>
          </cell>
          <cell r="AZ86">
            <v>773989.31</v>
          </cell>
          <cell r="BT86">
            <v>952686.94</v>
          </cell>
        </row>
        <row r="103">
          <cell r="B103">
            <v>1192173</v>
          </cell>
          <cell r="F103">
            <v>1235804.5</v>
          </cell>
          <cell r="L103">
            <v>1299149.3799999999</v>
          </cell>
          <cell r="T103">
            <v>1381075.38</v>
          </cell>
          <cell r="AF103">
            <v>1509201.25</v>
          </cell>
          <cell r="AZ103">
            <v>1725010.75</v>
          </cell>
          <cell r="BT103">
            <v>1929555.38</v>
          </cell>
        </row>
        <row r="104">
          <cell r="B104">
            <v>2847837</v>
          </cell>
          <cell r="F104">
            <v>3003417.25</v>
          </cell>
          <cell r="L104">
            <v>3203802.25</v>
          </cell>
          <cell r="T104">
            <v>3432609.75</v>
          </cell>
          <cell r="AF104">
            <v>3706933.75</v>
          </cell>
          <cell r="AZ104">
            <v>4042995</v>
          </cell>
          <cell r="BT104">
            <v>4221335</v>
          </cell>
        </row>
        <row r="105">
          <cell r="B105">
            <v>1469099.88</v>
          </cell>
          <cell r="F105">
            <v>1552352.88</v>
          </cell>
          <cell r="L105">
            <v>1660216.25</v>
          </cell>
          <cell r="T105">
            <v>1782187.25</v>
          </cell>
          <cell r="AF105">
            <v>1938591.88</v>
          </cell>
          <cell r="AZ105">
            <v>2149350.75</v>
          </cell>
          <cell r="BT105">
            <v>2310767.25</v>
          </cell>
        </row>
        <row r="106">
          <cell r="B106">
            <v>2923941.5</v>
          </cell>
          <cell r="F106">
            <v>3063293.25</v>
          </cell>
          <cell r="L106">
            <v>3225541</v>
          </cell>
          <cell r="T106">
            <v>3388204.5</v>
          </cell>
          <cell r="AF106">
            <v>3572346</v>
          </cell>
          <cell r="AZ106">
            <v>3802521</v>
          </cell>
          <cell r="BT106">
            <v>3953088.75</v>
          </cell>
        </row>
        <row r="107">
          <cell r="B107">
            <v>2585170.5</v>
          </cell>
          <cell r="F107">
            <v>2728285</v>
          </cell>
          <cell r="L107">
            <v>2937626.25</v>
          </cell>
          <cell r="T107">
            <v>3207662.25</v>
          </cell>
          <cell r="AF107">
            <v>3582379.75</v>
          </cell>
          <cell r="AZ107">
            <v>4114829.75</v>
          </cell>
          <cell r="BT107">
            <v>4508570</v>
          </cell>
        </row>
      </sheetData>
      <sheetData sheetId="3">
        <row r="2">
          <cell r="B2">
            <v>5509111.5</v>
          </cell>
          <cell r="C2">
            <v>5583911.5</v>
          </cell>
          <cell r="D2">
            <v>5655235</v>
          </cell>
          <cell r="E2">
            <v>5724362.5</v>
          </cell>
          <cell r="F2">
            <v>5791579.5</v>
          </cell>
          <cell r="G2">
            <v>5857071</v>
          </cell>
          <cell r="H2">
            <v>5921020</v>
          </cell>
          <cell r="I2">
            <v>5983546.5</v>
          </cell>
          <cell r="J2">
            <v>6044722</v>
          </cell>
          <cell r="K2">
            <v>6104571.5</v>
          </cell>
          <cell r="L2">
            <v>6163170</v>
          </cell>
          <cell r="M2">
            <v>6220590</v>
          </cell>
          <cell r="N2">
            <v>6276925.5</v>
          </cell>
          <cell r="O2">
            <v>6332238.5</v>
          </cell>
          <cell r="P2">
            <v>6386671</v>
          </cell>
          <cell r="Q2">
            <v>6440211.5</v>
          </cell>
          <cell r="R2">
            <v>6492903.5</v>
          </cell>
          <cell r="S2">
            <v>6544765.5</v>
          </cell>
          <cell r="T2">
            <v>6595861.5</v>
          </cell>
          <cell r="U2">
            <v>6646241</v>
          </cell>
          <cell r="V2">
            <v>6695936</v>
          </cell>
          <cell r="W2">
            <v>6745335.5</v>
          </cell>
          <cell r="X2">
            <v>6794196.5</v>
          </cell>
          <cell r="Y2">
            <v>6842526</v>
          </cell>
          <cell r="Z2">
            <v>6890160.5</v>
          </cell>
          <cell r="AA2">
            <v>6937156</v>
          </cell>
          <cell r="AB2">
            <v>6983416</v>
          </cell>
          <cell r="AC2">
            <v>7029218.5</v>
          </cell>
          <cell r="AD2">
            <v>7074484</v>
          </cell>
          <cell r="AE2">
            <v>7119040</v>
          </cell>
          <cell r="AF2">
            <v>7162869</v>
          </cell>
          <cell r="AG2">
            <v>7205873</v>
          </cell>
          <cell r="AH2">
            <v>7248228</v>
          </cell>
          <cell r="AI2">
            <v>7290011.5</v>
          </cell>
          <cell r="AJ2">
            <v>7331203.5</v>
          </cell>
          <cell r="AK2">
            <v>7371834.5</v>
          </cell>
          <cell r="AL2">
            <v>7411872</v>
          </cell>
          <cell r="AM2">
            <v>7451355.5</v>
          </cell>
          <cell r="AN2">
            <v>7490286</v>
          </cell>
          <cell r="AO2">
            <v>7528695.5</v>
          </cell>
          <cell r="AP2">
            <v>7566546</v>
          </cell>
          <cell r="AQ2">
            <v>7603898</v>
          </cell>
          <cell r="AR2">
            <v>7640377.5</v>
          </cell>
          <cell r="AS2">
            <v>7676245.5</v>
          </cell>
          <cell r="AT2">
            <v>7711351</v>
          </cell>
          <cell r="AU2">
            <v>7745921.5</v>
          </cell>
          <cell r="AV2">
            <v>7779855</v>
          </cell>
          <cell r="AW2">
            <v>7812956.5</v>
          </cell>
          <cell r="AX2">
            <v>7845455</v>
          </cell>
          <cell r="AY2">
            <v>7877276.5</v>
          </cell>
          <cell r="AZ2">
            <v>7908509</v>
          </cell>
          <cell r="BA2">
            <v>7939060.5</v>
          </cell>
          <cell r="BB2">
            <v>7968916.5</v>
          </cell>
          <cell r="BC2">
            <v>7997665</v>
          </cell>
          <cell r="BD2">
            <v>8025633.5</v>
          </cell>
          <cell r="BE2">
            <v>8052848</v>
          </cell>
          <cell r="BF2">
            <v>8079386</v>
          </cell>
          <cell r="BG2">
            <v>8105238.5</v>
          </cell>
          <cell r="BH2">
            <v>8130377.5</v>
          </cell>
          <cell r="BI2">
            <v>8154758</v>
          </cell>
          <cell r="BJ2">
            <v>8178442</v>
          </cell>
          <cell r="BK2">
            <v>8201371</v>
          </cell>
          <cell r="BL2">
            <v>8223616</v>
          </cell>
          <cell r="BM2">
            <v>8245129.5</v>
          </cell>
          <cell r="BN2">
            <v>8265927</v>
          </cell>
          <cell r="BO2">
            <v>8285968</v>
          </cell>
          <cell r="BP2">
            <v>8305033.5</v>
          </cell>
          <cell r="BQ2">
            <v>8323412.5</v>
          </cell>
          <cell r="BR2">
            <v>8340692.5</v>
          </cell>
          <cell r="BS2">
            <v>8357146</v>
          </cell>
          <cell r="BT2">
            <v>8372838.5</v>
          </cell>
          <cell r="BU2">
            <v>8388155</v>
          </cell>
          <cell r="BV2">
            <v>8403028</v>
          </cell>
          <cell r="BW2">
            <v>8417604</v>
          </cell>
          <cell r="BX2">
            <v>8431827</v>
          </cell>
          <cell r="BY2">
            <v>8445695</v>
          </cell>
          <cell r="BZ2">
            <v>8459264</v>
          </cell>
          <cell r="CA2">
            <v>8472524</v>
          </cell>
          <cell r="CB2">
            <v>8485511</v>
          </cell>
          <cell r="CC2">
            <v>8498202</v>
          </cell>
          <cell r="CD2">
            <v>8510650</v>
          </cell>
          <cell r="CE2">
            <v>8522810</v>
          </cell>
          <cell r="CF2">
            <v>8534724</v>
          </cell>
          <cell r="CG2">
            <v>8546381</v>
          </cell>
          <cell r="CH2">
            <v>8557540</v>
          </cell>
          <cell r="CI2">
            <v>8568456</v>
          </cell>
          <cell r="CJ2">
            <v>8579096</v>
          </cell>
          <cell r="CK2">
            <v>8589168</v>
          </cell>
          <cell r="CL2">
            <v>8598972</v>
          </cell>
          <cell r="CM2">
            <v>8608518</v>
          </cell>
          <cell r="CN2">
            <v>8617855</v>
          </cell>
          <cell r="CO2">
            <v>8627057</v>
          </cell>
          <cell r="CP2">
            <v>8636138</v>
          </cell>
          <cell r="CQ2">
            <v>8645001</v>
          </cell>
          <cell r="CR2">
            <v>8653908</v>
          </cell>
          <cell r="CS2">
            <v>8662694</v>
          </cell>
          <cell r="CT2">
            <v>8671270</v>
          </cell>
          <cell r="CU2">
            <v>8679635</v>
          </cell>
          <cell r="CV2">
            <v>8687588</v>
          </cell>
          <cell r="CW2">
            <v>8695051</v>
          </cell>
          <cell r="CX2">
            <v>8702325</v>
          </cell>
        </row>
        <row r="33">
          <cell r="B33">
            <v>6854209</v>
          </cell>
          <cell r="C33">
            <v>6854209</v>
          </cell>
          <cell r="D33">
            <v>6931591</v>
          </cell>
          <cell r="E33">
            <v>7005465</v>
          </cell>
          <cell r="F33">
            <v>7076207.5</v>
          </cell>
          <cell r="G33">
            <v>7144149</v>
          </cell>
          <cell r="H33">
            <v>7209513.5</v>
          </cell>
          <cell r="I33">
            <v>7272509</v>
          </cell>
          <cell r="J33">
            <v>7333277.5</v>
          </cell>
          <cell r="K33">
            <v>7391936</v>
          </cell>
          <cell r="L33">
            <v>7448595.5</v>
          </cell>
          <cell r="M33">
            <v>7495630.5</v>
          </cell>
          <cell r="N33">
            <v>7540894</v>
          </cell>
          <cell r="O33">
            <v>7584541</v>
          </cell>
          <cell r="P33">
            <v>7626786</v>
          </cell>
          <cell r="Q33">
            <v>7667657.5</v>
          </cell>
          <cell r="R33">
            <v>7707241</v>
          </cell>
          <cell r="S33">
            <v>7745624.5</v>
          </cell>
          <cell r="T33">
            <v>7782911</v>
          </cell>
          <cell r="U33">
            <v>7819180.5</v>
          </cell>
          <cell r="V33">
            <v>7854497.5</v>
          </cell>
          <cell r="W33">
            <v>7907156</v>
          </cell>
          <cell r="X33">
            <v>7960533.5</v>
          </cell>
          <cell r="Y33">
            <v>8014648</v>
          </cell>
          <cell r="Z33">
            <v>8069331</v>
          </cell>
          <cell r="AA33">
            <v>8124598.5</v>
          </cell>
          <cell r="AB33">
            <v>8180386</v>
          </cell>
          <cell r="AC33">
            <v>8236987.5</v>
          </cell>
          <cell r="AD33">
            <v>8294354.5</v>
          </cell>
          <cell r="AE33">
            <v>8352248.5</v>
          </cell>
          <cell r="AF33">
            <v>8410662</v>
          </cell>
          <cell r="AG33">
            <v>8382581.5</v>
          </cell>
          <cell r="AH33">
            <v>8353665.5</v>
          </cell>
          <cell r="AI33">
            <v>8323967</v>
          </cell>
          <cell r="AJ33">
            <v>8293533.5</v>
          </cell>
          <cell r="AK33">
            <v>8262368.5</v>
          </cell>
          <cell r="AL33">
            <v>8230432.5</v>
          </cell>
          <cell r="AM33">
            <v>8197780.5</v>
          </cell>
          <cell r="AN33">
            <v>8164401.5</v>
          </cell>
          <cell r="AO33">
            <v>8130341</v>
          </cell>
          <cell r="AP33">
            <v>8095590</v>
          </cell>
          <cell r="AQ33">
            <v>8087554</v>
          </cell>
          <cell r="AR33">
            <v>8079023</v>
          </cell>
          <cell r="AS33">
            <v>8070223</v>
          </cell>
          <cell r="AT33">
            <v>8061046</v>
          </cell>
          <cell r="AU33">
            <v>8051635.5</v>
          </cell>
          <cell r="AV33">
            <v>8041945.5</v>
          </cell>
          <cell r="AW33">
            <v>8031691.5</v>
          </cell>
          <cell r="AX33">
            <v>8021148.5</v>
          </cell>
          <cell r="AY33">
            <v>8010262.5</v>
          </cell>
          <cell r="AZ33">
            <v>7999028.5</v>
          </cell>
          <cell r="BA33">
            <v>7987394</v>
          </cell>
          <cell r="BB33">
            <v>7975348.5</v>
          </cell>
          <cell r="BC33">
            <v>7962421.5</v>
          </cell>
          <cell r="BD33">
            <v>7948948.5</v>
          </cell>
          <cell r="BE33">
            <v>7934972</v>
          </cell>
          <cell r="BF33">
            <v>7920519</v>
          </cell>
          <cell r="BG33">
            <v>7905596.5</v>
          </cell>
          <cell r="BH33">
            <v>7890186</v>
          </cell>
          <cell r="BI33">
            <v>7874212.5</v>
          </cell>
          <cell r="BJ33">
            <v>7857700</v>
          </cell>
          <cell r="BK33">
            <v>7840633</v>
          </cell>
          <cell r="BL33">
            <v>7823041.5</v>
          </cell>
          <cell r="BM33">
            <v>7804875.5</v>
          </cell>
          <cell r="BN33">
            <v>7786128.5</v>
          </cell>
          <cell r="BO33">
            <v>7766789.5</v>
          </cell>
          <cell r="BP33">
            <v>7746607.5</v>
          </cell>
          <cell r="BQ33">
            <v>7725853.5</v>
          </cell>
          <cell r="BR33">
            <v>7704157.5</v>
          </cell>
          <cell r="BS33">
            <v>7681746.5</v>
          </cell>
          <cell r="BT33">
            <v>7658685.5</v>
          </cell>
          <cell r="BU33">
            <v>7685912.5</v>
          </cell>
          <cell r="BV33">
            <v>7712536</v>
          </cell>
          <cell r="BW33">
            <v>7738712.5</v>
          </cell>
          <cell r="BX33">
            <v>7764380.5</v>
          </cell>
          <cell r="BY33">
            <v>7789562.5</v>
          </cell>
          <cell r="BZ33">
            <v>7814333</v>
          </cell>
          <cell r="CA33">
            <v>7838677.5</v>
          </cell>
          <cell r="CB33">
            <v>7862641.5</v>
          </cell>
          <cell r="CC33">
            <v>7886213.5</v>
          </cell>
          <cell r="CD33">
            <v>7909398.5</v>
          </cell>
          <cell r="CE33">
            <v>7932261</v>
          </cell>
          <cell r="CF33">
            <v>7954779</v>
          </cell>
          <cell r="CG33">
            <v>7976938.5</v>
          </cell>
          <cell r="CH33">
            <v>7998511.5</v>
          </cell>
          <cell r="CI33">
            <v>8019720</v>
          </cell>
          <cell r="CJ33">
            <v>8040527.5</v>
          </cell>
          <cell r="CK33">
            <v>8060658.5</v>
          </cell>
          <cell r="CL33">
            <v>8080398</v>
          </cell>
          <cell r="CM33">
            <v>8099730</v>
          </cell>
          <cell r="CN33">
            <v>8118721</v>
          </cell>
          <cell r="CO33">
            <v>8083199</v>
          </cell>
          <cell r="CP33">
            <v>8047163.5</v>
          </cell>
          <cell r="CQ33">
            <v>8010588.5</v>
          </cell>
          <cell r="CR33">
            <v>7973693</v>
          </cell>
          <cell r="CS33">
            <v>7936335.5</v>
          </cell>
          <cell r="CT33">
            <v>7898474.5</v>
          </cell>
          <cell r="CU33">
            <v>7860071</v>
          </cell>
          <cell r="CV33">
            <v>7821020.5</v>
          </cell>
          <cell r="CW33">
            <v>7781166.5</v>
          </cell>
          <cell r="CX33">
            <v>7740897.5</v>
          </cell>
        </row>
        <row r="34">
          <cell r="B34">
            <v>12108041</v>
          </cell>
          <cell r="C34">
            <v>12108041</v>
          </cell>
          <cell r="D34">
            <v>12267396</v>
          </cell>
          <cell r="E34">
            <v>12422647</v>
          </cell>
          <cell r="F34">
            <v>12574511</v>
          </cell>
          <cell r="G34">
            <v>12723477</v>
          </cell>
          <cell r="H34">
            <v>12869816</v>
          </cell>
          <cell r="I34">
            <v>13013775</v>
          </cell>
          <cell r="J34">
            <v>13155474</v>
          </cell>
          <cell r="K34">
            <v>13295027</v>
          </cell>
          <cell r="L34">
            <v>13432439</v>
          </cell>
          <cell r="M34">
            <v>13567866</v>
          </cell>
          <cell r="N34">
            <v>13701464</v>
          </cell>
          <cell r="O34">
            <v>13833366</v>
          </cell>
          <cell r="P34">
            <v>13963743</v>
          </cell>
          <cell r="Q34">
            <v>14092586</v>
          </cell>
          <cell r="R34">
            <v>14219937</v>
          </cell>
          <cell r="S34">
            <v>14345802</v>
          </cell>
          <cell r="T34">
            <v>14470249</v>
          </cell>
          <cell r="U34">
            <v>14593389</v>
          </cell>
          <cell r="V34">
            <v>14715238</v>
          </cell>
          <cell r="W34">
            <v>14909995</v>
          </cell>
          <cell r="X34">
            <v>15104091</v>
          </cell>
          <cell r="Y34">
            <v>15297504</v>
          </cell>
          <cell r="Z34">
            <v>15489888</v>
          </cell>
          <cell r="AA34">
            <v>15681331</v>
          </cell>
          <cell r="AB34">
            <v>15871571</v>
          </cell>
          <cell r="AC34">
            <v>16061220</v>
          </cell>
          <cell r="AD34">
            <v>16250035</v>
          </cell>
          <cell r="AE34">
            <v>16437672</v>
          </cell>
          <cell r="AF34">
            <v>16623991</v>
          </cell>
          <cell r="AG34">
            <v>16809018</v>
          </cell>
          <cell r="AH34">
            <v>16993328</v>
          </cell>
          <cell r="AI34">
            <v>17176930</v>
          </cell>
          <cell r="AJ34">
            <v>17359844</v>
          </cell>
          <cell r="AK34">
            <v>17542108</v>
          </cell>
          <cell r="AL34">
            <v>17723594</v>
          </cell>
          <cell r="AM34">
            <v>17904384</v>
          </cell>
          <cell r="AN34">
            <v>18084434</v>
          </cell>
          <cell r="AO34">
            <v>18263840</v>
          </cell>
          <cell r="AP34">
            <v>18442492</v>
          </cell>
          <cell r="AQ34">
            <v>18620206</v>
          </cell>
          <cell r="AR34">
            <v>18796062</v>
          </cell>
          <cell r="AS34">
            <v>18970684</v>
          </cell>
          <cell r="AT34">
            <v>19143842</v>
          </cell>
          <cell r="AU34">
            <v>19315772</v>
          </cell>
          <cell r="AV34">
            <v>19486456</v>
          </cell>
          <cell r="AW34">
            <v>19655186</v>
          </cell>
          <cell r="AX34">
            <v>19822584</v>
          </cell>
          <cell r="AY34">
            <v>19988564</v>
          </cell>
          <cell r="AZ34">
            <v>20153306</v>
          </cell>
          <cell r="BA34">
            <v>20316294</v>
          </cell>
          <cell r="BB34">
            <v>20477808</v>
          </cell>
          <cell r="BC34">
            <v>20636546</v>
          </cell>
          <cell r="BD34">
            <v>20793474</v>
          </cell>
          <cell r="BE34">
            <v>20948516</v>
          </cell>
          <cell r="BF34">
            <v>21101880</v>
          </cell>
          <cell r="BG34">
            <v>21253510</v>
          </cell>
          <cell r="BH34">
            <v>21403326</v>
          </cell>
          <cell r="BI34">
            <v>21551258</v>
          </cell>
          <cell r="BJ34">
            <v>21697288</v>
          </cell>
          <cell r="BK34">
            <v>21841468</v>
          </cell>
          <cell r="BL34">
            <v>21983648</v>
          </cell>
          <cell r="BM34">
            <v>22123956</v>
          </cell>
          <cell r="BN34">
            <v>22262328</v>
          </cell>
          <cell r="BO34">
            <v>22398606</v>
          </cell>
          <cell r="BP34">
            <v>22532242</v>
          </cell>
          <cell r="BQ34">
            <v>22663862</v>
          </cell>
          <cell r="BR34">
            <v>22792386</v>
          </cell>
          <cell r="BS34">
            <v>22918502</v>
          </cell>
          <cell r="BT34">
            <v>23042494</v>
          </cell>
          <cell r="BU34">
            <v>23073728</v>
          </cell>
          <cell r="BV34">
            <v>23103976</v>
          </cell>
          <cell r="BW34">
            <v>23133662</v>
          </cell>
          <cell r="BX34">
            <v>23162600</v>
          </cell>
          <cell r="BY34">
            <v>23190788</v>
          </cell>
          <cell r="BZ34">
            <v>23218262</v>
          </cell>
          <cell r="CA34">
            <v>23245134</v>
          </cell>
          <cell r="CB34">
            <v>23271368</v>
          </cell>
          <cell r="CC34">
            <v>23296956</v>
          </cell>
          <cell r="CD34">
            <v>23321862</v>
          </cell>
          <cell r="CE34">
            <v>23346104</v>
          </cell>
          <cell r="CF34">
            <v>23369808</v>
          </cell>
          <cell r="CG34">
            <v>23392870</v>
          </cell>
          <cell r="CH34">
            <v>23414670</v>
          </cell>
          <cell r="CI34">
            <v>23435926</v>
          </cell>
          <cell r="CJ34">
            <v>23456452</v>
          </cell>
          <cell r="CK34">
            <v>23475608</v>
          </cell>
          <cell r="CL34">
            <v>23494072</v>
          </cell>
          <cell r="CM34">
            <v>23511952</v>
          </cell>
          <cell r="CN34">
            <v>23529458</v>
          </cell>
          <cell r="CO34">
            <v>23546666</v>
          </cell>
          <cell r="CP34">
            <v>23563718</v>
          </cell>
          <cell r="CQ34">
            <v>23580234</v>
          </cell>
          <cell r="CR34">
            <v>23596874</v>
          </cell>
          <cell r="CS34">
            <v>23613248</v>
          </cell>
          <cell r="CT34">
            <v>23629264</v>
          </cell>
          <cell r="CU34">
            <v>23644638</v>
          </cell>
          <cell r="CV34">
            <v>23658990</v>
          </cell>
          <cell r="CW34">
            <v>23671974</v>
          </cell>
          <cell r="CX34">
            <v>23684516</v>
          </cell>
        </row>
        <row r="35">
          <cell r="B35">
            <v>5173887.5</v>
          </cell>
          <cell r="F35">
            <v>5347543.5</v>
          </cell>
          <cell r="L35">
            <v>5637741.5</v>
          </cell>
          <cell r="T35">
            <v>5896609</v>
          </cell>
          <cell r="AF35">
            <v>6370576</v>
          </cell>
          <cell r="AZ35">
            <v>6047065.5</v>
          </cell>
          <cell r="BT35">
            <v>5786286.5</v>
          </cell>
        </row>
        <row r="36">
          <cell r="B36">
            <v>1189440.3799999999</v>
          </cell>
          <cell r="F36">
            <v>1214569.25</v>
          </cell>
          <cell r="L36">
            <v>1256930.8799999999</v>
          </cell>
          <cell r="T36">
            <v>1293187.6299999999</v>
          </cell>
          <cell r="AF36">
            <v>1380498.5</v>
          </cell>
          <cell r="AZ36">
            <v>1297359.25</v>
          </cell>
          <cell r="BT36">
            <v>1220383.8799999999</v>
          </cell>
        </row>
        <row r="37">
          <cell r="B37">
            <v>169515.48</v>
          </cell>
          <cell r="F37">
            <v>177607.47</v>
          </cell>
          <cell r="L37">
            <v>191722.67</v>
          </cell>
          <cell r="T37">
            <v>206115.38</v>
          </cell>
          <cell r="AF37">
            <v>230675.34</v>
          </cell>
          <cell r="AZ37">
            <v>230597.36</v>
          </cell>
          <cell r="BT37">
            <v>230438.66</v>
          </cell>
        </row>
        <row r="38">
          <cell r="B38">
            <v>321373.21999999997</v>
          </cell>
          <cell r="F38">
            <v>336493.28</v>
          </cell>
          <cell r="L38">
            <v>362200.13</v>
          </cell>
          <cell r="T38">
            <v>387006.19</v>
          </cell>
          <cell r="AF38">
            <v>428908.5</v>
          </cell>
          <cell r="AZ38">
            <v>424026.44</v>
          </cell>
          <cell r="BT38">
            <v>421582.47</v>
          </cell>
        </row>
        <row r="39">
          <cell r="B39">
            <v>109528992</v>
          </cell>
          <cell r="F39">
            <v>112923416</v>
          </cell>
          <cell r="L39">
            <v>118592240</v>
          </cell>
          <cell r="T39">
            <v>123566552</v>
          </cell>
          <cell r="AF39">
            <v>133056832</v>
          </cell>
          <cell r="AZ39">
            <v>132411288</v>
          </cell>
          <cell r="BT39">
            <v>132731768</v>
          </cell>
        </row>
        <row r="42">
          <cell r="B42">
            <v>4408959.5</v>
          </cell>
          <cell r="F42">
            <v>4618690</v>
          </cell>
          <cell r="L42">
            <v>4998210.5</v>
          </cell>
          <cell r="T42">
            <v>5452492</v>
          </cell>
          <cell r="AF42">
            <v>6358911</v>
          </cell>
          <cell r="AZ42">
            <v>7913444.5</v>
          </cell>
          <cell r="BT42">
            <v>9318495</v>
          </cell>
        </row>
        <row r="43">
          <cell r="B43">
            <v>6195695</v>
          </cell>
          <cell r="F43">
            <v>6396266.5</v>
          </cell>
          <cell r="L43">
            <v>6763286.5</v>
          </cell>
          <cell r="T43">
            <v>7204250.5</v>
          </cell>
          <cell r="AF43">
            <v>8155587.5</v>
          </cell>
          <cell r="AZ43">
            <v>9628938</v>
          </cell>
          <cell r="BT43">
            <v>10694413</v>
          </cell>
        </row>
        <row r="44">
          <cell r="B44">
            <v>913909.94</v>
          </cell>
          <cell r="F44">
            <v>946450.31</v>
          </cell>
          <cell r="L44">
            <v>1012945.44</v>
          </cell>
          <cell r="T44">
            <v>1102847.75</v>
          </cell>
          <cell r="AF44">
            <v>1298576.75</v>
          </cell>
          <cell r="AZ44">
            <v>1660950.88</v>
          </cell>
          <cell r="BT44">
            <v>1995631.38</v>
          </cell>
        </row>
        <row r="45">
          <cell r="B45">
            <v>589466.06000000006</v>
          </cell>
          <cell r="F45">
            <v>613137.63</v>
          </cell>
          <cell r="L45">
            <v>657968.56000000006</v>
          </cell>
          <cell r="T45">
            <v>710682.25</v>
          </cell>
          <cell r="AF45">
            <v>810878.63</v>
          </cell>
          <cell r="AZ45">
            <v>949913.25</v>
          </cell>
          <cell r="BT45">
            <v>1033970.38</v>
          </cell>
        </row>
        <row r="46">
          <cell r="B46">
            <v>51659476</v>
          </cell>
          <cell r="F46">
            <v>54015656</v>
          </cell>
          <cell r="L46">
            <v>58166896</v>
          </cell>
          <cell r="T46">
            <v>62977584</v>
          </cell>
          <cell r="AF46">
            <v>72787464</v>
          </cell>
          <cell r="AZ46">
            <v>94389064</v>
          </cell>
          <cell r="BT46">
            <v>116271080</v>
          </cell>
        </row>
        <row r="81">
          <cell r="B81">
            <v>1235655.75</v>
          </cell>
          <cell r="F81">
            <v>1287487</v>
          </cell>
          <cell r="L81">
            <v>1362694.75</v>
          </cell>
          <cell r="T81">
            <v>1449304.75</v>
          </cell>
          <cell r="AF81">
            <v>1541224.25</v>
          </cell>
          <cell r="AZ81">
            <v>1580956.75</v>
          </cell>
          <cell r="BT81">
            <v>1508550.25</v>
          </cell>
        </row>
        <row r="82">
          <cell r="B82">
            <v>1016967</v>
          </cell>
          <cell r="F82">
            <v>1090713.25</v>
          </cell>
          <cell r="L82">
            <v>1149795.25</v>
          </cell>
          <cell r="T82">
            <v>1195259.25</v>
          </cell>
          <cell r="AF82">
            <v>1251236.1299999999</v>
          </cell>
          <cell r="AZ82">
            <v>1326576</v>
          </cell>
          <cell r="BT82">
            <v>1346323.38</v>
          </cell>
        </row>
        <row r="83">
          <cell r="B83">
            <v>1202378.6299999999</v>
          </cell>
          <cell r="F83">
            <v>1239215.5</v>
          </cell>
          <cell r="L83">
            <v>1300285.5</v>
          </cell>
          <cell r="T83">
            <v>1373785</v>
          </cell>
          <cell r="AF83">
            <v>1462607</v>
          </cell>
          <cell r="AZ83">
            <v>1569654.75</v>
          </cell>
          <cell r="BT83">
            <v>1626539.38</v>
          </cell>
        </row>
        <row r="84">
          <cell r="B84">
            <v>1169330.1299999999</v>
          </cell>
          <cell r="F84">
            <v>1181534.6299999999</v>
          </cell>
          <cell r="L84">
            <v>1208223.25</v>
          </cell>
          <cell r="T84">
            <v>1254873.5</v>
          </cell>
          <cell r="AF84">
            <v>1336563</v>
          </cell>
          <cell r="AZ84">
            <v>1466991.5</v>
          </cell>
          <cell r="BT84">
            <v>1561468.88</v>
          </cell>
        </row>
        <row r="85">
          <cell r="B85">
            <v>666817.06000000006</v>
          </cell>
          <cell r="F85">
            <v>722470.88</v>
          </cell>
          <cell r="L85">
            <v>796167.5</v>
          </cell>
          <cell r="T85">
            <v>881900.69</v>
          </cell>
          <cell r="AF85">
            <v>996686.81</v>
          </cell>
          <cell r="AZ85">
            <v>1165912.1299999999</v>
          </cell>
          <cell r="BT85">
            <v>1301871.3799999999</v>
          </cell>
        </row>
        <row r="86">
          <cell r="B86">
            <v>217962.97</v>
          </cell>
          <cell r="F86">
            <v>270157.28000000003</v>
          </cell>
          <cell r="L86">
            <v>345999.5</v>
          </cell>
          <cell r="T86">
            <v>440749.78</v>
          </cell>
          <cell r="AF86">
            <v>574559.56000000006</v>
          </cell>
          <cell r="AZ86">
            <v>798422.06</v>
          </cell>
          <cell r="BT86">
            <v>1028094.38</v>
          </cell>
        </row>
        <row r="103">
          <cell r="B103">
            <v>1192173</v>
          </cell>
          <cell r="F103">
            <v>1235804.5</v>
          </cell>
          <cell r="L103">
            <v>1299149.3799999999</v>
          </cell>
          <cell r="T103">
            <v>1381075.38</v>
          </cell>
          <cell r="AF103">
            <v>1498408.63</v>
          </cell>
          <cell r="AZ103">
            <v>1649235.13</v>
          </cell>
          <cell r="BT103">
            <v>1715634.13</v>
          </cell>
        </row>
        <row r="104">
          <cell r="B104">
            <v>2847837</v>
          </cell>
          <cell r="F104">
            <v>3003417.25</v>
          </cell>
          <cell r="L104">
            <v>3203802.25</v>
          </cell>
          <cell r="T104">
            <v>3432609.75</v>
          </cell>
          <cell r="AF104">
            <v>3708865</v>
          </cell>
          <cell r="AZ104">
            <v>3999428.25</v>
          </cell>
          <cell r="BT104">
            <v>4102017.75</v>
          </cell>
        </row>
        <row r="105">
          <cell r="B105">
            <v>1469099.88</v>
          </cell>
          <cell r="F105">
            <v>1552352.88</v>
          </cell>
          <cell r="L105">
            <v>1660216.25</v>
          </cell>
          <cell r="T105">
            <v>1782187.25</v>
          </cell>
          <cell r="AF105">
            <v>1955601.13</v>
          </cell>
          <cell r="AZ105">
            <v>2259849.5</v>
          </cell>
          <cell r="BT105">
            <v>2555195.5</v>
          </cell>
        </row>
        <row r="106">
          <cell r="B106">
            <v>2923941.5</v>
          </cell>
          <cell r="F106">
            <v>3063293.25</v>
          </cell>
          <cell r="L106">
            <v>3225541</v>
          </cell>
          <cell r="T106">
            <v>3388204.5</v>
          </cell>
          <cell r="AF106">
            <v>3603372.5</v>
          </cell>
          <cell r="AZ106">
            <v>3965732.75</v>
          </cell>
          <cell r="BT106">
            <v>4309654</v>
          </cell>
        </row>
        <row r="107">
          <cell r="B107">
            <v>2585170.5</v>
          </cell>
          <cell r="F107">
            <v>2728285</v>
          </cell>
          <cell r="L107">
            <v>2937626.25</v>
          </cell>
          <cell r="T107">
            <v>3207662.25</v>
          </cell>
          <cell r="AF107">
            <v>3559497.25</v>
          </cell>
          <cell r="AZ107">
            <v>3942784.25</v>
          </cell>
          <cell r="BT107">
            <v>4063192.75</v>
          </cell>
        </row>
      </sheetData>
      <sheetData sheetId="4">
        <row r="2">
          <cell r="B2">
            <v>5509111.5</v>
          </cell>
          <cell r="C2">
            <v>5583911.5</v>
          </cell>
          <cell r="D2">
            <v>5655235</v>
          </cell>
          <cell r="E2">
            <v>5724362.5</v>
          </cell>
          <cell r="F2">
            <v>5791579.5</v>
          </cell>
          <cell r="G2">
            <v>5857071</v>
          </cell>
          <cell r="H2">
            <v>5921020</v>
          </cell>
          <cell r="I2">
            <v>5983546.5</v>
          </cell>
          <cell r="J2">
            <v>6044722</v>
          </cell>
          <cell r="K2">
            <v>6104571.5</v>
          </cell>
          <cell r="L2">
            <v>6163170</v>
          </cell>
          <cell r="M2">
            <v>6220590</v>
          </cell>
          <cell r="N2">
            <v>6276925.5</v>
          </cell>
          <cell r="O2">
            <v>6332238.5</v>
          </cell>
          <cell r="P2">
            <v>6386671</v>
          </cell>
          <cell r="Q2">
            <v>6440211.5</v>
          </cell>
          <cell r="R2">
            <v>6492903.5</v>
          </cell>
          <cell r="S2">
            <v>6544765.5</v>
          </cell>
          <cell r="T2">
            <v>6595861.5</v>
          </cell>
          <cell r="U2">
            <v>6646241</v>
          </cell>
          <cell r="V2">
            <v>6695936</v>
          </cell>
          <cell r="W2">
            <v>6743928.5</v>
          </cell>
          <cell r="X2">
            <v>6790303.5</v>
          </cell>
          <cell r="Y2">
            <v>6835160.5</v>
          </cell>
          <cell r="Z2">
            <v>6878539.5</v>
          </cell>
          <cell r="AA2">
            <v>6920514.5</v>
          </cell>
          <cell r="AB2">
            <v>6961080.5</v>
          </cell>
          <cell r="AC2">
            <v>7000277.5</v>
          </cell>
          <cell r="AD2">
            <v>7037912</v>
          </cell>
          <cell r="AE2">
            <v>7074081.5</v>
          </cell>
          <cell r="AF2">
            <v>7108960</v>
          </cell>
          <cell r="AG2">
            <v>7142866</v>
          </cell>
          <cell r="AH2">
            <v>7175477.5</v>
          </cell>
          <cell r="AI2">
            <v>7207195.5</v>
          </cell>
          <cell r="AJ2">
            <v>7237906.5</v>
          </cell>
          <cell r="AK2">
            <v>7267597.5</v>
          </cell>
          <cell r="AL2">
            <v>7296288</v>
          </cell>
          <cell r="AM2">
            <v>7323697.5</v>
          </cell>
          <cell r="AN2">
            <v>7350045.5</v>
          </cell>
          <cell r="AO2">
            <v>7375364.5</v>
          </cell>
          <cell r="AP2">
            <v>7399780</v>
          </cell>
          <cell r="AQ2">
            <v>7422688.5</v>
          </cell>
          <cell r="AR2">
            <v>7444365</v>
          </cell>
          <cell r="AS2">
            <v>7464709</v>
          </cell>
          <cell r="AT2">
            <v>7483935.5</v>
          </cell>
          <cell r="AU2">
            <v>7501930</v>
          </cell>
          <cell r="AV2">
            <v>7518441.5</v>
          </cell>
          <cell r="AW2">
            <v>7533694</v>
          </cell>
          <cell r="AX2">
            <v>7547529</v>
          </cell>
          <cell r="AY2">
            <v>7560192</v>
          </cell>
          <cell r="AZ2">
            <v>7571390.5</v>
          </cell>
          <cell r="BA2">
            <v>7581679</v>
          </cell>
          <cell r="BB2">
            <v>7590954.5</v>
          </cell>
          <cell r="BC2">
            <v>7599359</v>
          </cell>
          <cell r="BD2">
            <v>7606509</v>
          </cell>
          <cell r="BE2">
            <v>7612729</v>
          </cell>
          <cell r="BF2">
            <v>7617904.5</v>
          </cell>
          <cell r="BG2">
            <v>7622103.5</v>
          </cell>
          <cell r="BH2">
            <v>7625238.5</v>
          </cell>
          <cell r="BI2">
            <v>7627106</v>
          </cell>
          <cell r="BJ2">
            <v>7628036.5</v>
          </cell>
          <cell r="BK2">
            <v>7628080.5</v>
          </cell>
          <cell r="BL2">
            <v>7627115.5</v>
          </cell>
          <cell r="BM2">
            <v>7625112.5</v>
          </cell>
          <cell r="BN2">
            <v>7622237.5</v>
          </cell>
          <cell r="BO2">
            <v>7618362</v>
          </cell>
          <cell r="BP2">
            <v>7613718.5</v>
          </cell>
          <cell r="BQ2">
            <v>7608109</v>
          </cell>
          <cell r="BR2">
            <v>7601161</v>
          </cell>
          <cell r="BS2">
            <v>7593302.5</v>
          </cell>
          <cell r="BT2">
            <v>7584489</v>
          </cell>
          <cell r="BU2">
            <v>7575469</v>
          </cell>
          <cell r="BV2">
            <v>7566062</v>
          </cell>
          <cell r="BW2">
            <v>7556409</v>
          </cell>
          <cell r="BX2">
            <v>7546388</v>
          </cell>
          <cell r="BY2">
            <v>7536196.5</v>
          </cell>
          <cell r="BZ2">
            <v>7525775</v>
          </cell>
          <cell r="CA2">
            <v>7515059</v>
          </cell>
          <cell r="CB2">
            <v>7504113.5</v>
          </cell>
          <cell r="CC2">
            <v>7492912</v>
          </cell>
          <cell r="CD2">
            <v>7481435</v>
          </cell>
          <cell r="CE2">
            <v>7469682</v>
          </cell>
          <cell r="CF2">
            <v>7457241</v>
          </cell>
          <cell r="CG2">
            <v>7444402.5</v>
          </cell>
          <cell r="CH2">
            <v>7431324.5</v>
          </cell>
          <cell r="CI2">
            <v>7417967.5</v>
          </cell>
          <cell r="CJ2">
            <v>7404229.5</v>
          </cell>
          <cell r="CK2">
            <v>7389981.5</v>
          </cell>
          <cell r="CL2">
            <v>7375376</v>
          </cell>
          <cell r="CM2">
            <v>7360486.5</v>
          </cell>
          <cell r="CN2">
            <v>7345416</v>
          </cell>
          <cell r="CO2">
            <v>7330138.5</v>
          </cell>
          <cell r="CP2">
            <v>7314623</v>
          </cell>
          <cell r="CQ2">
            <v>7298884</v>
          </cell>
          <cell r="CR2">
            <v>7282929.5</v>
          </cell>
          <cell r="CS2">
            <v>7266772</v>
          </cell>
          <cell r="CT2">
            <v>7250346</v>
          </cell>
          <cell r="CU2">
            <v>7233718</v>
          </cell>
          <cell r="CV2">
            <v>7216567.5</v>
          </cell>
          <cell r="CW2">
            <v>7199207.5</v>
          </cell>
          <cell r="CX2">
            <v>7181494.5</v>
          </cell>
        </row>
        <row r="33">
          <cell r="B33">
            <v>6854209</v>
          </cell>
          <cell r="C33">
            <v>6854209</v>
          </cell>
          <cell r="D33">
            <v>6931591</v>
          </cell>
          <cell r="E33">
            <v>7005465</v>
          </cell>
          <cell r="F33">
            <v>7076207.5</v>
          </cell>
          <cell r="G33">
            <v>7144149</v>
          </cell>
          <cell r="H33">
            <v>7209513.5</v>
          </cell>
          <cell r="I33">
            <v>7272509</v>
          </cell>
          <cell r="J33">
            <v>7333277.5</v>
          </cell>
          <cell r="K33">
            <v>7391936</v>
          </cell>
          <cell r="L33">
            <v>7448595.5</v>
          </cell>
          <cell r="M33">
            <v>7495630.5</v>
          </cell>
          <cell r="N33">
            <v>7540894</v>
          </cell>
          <cell r="O33">
            <v>7584541</v>
          </cell>
          <cell r="P33">
            <v>7626786</v>
          </cell>
          <cell r="Q33">
            <v>7667657.5</v>
          </cell>
          <cell r="R33">
            <v>7707241</v>
          </cell>
          <cell r="S33">
            <v>7745624.5</v>
          </cell>
          <cell r="T33">
            <v>7782911</v>
          </cell>
          <cell r="U33">
            <v>7819180.5</v>
          </cell>
          <cell r="V33">
            <v>7854497.5</v>
          </cell>
          <cell r="W33">
            <v>7863288</v>
          </cell>
          <cell r="X33">
            <v>7869774.5</v>
          </cell>
          <cell r="Y33">
            <v>7874183</v>
          </cell>
          <cell r="Z33">
            <v>7876644.5</v>
          </cell>
          <cell r="AA33">
            <v>7877305</v>
          </cell>
          <cell r="AB33">
            <v>7876166</v>
          </cell>
          <cell r="AC33">
            <v>7873331.5</v>
          </cell>
          <cell r="AD33">
            <v>7868570</v>
          </cell>
          <cell r="AE33">
            <v>7862041.5</v>
          </cell>
          <cell r="AF33">
            <v>7853889.5</v>
          </cell>
          <cell r="AG33">
            <v>7860870</v>
          </cell>
          <cell r="AH33">
            <v>7867247.5</v>
          </cell>
          <cell r="AI33">
            <v>7873362.5</v>
          </cell>
          <cell r="AJ33">
            <v>7879104.5</v>
          </cell>
          <cell r="AK33">
            <v>7884388.5</v>
          </cell>
          <cell r="AL33">
            <v>7889293</v>
          </cell>
          <cell r="AM33">
            <v>7893422.5</v>
          </cell>
          <cell r="AN33">
            <v>7897049.5</v>
          </cell>
          <cell r="AO33">
            <v>7900149.5</v>
          </cell>
          <cell r="AP33">
            <v>7902908.5</v>
          </cell>
          <cell r="AQ33">
            <v>7896949</v>
          </cell>
          <cell r="AR33">
            <v>7890279.5</v>
          </cell>
          <cell r="AS33">
            <v>7882832</v>
          </cell>
          <cell r="AT33">
            <v>7874781.5</v>
          </cell>
          <cell r="AU33">
            <v>7866059</v>
          </cell>
          <cell r="AV33">
            <v>7856362.5</v>
          </cell>
          <cell r="AW33">
            <v>7845939.5</v>
          </cell>
          <cell r="AX33">
            <v>7834633.5</v>
          </cell>
          <cell r="AY33">
            <v>7822711</v>
          </cell>
          <cell r="AZ33">
            <v>7809834.5</v>
          </cell>
          <cell r="BA33">
            <v>7814021</v>
          </cell>
          <cell r="BB33">
            <v>7817728.5</v>
          </cell>
          <cell r="BC33">
            <v>7821111.5</v>
          </cell>
          <cell r="BD33">
            <v>7823752.5</v>
          </cell>
          <cell r="BE33">
            <v>7826028.5</v>
          </cell>
          <cell r="BF33">
            <v>7827722.5</v>
          </cell>
          <cell r="BG33">
            <v>7828989.5</v>
          </cell>
          <cell r="BH33">
            <v>7829697.5</v>
          </cell>
          <cell r="BI33">
            <v>7829614</v>
          </cell>
          <cell r="BJ33">
            <v>7829094.5</v>
          </cell>
          <cell r="BK33">
            <v>7828251.5</v>
          </cell>
          <cell r="BL33">
            <v>7826900.5</v>
          </cell>
          <cell r="BM33">
            <v>7824989.5</v>
          </cell>
          <cell r="BN33">
            <v>7822687.5</v>
          </cell>
          <cell r="BO33">
            <v>7819877.5</v>
          </cell>
          <cell r="BP33">
            <v>7816761.5</v>
          </cell>
          <cell r="BQ33">
            <v>7813149</v>
          </cell>
          <cell r="BR33">
            <v>7808594</v>
          </cell>
          <cell r="BS33">
            <v>7803583</v>
          </cell>
          <cell r="BT33">
            <v>7798055</v>
          </cell>
          <cell r="BU33">
            <v>7792226.5</v>
          </cell>
          <cell r="BV33">
            <v>7785895</v>
          </cell>
          <cell r="BW33">
            <v>7779202</v>
          </cell>
          <cell r="BX33">
            <v>7771997.5</v>
          </cell>
          <cell r="BY33">
            <v>7764504.5</v>
          </cell>
          <cell r="BZ33">
            <v>7756614</v>
          </cell>
          <cell r="CA33">
            <v>7748340.5</v>
          </cell>
          <cell r="CB33">
            <v>7739677</v>
          </cell>
          <cell r="CC33">
            <v>7730629.5</v>
          </cell>
          <cell r="CD33">
            <v>7721212</v>
          </cell>
          <cell r="CE33">
            <v>7711376</v>
          </cell>
          <cell r="CF33">
            <v>7700708.5</v>
          </cell>
          <cell r="CG33">
            <v>7689550.5</v>
          </cell>
          <cell r="CH33">
            <v>7678009</v>
          </cell>
          <cell r="CI33">
            <v>7666100</v>
          </cell>
          <cell r="CJ33">
            <v>7653707.5</v>
          </cell>
          <cell r="CK33">
            <v>7640667.5</v>
          </cell>
          <cell r="CL33">
            <v>7627173</v>
          </cell>
          <cell r="CM33">
            <v>7613298.5</v>
          </cell>
          <cell r="CN33">
            <v>7599151.5</v>
          </cell>
          <cell r="CO33">
            <v>7584693.5</v>
          </cell>
          <cell r="CP33">
            <v>7569912.5</v>
          </cell>
          <cell r="CQ33">
            <v>7554831</v>
          </cell>
          <cell r="CR33">
            <v>7539448.5</v>
          </cell>
          <cell r="CS33">
            <v>7523771</v>
          </cell>
          <cell r="CT33">
            <v>7507740</v>
          </cell>
          <cell r="CU33">
            <v>7491432.5</v>
          </cell>
          <cell r="CV33">
            <v>7474505.5</v>
          </cell>
          <cell r="CW33">
            <v>7457316.5</v>
          </cell>
          <cell r="CX33">
            <v>7439676.5</v>
          </cell>
        </row>
        <row r="34">
          <cell r="B34">
            <v>12108041</v>
          </cell>
          <cell r="C34">
            <v>12108041</v>
          </cell>
          <cell r="D34">
            <v>12267396</v>
          </cell>
          <cell r="E34">
            <v>12422647</v>
          </cell>
          <cell r="F34">
            <v>12574511</v>
          </cell>
          <cell r="G34">
            <v>12723477</v>
          </cell>
          <cell r="H34">
            <v>12869816</v>
          </cell>
          <cell r="I34">
            <v>13013775</v>
          </cell>
          <cell r="J34">
            <v>13155474</v>
          </cell>
          <cell r="K34">
            <v>13295027</v>
          </cell>
          <cell r="L34">
            <v>13432439</v>
          </cell>
          <cell r="M34">
            <v>13567866</v>
          </cell>
          <cell r="N34">
            <v>13701464</v>
          </cell>
          <cell r="O34">
            <v>13833366</v>
          </cell>
          <cell r="P34">
            <v>13963743</v>
          </cell>
          <cell r="Q34">
            <v>14092586</v>
          </cell>
          <cell r="R34">
            <v>14219937</v>
          </cell>
          <cell r="S34">
            <v>14345802</v>
          </cell>
          <cell r="T34">
            <v>14470249</v>
          </cell>
          <cell r="U34">
            <v>14593389</v>
          </cell>
          <cell r="V34">
            <v>14715238</v>
          </cell>
          <cell r="W34">
            <v>14759159</v>
          </cell>
          <cell r="X34">
            <v>14799039</v>
          </cell>
          <cell r="Y34">
            <v>14835087</v>
          </cell>
          <cell r="Z34">
            <v>14867342</v>
          </cell>
          <cell r="AA34">
            <v>14895921</v>
          </cell>
          <cell r="AB34">
            <v>14920854</v>
          </cell>
          <cell r="AC34">
            <v>14942176</v>
          </cell>
          <cell r="AD34">
            <v>14959508</v>
          </cell>
          <cell r="AE34">
            <v>14973105</v>
          </cell>
          <cell r="AF34">
            <v>14983331</v>
          </cell>
          <cell r="AG34">
            <v>14990317</v>
          </cell>
          <cell r="AH34">
            <v>14993192</v>
          </cell>
          <cell r="AI34">
            <v>14992735</v>
          </cell>
          <cell r="AJ34">
            <v>14988929</v>
          </cell>
          <cell r="AK34">
            <v>14981695</v>
          </cell>
          <cell r="AL34">
            <v>14971203</v>
          </cell>
          <cell r="AM34">
            <v>14957004</v>
          </cell>
          <cell r="AN34">
            <v>14939517</v>
          </cell>
          <cell r="AO34">
            <v>14918839</v>
          </cell>
          <cell r="AP34">
            <v>14895360</v>
          </cell>
          <cell r="AQ34">
            <v>14867802</v>
          </cell>
          <cell r="AR34">
            <v>14836852</v>
          </cell>
          <cell r="AS34">
            <v>14802411</v>
          </cell>
          <cell r="AT34">
            <v>14764860</v>
          </cell>
          <cell r="AU34">
            <v>14724125</v>
          </cell>
          <cell r="AV34">
            <v>14679694</v>
          </cell>
          <cell r="AW34">
            <v>14632058</v>
          </cell>
          <cell r="AX34">
            <v>14581030</v>
          </cell>
          <cell r="AY34">
            <v>14527118</v>
          </cell>
          <cell r="AZ34">
            <v>14469737</v>
          </cell>
          <cell r="BA34">
            <v>14410151</v>
          </cell>
          <cell r="BB34">
            <v>14348155</v>
          </cell>
          <cell r="BC34">
            <v>14283917</v>
          </cell>
          <cell r="BD34">
            <v>14216865</v>
          </cell>
          <cell r="BE34">
            <v>14147615</v>
          </cell>
          <cell r="BF34">
            <v>14075948</v>
          </cell>
          <cell r="BG34">
            <v>14002141</v>
          </cell>
          <cell r="BH34">
            <v>13926031</v>
          </cell>
          <cell r="BI34">
            <v>13847252</v>
          </cell>
          <cell r="BJ34">
            <v>13766415</v>
          </cell>
          <cell r="BK34">
            <v>13683870</v>
          </cell>
          <cell r="BL34">
            <v>13599271</v>
          </cell>
          <cell r="BM34">
            <v>13512623</v>
          </cell>
          <cell r="BN34">
            <v>13424177</v>
          </cell>
          <cell r="BO34">
            <v>13333887</v>
          </cell>
          <cell r="BP34">
            <v>13242143</v>
          </cell>
          <cell r="BQ34">
            <v>13148662</v>
          </cell>
          <cell r="BR34">
            <v>13052796</v>
          </cell>
          <cell r="BS34">
            <v>12955317</v>
          </cell>
          <cell r="BT34">
            <v>12856261</v>
          </cell>
          <cell r="BU34">
            <v>12757079</v>
          </cell>
          <cell r="BV34">
            <v>12657379</v>
          </cell>
          <cell r="BW34">
            <v>12557475</v>
          </cell>
          <cell r="BX34">
            <v>12457090</v>
          </cell>
          <cell r="BY34">
            <v>12356589</v>
          </cell>
          <cell r="BZ34">
            <v>12255850</v>
          </cell>
          <cell r="CA34">
            <v>12154907</v>
          </cell>
          <cell r="CB34">
            <v>12053716</v>
          </cell>
          <cell r="CC34">
            <v>11952332</v>
          </cell>
          <cell r="CD34">
            <v>11850715</v>
          </cell>
          <cell r="CE34">
            <v>11748915</v>
          </cell>
          <cell r="CF34">
            <v>11646227</v>
          </cell>
          <cell r="CG34">
            <v>11543204</v>
          </cell>
          <cell r="CH34">
            <v>11439981</v>
          </cell>
          <cell r="CI34">
            <v>11336654</v>
          </cell>
          <cell r="CJ34">
            <v>11233009</v>
          </cell>
          <cell r="CK34">
            <v>11128813</v>
          </cell>
          <cell r="CL34">
            <v>11024426</v>
          </cell>
          <cell r="CM34">
            <v>10919865</v>
          </cell>
          <cell r="CN34">
            <v>10815340</v>
          </cell>
          <cell r="CO34">
            <v>10710813</v>
          </cell>
          <cell r="CP34">
            <v>10606255</v>
          </cell>
          <cell r="CQ34">
            <v>10501711</v>
          </cell>
          <cell r="CR34">
            <v>10397146</v>
          </cell>
          <cell r="CS34">
            <v>10292635</v>
          </cell>
          <cell r="CT34">
            <v>10188052</v>
          </cell>
          <cell r="CU34">
            <v>10083541</v>
          </cell>
          <cell r="CV34">
            <v>9978636</v>
          </cell>
          <cell r="CW34">
            <v>9873823</v>
          </cell>
          <cell r="CX34">
            <v>9768858</v>
          </cell>
        </row>
        <row r="35">
          <cell r="B35">
            <v>5173887.5</v>
          </cell>
          <cell r="F35">
            <v>5347543.5</v>
          </cell>
          <cell r="L35">
            <v>5637741.5</v>
          </cell>
          <cell r="T35">
            <v>5896609</v>
          </cell>
          <cell r="AF35">
            <v>5872367.5</v>
          </cell>
          <cell r="AZ35">
            <v>5730664.5</v>
          </cell>
          <cell r="BT35">
            <v>5638795.5</v>
          </cell>
        </row>
        <row r="36">
          <cell r="B36">
            <v>1189440.3799999999</v>
          </cell>
          <cell r="F36">
            <v>1214569.25</v>
          </cell>
          <cell r="L36">
            <v>1256930.8799999999</v>
          </cell>
          <cell r="T36">
            <v>1293187.6299999999</v>
          </cell>
          <cell r="AF36">
            <v>1290922.5</v>
          </cell>
          <cell r="AZ36">
            <v>1280687</v>
          </cell>
          <cell r="BT36">
            <v>1284632.75</v>
          </cell>
        </row>
        <row r="37">
          <cell r="B37">
            <v>169515.48</v>
          </cell>
          <cell r="F37">
            <v>177607.47</v>
          </cell>
          <cell r="L37">
            <v>191722.67</v>
          </cell>
          <cell r="T37">
            <v>206115.38</v>
          </cell>
          <cell r="AF37">
            <v>238504.08</v>
          </cell>
          <cell r="AZ37">
            <v>270370.38</v>
          </cell>
          <cell r="BT37">
            <v>289084.65999999997</v>
          </cell>
        </row>
        <row r="38">
          <cell r="B38">
            <v>321373.21999999997</v>
          </cell>
          <cell r="F38">
            <v>336493.28</v>
          </cell>
          <cell r="L38">
            <v>362200.13</v>
          </cell>
          <cell r="T38">
            <v>387006.19</v>
          </cell>
          <cell r="AF38">
            <v>452101.31</v>
          </cell>
          <cell r="AZ38">
            <v>528105.5</v>
          </cell>
          <cell r="BT38">
            <v>585539.18999999994</v>
          </cell>
        </row>
        <row r="39">
          <cell r="B39">
            <v>109528992</v>
          </cell>
          <cell r="F39">
            <v>112923416</v>
          </cell>
          <cell r="L39">
            <v>118592240</v>
          </cell>
          <cell r="T39">
            <v>123566552</v>
          </cell>
          <cell r="AF39">
            <v>116322296</v>
          </cell>
          <cell r="AZ39">
            <v>100915520</v>
          </cell>
          <cell r="BT39">
            <v>87307760</v>
          </cell>
        </row>
        <row r="42">
          <cell r="B42">
            <v>4408959.5</v>
          </cell>
          <cell r="F42">
            <v>4618690</v>
          </cell>
          <cell r="L42">
            <v>4998210.5</v>
          </cell>
          <cell r="T42">
            <v>5452492</v>
          </cell>
          <cell r="AF42">
            <v>5553658</v>
          </cell>
          <cell r="AZ42">
            <v>5268538.5</v>
          </cell>
          <cell r="BT42">
            <v>4660341.5</v>
          </cell>
        </row>
        <row r="43">
          <cell r="B43">
            <v>6195695</v>
          </cell>
          <cell r="F43">
            <v>6396266.5</v>
          </cell>
          <cell r="L43">
            <v>6763286.5</v>
          </cell>
          <cell r="T43">
            <v>7204250.5</v>
          </cell>
          <cell r="AF43">
            <v>7321163</v>
          </cell>
          <cell r="AZ43">
            <v>6888948.5</v>
          </cell>
          <cell r="BT43">
            <v>5987396</v>
          </cell>
        </row>
        <row r="44">
          <cell r="B44">
            <v>913909.94</v>
          </cell>
          <cell r="F44">
            <v>946450.31</v>
          </cell>
          <cell r="L44">
            <v>1012945.44</v>
          </cell>
          <cell r="T44">
            <v>1102847.75</v>
          </cell>
          <cell r="AF44">
            <v>1302618.75</v>
          </cell>
          <cell r="AZ44">
            <v>1484467.63</v>
          </cell>
          <cell r="BT44">
            <v>1478988.25</v>
          </cell>
        </row>
        <row r="45">
          <cell r="B45">
            <v>589466.06000000006</v>
          </cell>
          <cell r="F45">
            <v>613137.63</v>
          </cell>
          <cell r="L45">
            <v>657968.56000000006</v>
          </cell>
          <cell r="T45">
            <v>710682.25</v>
          </cell>
          <cell r="AF45">
            <v>805865.25</v>
          </cell>
          <cell r="AZ45">
            <v>827775.38</v>
          </cell>
          <cell r="BT45">
            <v>729548.31</v>
          </cell>
        </row>
        <row r="46">
          <cell r="B46">
            <v>51659476</v>
          </cell>
          <cell r="F46">
            <v>54015656</v>
          </cell>
          <cell r="L46">
            <v>58166896</v>
          </cell>
          <cell r="T46">
            <v>62977584</v>
          </cell>
          <cell r="AF46">
            <v>60272380</v>
          </cell>
          <cell r="AZ46">
            <v>50323984</v>
          </cell>
          <cell r="BT46">
            <v>38811936</v>
          </cell>
        </row>
        <row r="81">
          <cell r="B81">
            <v>1235655.75</v>
          </cell>
          <cell r="F81">
            <v>1287487</v>
          </cell>
          <cell r="L81">
            <v>1362694.75</v>
          </cell>
          <cell r="T81">
            <v>1449304.75</v>
          </cell>
          <cell r="AF81">
            <v>1527013.13</v>
          </cell>
          <cell r="AZ81">
            <v>1490470.25</v>
          </cell>
          <cell r="BT81">
            <v>1291233.75</v>
          </cell>
        </row>
        <row r="82">
          <cell r="B82">
            <v>1016967</v>
          </cell>
          <cell r="F82">
            <v>1090713.25</v>
          </cell>
          <cell r="L82">
            <v>1149795.25</v>
          </cell>
          <cell r="T82">
            <v>1195259.25</v>
          </cell>
          <cell r="AF82">
            <v>1241764.3799999999</v>
          </cell>
          <cell r="AZ82">
            <v>1267108.3799999999</v>
          </cell>
          <cell r="BT82">
            <v>1204537.5</v>
          </cell>
        </row>
        <row r="83">
          <cell r="B83">
            <v>1202378.6299999999</v>
          </cell>
          <cell r="F83">
            <v>1239215.5</v>
          </cell>
          <cell r="L83">
            <v>1300285.5</v>
          </cell>
          <cell r="T83">
            <v>1373785</v>
          </cell>
          <cell r="AF83">
            <v>1455910.25</v>
          </cell>
          <cell r="AZ83">
            <v>1528360.38</v>
          </cell>
          <cell r="BT83">
            <v>1535287.88</v>
          </cell>
        </row>
        <row r="84">
          <cell r="B84">
            <v>1169330.1299999999</v>
          </cell>
          <cell r="F84">
            <v>1181534.6299999999</v>
          </cell>
          <cell r="L84">
            <v>1208223.25</v>
          </cell>
          <cell r="T84">
            <v>1254873.5</v>
          </cell>
          <cell r="AF84">
            <v>1332769.3799999999</v>
          </cell>
          <cell r="AZ84">
            <v>1445921.88</v>
          </cell>
          <cell r="BT84">
            <v>1519482.63</v>
          </cell>
        </row>
        <row r="85">
          <cell r="B85">
            <v>666817.06000000006</v>
          </cell>
          <cell r="F85">
            <v>722470.88</v>
          </cell>
          <cell r="L85">
            <v>796167.5</v>
          </cell>
          <cell r="T85">
            <v>881900.69</v>
          </cell>
          <cell r="AF85">
            <v>992080.13</v>
          </cell>
          <cell r="AZ85">
            <v>1139632.25</v>
          </cell>
          <cell r="BT85">
            <v>1247628.75</v>
          </cell>
        </row>
        <row r="86">
          <cell r="B86">
            <v>217962.97</v>
          </cell>
          <cell r="F86">
            <v>270157.28000000003</v>
          </cell>
          <cell r="L86">
            <v>345999.5</v>
          </cell>
          <cell r="T86">
            <v>440749.78</v>
          </cell>
          <cell r="AF86">
            <v>559420.88</v>
          </cell>
          <cell r="AZ86">
            <v>699897.81</v>
          </cell>
          <cell r="BT86">
            <v>786327.56</v>
          </cell>
        </row>
        <row r="103">
          <cell r="B103">
            <v>1192173</v>
          </cell>
          <cell r="F103">
            <v>1235804.5</v>
          </cell>
          <cell r="L103">
            <v>1299149.3799999999</v>
          </cell>
          <cell r="T103">
            <v>1381075.38</v>
          </cell>
          <cell r="AF103">
            <v>1518118.63</v>
          </cell>
          <cell r="AZ103">
            <v>1755745.63</v>
          </cell>
          <cell r="BT103">
            <v>1898385.63</v>
          </cell>
        </row>
        <row r="104">
          <cell r="B104">
            <v>2847837</v>
          </cell>
          <cell r="F104">
            <v>3003417.25</v>
          </cell>
          <cell r="L104">
            <v>3203802.25</v>
          </cell>
          <cell r="T104">
            <v>3432609.75</v>
          </cell>
          <cell r="AF104">
            <v>3677577</v>
          </cell>
          <cell r="AZ104">
            <v>3832326.5</v>
          </cell>
          <cell r="BT104">
            <v>3770954.5</v>
          </cell>
        </row>
        <row r="105">
          <cell r="B105">
            <v>1469099.88</v>
          </cell>
          <cell r="F105">
            <v>1552352.88</v>
          </cell>
          <cell r="L105">
            <v>1660216.25</v>
          </cell>
          <cell r="T105">
            <v>1782187.25</v>
          </cell>
          <cell r="AF105">
            <v>1913262</v>
          </cell>
          <cell r="AZ105">
            <v>1983321</v>
          </cell>
          <cell r="BT105">
            <v>1915158.13</v>
          </cell>
        </row>
        <row r="106">
          <cell r="B106">
            <v>2923941.5</v>
          </cell>
          <cell r="F106">
            <v>3063293.25</v>
          </cell>
          <cell r="L106">
            <v>3225541</v>
          </cell>
          <cell r="T106">
            <v>3388204.5</v>
          </cell>
          <cell r="AF106">
            <v>3543368.5</v>
          </cell>
          <cell r="AZ106">
            <v>3662272.75</v>
          </cell>
          <cell r="BT106">
            <v>3662009</v>
          </cell>
        </row>
        <row r="107">
          <cell r="B107">
            <v>2585170.5</v>
          </cell>
          <cell r="F107">
            <v>2728285</v>
          </cell>
          <cell r="L107">
            <v>2937626.25</v>
          </cell>
          <cell r="T107">
            <v>3207662.25</v>
          </cell>
          <cell r="AF107">
            <v>3565587.75</v>
          </cell>
          <cell r="AZ107">
            <v>3909127</v>
          </cell>
          <cell r="BT107">
            <v>3922498.5</v>
          </cell>
        </row>
      </sheetData>
      <sheetData sheetId="5">
        <row r="2">
          <cell r="B2">
            <v>5509111.5</v>
          </cell>
          <cell r="C2">
            <v>5583911.5</v>
          </cell>
          <cell r="D2">
            <v>5655235</v>
          </cell>
          <cell r="E2">
            <v>5724362.5</v>
          </cell>
          <cell r="F2">
            <v>5791579.5</v>
          </cell>
          <cell r="G2">
            <v>5857071</v>
          </cell>
          <cell r="H2">
            <v>5921020</v>
          </cell>
          <cell r="I2">
            <v>5983546.5</v>
          </cell>
          <cell r="J2">
            <v>6044722</v>
          </cell>
          <cell r="K2">
            <v>6104571.5</v>
          </cell>
          <cell r="L2">
            <v>6163170</v>
          </cell>
          <cell r="M2">
            <v>6220590</v>
          </cell>
          <cell r="N2">
            <v>6276925.5</v>
          </cell>
          <cell r="O2">
            <v>6332238.5</v>
          </cell>
          <cell r="P2">
            <v>6386671</v>
          </cell>
          <cell r="Q2">
            <v>6440211.5</v>
          </cell>
          <cell r="R2">
            <v>6492903.5</v>
          </cell>
          <cell r="S2">
            <v>6544765.5</v>
          </cell>
          <cell r="T2">
            <v>6595861.5</v>
          </cell>
          <cell r="U2">
            <v>6646241</v>
          </cell>
          <cell r="V2">
            <v>6695936</v>
          </cell>
          <cell r="W2">
            <v>6744812</v>
          </cell>
          <cell r="X2">
            <v>6792930.5</v>
          </cell>
          <cell r="Y2">
            <v>6840407.5</v>
          </cell>
          <cell r="Z2">
            <v>6887258.5</v>
          </cell>
          <cell r="AA2">
            <v>6933496.5</v>
          </cell>
          <cell r="AB2">
            <v>6979210.5</v>
          </cell>
          <cell r="AC2">
            <v>7024361</v>
          </cell>
          <cell r="AD2">
            <v>7068779.5</v>
          </cell>
          <cell r="AE2">
            <v>7112531</v>
          </cell>
          <cell r="AF2">
            <v>7155796</v>
          </cell>
          <cell r="AG2">
            <v>7198450</v>
          </cell>
          <cell r="AH2">
            <v>7240271</v>
          </cell>
          <cell r="AI2">
            <v>7281579</v>
          </cell>
          <cell r="AJ2">
            <v>7322302</v>
          </cell>
          <cell r="AK2">
            <v>7362464</v>
          </cell>
          <cell r="AL2">
            <v>7402040.5</v>
          </cell>
          <cell r="AM2">
            <v>7441056</v>
          </cell>
          <cell r="AN2">
            <v>7479216.5</v>
          </cell>
          <cell r="AO2">
            <v>7516715.5</v>
          </cell>
          <cell r="AP2">
            <v>7553706.5</v>
          </cell>
          <cell r="AQ2">
            <v>7590176</v>
          </cell>
          <cell r="AR2">
            <v>7625908</v>
          </cell>
          <cell r="AS2">
            <v>7661186.5</v>
          </cell>
          <cell r="AT2">
            <v>7695901.5</v>
          </cell>
          <cell r="AU2">
            <v>7730141.5</v>
          </cell>
          <cell r="AV2">
            <v>7763926</v>
          </cell>
          <cell r="AW2">
            <v>7796982</v>
          </cell>
          <cell r="AX2">
            <v>7829563</v>
          </cell>
          <cell r="AY2">
            <v>7861547.5</v>
          </cell>
          <cell r="AZ2">
            <v>7892742</v>
          </cell>
          <cell r="BA2">
            <v>7923391</v>
          </cell>
          <cell r="BB2">
            <v>7953509</v>
          </cell>
          <cell r="BC2">
            <v>7983156.5</v>
          </cell>
          <cell r="BD2">
            <v>8012277</v>
          </cell>
          <cell r="BE2">
            <v>8040764</v>
          </cell>
          <cell r="BF2">
            <v>8068791.5</v>
          </cell>
          <cell r="BG2">
            <v>8096050</v>
          </cell>
          <cell r="BH2">
            <v>8122872</v>
          </cell>
          <cell r="BI2">
            <v>8149145</v>
          </cell>
          <cell r="BJ2">
            <v>8174882.5</v>
          </cell>
          <cell r="BK2">
            <v>8200153.5</v>
          </cell>
          <cell r="BL2">
            <v>8224689.5</v>
          </cell>
          <cell r="BM2">
            <v>8248773</v>
          </cell>
          <cell r="BN2">
            <v>8272102.5</v>
          </cell>
          <cell r="BO2">
            <v>8295021.5</v>
          </cell>
          <cell r="BP2">
            <v>8317428</v>
          </cell>
          <cell r="BQ2">
            <v>8339393.5</v>
          </cell>
          <cell r="BR2">
            <v>8360819</v>
          </cell>
          <cell r="BS2">
            <v>8381638</v>
          </cell>
          <cell r="BT2">
            <v>8401841</v>
          </cell>
          <cell r="BU2">
            <v>8421438</v>
          </cell>
          <cell r="BV2">
            <v>8440506</v>
          </cell>
          <cell r="BW2">
            <v>8459142</v>
          </cell>
          <cell r="BX2">
            <v>8477252</v>
          </cell>
          <cell r="BY2">
            <v>8494872</v>
          </cell>
          <cell r="BZ2">
            <v>8511979</v>
          </cell>
          <cell r="CA2">
            <v>8528622</v>
          </cell>
          <cell r="CB2">
            <v>8544821</v>
          </cell>
          <cell r="CC2">
            <v>8560534</v>
          </cell>
          <cell r="CD2">
            <v>8575818</v>
          </cell>
          <cell r="CE2">
            <v>8590541</v>
          </cell>
          <cell r="CF2">
            <v>8604554</v>
          </cell>
          <cell r="CG2">
            <v>8618050</v>
          </cell>
          <cell r="CH2">
            <v>8631032</v>
          </cell>
          <cell r="CI2">
            <v>8643472</v>
          </cell>
          <cell r="CJ2">
            <v>8655357</v>
          </cell>
          <cell r="CK2">
            <v>8666604</v>
          </cell>
          <cell r="CL2">
            <v>8677237</v>
          </cell>
          <cell r="CM2">
            <v>8687348</v>
          </cell>
          <cell r="CN2">
            <v>8696911</v>
          </cell>
          <cell r="CO2">
            <v>8706033</v>
          </cell>
          <cell r="CP2">
            <v>8714656</v>
          </cell>
          <cell r="CQ2">
            <v>8722858</v>
          </cell>
          <cell r="CR2">
            <v>8730600</v>
          </cell>
          <cell r="CS2">
            <v>8737894</v>
          </cell>
          <cell r="CT2">
            <v>8744796</v>
          </cell>
          <cell r="CU2">
            <v>8751291</v>
          </cell>
          <cell r="CV2">
            <v>8757418</v>
          </cell>
          <cell r="CW2">
            <v>8763021</v>
          </cell>
          <cell r="CX2">
            <v>8768257</v>
          </cell>
        </row>
        <row r="33">
          <cell r="B33">
            <v>6854209</v>
          </cell>
          <cell r="C33">
            <v>6854209</v>
          </cell>
          <cell r="D33">
            <v>6931591</v>
          </cell>
          <cell r="E33">
            <v>7005465</v>
          </cell>
          <cell r="F33">
            <v>7076207.5</v>
          </cell>
          <cell r="G33">
            <v>7144149</v>
          </cell>
          <cell r="H33">
            <v>7209513.5</v>
          </cell>
          <cell r="I33">
            <v>7272509</v>
          </cell>
          <cell r="J33">
            <v>7333277.5</v>
          </cell>
          <cell r="K33">
            <v>7391936</v>
          </cell>
          <cell r="L33">
            <v>7448595.5</v>
          </cell>
          <cell r="M33">
            <v>7495630.5</v>
          </cell>
          <cell r="N33">
            <v>7540894</v>
          </cell>
          <cell r="O33">
            <v>7584541</v>
          </cell>
          <cell r="P33">
            <v>7626786</v>
          </cell>
          <cell r="Q33">
            <v>7667657.5</v>
          </cell>
          <cell r="R33">
            <v>7707241</v>
          </cell>
          <cell r="S33">
            <v>7745624.5</v>
          </cell>
          <cell r="T33">
            <v>7782911</v>
          </cell>
          <cell r="U33">
            <v>7819180.5</v>
          </cell>
          <cell r="V33">
            <v>7854497.5</v>
          </cell>
          <cell r="W33">
            <v>7864628.5</v>
          </cell>
          <cell r="X33">
            <v>7873702.5</v>
          </cell>
          <cell r="Y33">
            <v>7881890</v>
          </cell>
          <cell r="Z33">
            <v>7889258.5</v>
          </cell>
          <cell r="AA33">
            <v>7895910.5</v>
          </cell>
          <cell r="AB33">
            <v>7901870</v>
          </cell>
          <cell r="AC33">
            <v>7907200</v>
          </cell>
          <cell r="AD33">
            <v>7911679.5</v>
          </cell>
          <cell r="AE33">
            <v>7915461.5</v>
          </cell>
          <cell r="AF33">
            <v>7918685.5</v>
          </cell>
          <cell r="AG33">
            <v>7919305.5</v>
          </cell>
          <cell r="AH33">
            <v>7918750.5</v>
          </cell>
          <cell r="AI33">
            <v>7917395.5</v>
          </cell>
          <cell r="AJ33">
            <v>7915194.5</v>
          </cell>
          <cell r="AK33">
            <v>7912165.5</v>
          </cell>
          <cell r="AL33">
            <v>7908281</v>
          </cell>
          <cell r="AM33">
            <v>7903629</v>
          </cell>
          <cell r="AN33">
            <v>7897866</v>
          </cell>
          <cell r="AO33">
            <v>7891234.5</v>
          </cell>
          <cell r="AP33">
            <v>7883881</v>
          </cell>
          <cell r="AQ33">
            <v>7859449</v>
          </cell>
          <cell r="AR33">
            <v>7834323.5</v>
          </cell>
          <cell r="AS33">
            <v>7808773.5</v>
          </cell>
          <cell r="AT33">
            <v>7782715</v>
          </cell>
          <cell r="AU33">
            <v>7756256.5</v>
          </cell>
          <cell r="AV33">
            <v>7729361</v>
          </cell>
          <cell r="AW33">
            <v>7701800.5</v>
          </cell>
          <cell r="AX33">
            <v>7673801</v>
          </cell>
          <cell r="AY33">
            <v>7645289.5</v>
          </cell>
          <cell r="AZ33">
            <v>7616045.5</v>
          </cell>
          <cell r="BA33">
            <v>7585992</v>
          </cell>
          <cell r="BB33">
            <v>7555197</v>
          </cell>
          <cell r="BC33">
            <v>7523707</v>
          </cell>
          <cell r="BD33">
            <v>7491500</v>
          </cell>
          <cell r="BE33">
            <v>7458471.5</v>
          </cell>
          <cell r="BF33">
            <v>7424792.5</v>
          </cell>
          <cell r="BG33">
            <v>7390206</v>
          </cell>
          <cell r="BH33">
            <v>7355042</v>
          </cell>
          <cell r="BI33">
            <v>7319158</v>
          </cell>
          <cell r="BJ33">
            <v>7282629</v>
          </cell>
          <cell r="BK33">
            <v>7245513</v>
          </cell>
          <cell r="BL33">
            <v>7207613.5</v>
          </cell>
          <cell r="BM33">
            <v>7169168</v>
          </cell>
          <cell r="BN33">
            <v>7129924</v>
          </cell>
          <cell r="BO33">
            <v>7090192.5</v>
          </cell>
          <cell r="BP33">
            <v>7049918.5</v>
          </cell>
          <cell r="BQ33">
            <v>7009108.5</v>
          </cell>
          <cell r="BR33">
            <v>6967753</v>
          </cell>
          <cell r="BS33">
            <v>6925764</v>
          </cell>
          <cell r="BT33">
            <v>6883173.5</v>
          </cell>
          <cell r="BU33">
            <v>6885661</v>
          </cell>
          <cell r="BV33">
            <v>6887483</v>
          </cell>
          <cell r="BW33">
            <v>6888701.5</v>
          </cell>
          <cell r="BX33">
            <v>6889243.5</v>
          </cell>
          <cell r="BY33">
            <v>6889121</v>
          </cell>
          <cell r="BZ33">
            <v>6888368.5</v>
          </cell>
          <cell r="CA33">
            <v>6886999</v>
          </cell>
          <cell r="CB33">
            <v>6885024</v>
          </cell>
          <cell r="CC33">
            <v>6882450.5</v>
          </cell>
          <cell r="CD33">
            <v>6879283</v>
          </cell>
          <cell r="CE33">
            <v>6875671</v>
          </cell>
          <cell r="CF33">
            <v>6871438.5</v>
          </cell>
          <cell r="CG33">
            <v>6866754.5</v>
          </cell>
          <cell r="CH33">
            <v>6861616</v>
          </cell>
          <cell r="CI33">
            <v>6856028.5</v>
          </cell>
          <cell r="CJ33">
            <v>6849954.5</v>
          </cell>
          <cell r="CK33">
            <v>6843325</v>
          </cell>
          <cell r="CL33">
            <v>6836196</v>
          </cell>
          <cell r="CM33">
            <v>6828591.5</v>
          </cell>
          <cell r="CN33">
            <v>6820540.5</v>
          </cell>
          <cell r="CO33">
            <v>6811882.5</v>
          </cell>
          <cell r="CP33">
            <v>6802647</v>
          </cell>
          <cell r="CQ33">
            <v>6792860.5</v>
          </cell>
          <cell r="CR33">
            <v>6782468.5</v>
          </cell>
          <cell r="CS33">
            <v>6771573.5</v>
          </cell>
          <cell r="CT33">
            <v>6760131</v>
          </cell>
          <cell r="CU33">
            <v>6748167</v>
          </cell>
          <cell r="CV33">
            <v>6735722</v>
          </cell>
          <cell r="CW33">
            <v>6722667.5</v>
          </cell>
          <cell r="CX33">
            <v>6709157.5</v>
          </cell>
        </row>
        <row r="34">
          <cell r="B34">
            <v>12108041</v>
          </cell>
          <cell r="C34">
            <v>12108041</v>
          </cell>
          <cell r="D34">
            <v>12267396</v>
          </cell>
          <cell r="E34">
            <v>12422647</v>
          </cell>
          <cell r="F34">
            <v>12574511</v>
          </cell>
          <cell r="G34">
            <v>12723477</v>
          </cell>
          <cell r="H34">
            <v>12869816</v>
          </cell>
          <cell r="I34">
            <v>13013775</v>
          </cell>
          <cell r="J34">
            <v>13155474</v>
          </cell>
          <cell r="K34">
            <v>13295027</v>
          </cell>
          <cell r="L34">
            <v>13432439</v>
          </cell>
          <cell r="M34">
            <v>13567866</v>
          </cell>
          <cell r="N34">
            <v>13701464</v>
          </cell>
          <cell r="O34">
            <v>13833366</v>
          </cell>
          <cell r="P34">
            <v>13963743</v>
          </cell>
          <cell r="Q34">
            <v>14092586</v>
          </cell>
          <cell r="R34">
            <v>14219937</v>
          </cell>
          <cell r="S34">
            <v>14345802</v>
          </cell>
          <cell r="T34">
            <v>14470249</v>
          </cell>
          <cell r="U34">
            <v>14593389</v>
          </cell>
          <cell r="V34">
            <v>14715238</v>
          </cell>
          <cell r="W34">
            <v>14760614</v>
          </cell>
          <cell r="X34">
            <v>14803405</v>
          </cell>
          <cell r="Y34">
            <v>14843805</v>
          </cell>
          <cell r="Z34">
            <v>14881869</v>
          </cell>
          <cell r="AA34">
            <v>14917675</v>
          </cell>
          <cell r="AB34">
            <v>14951209</v>
          </cell>
          <cell r="AC34">
            <v>14982512</v>
          </cell>
          <cell r="AD34">
            <v>15011238</v>
          </cell>
          <cell r="AE34">
            <v>15037425</v>
          </cell>
          <cell r="AF34">
            <v>15061492</v>
          </cell>
          <cell r="AG34">
            <v>15163172</v>
          </cell>
          <cell r="AH34">
            <v>15263192</v>
          </cell>
          <cell r="AI34">
            <v>15362238</v>
          </cell>
          <cell r="AJ34">
            <v>15460183</v>
          </cell>
          <cell r="AK34">
            <v>15557038</v>
          </cell>
          <cell r="AL34">
            <v>15652734</v>
          </cell>
          <cell r="AM34">
            <v>15747384</v>
          </cell>
          <cell r="AN34">
            <v>15840362</v>
          </cell>
          <cell r="AO34">
            <v>15931999</v>
          </cell>
          <cell r="AP34">
            <v>16022611</v>
          </cell>
          <cell r="AQ34">
            <v>16111942</v>
          </cell>
          <cell r="AR34">
            <v>16199595</v>
          </cell>
          <cell r="AS34">
            <v>16286111</v>
          </cell>
          <cell r="AT34">
            <v>16371266</v>
          </cell>
          <cell r="AU34">
            <v>16455270</v>
          </cell>
          <cell r="AV34">
            <v>16538151</v>
          </cell>
          <cell r="AW34">
            <v>16619341</v>
          </cell>
          <cell r="AX34">
            <v>16699330</v>
          </cell>
          <cell r="AY34">
            <v>16777926</v>
          </cell>
          <cell r="AZ34">
            <v>16854726</v>
          </cell>
          <cell r="BA34">
            <v>16841322</v>
          </cell>
          <cell r="BB34">
            <v>16826152</v>
          </cell>
          <cell r="BC34">
            <v>16809252</v>
          </cell>
          <cell r="BD34">
            <v>16790536</v>
          </cell>
          <cell r="BE34">
            <v>16769837</v>
          </cell>
          <cell r="BF34">
            <v>16747438</v>
          </cell>
          <cell r="BG34">
            <v>16722833</v>
          </cell>
          <cell r="BH34">
            <v>16696638</v>
          </cell>
          <cell r="BI34">
            <v>16668722</v>
          </cell>
          <cell r="BJ34">
            <v>16639130</v>
          </cell>
          <cell r="BK34">
            <v>16700616</v>
          </cell>
          <cell r="BL34">
            <v>16760608</v>
          </cell>
          <cell r="BM34">
            <v>16819682</v>
          </cell>
          <cell r="BN34">
            <v>16877172</v>
          </cell>
          <cell r="BO34">
            <v>16933878</v>
          </cell>
          <cell r="BP34">
            <v>16989588</v>
          </cell>
          <cell r="BQ34">
            <v>17044352</v>
          </cell>
          <cell r="BR34">
            <v>17098116</v>
          </cell>
          <cell r="BS34">
            <v>17150640</v>
          </cell>
          <cell r="BT34">
            <v>17201938</v>
          </cell>
          <cell r="BU34">
            <v>17137006</v>
          </cell>
          <cell r="BV34">
            <v>17070460</v>
          </cell>
          <cell r="BW34">
            <v>17002474</v>
          </cell>
          <cell r="BX34">
            <v>16932876</v>
          </cell>
          <cell r="BY34">
            <v>16861734</v>
          </cell>
          <cell r="BZ34">
            <v>16789072</v>
          </cell>
          <cell r="CA34">
            <v>16714947</v>
          </cell>
          <cell r="CB34">
            <v>16639405</v>
          </cell>
          <cell r="CC34">
            <v>16562495</v>
          </cell>
          <cell r="CD34">
            <v>16484189</v>
          </cell>
          <cell r="CE34">
            <v>16404338</v>
          </cell>
          <cell r="CF34">
            <v>16322554</v>
          </cell>
          <cell r="CG34">
            <v>16239300</v>
          </cell>
          <cell r="CH34">
            <v>16154543</v>
          </cell>
          <cell r="CI34">
            <v>16068330</v>
          </cell>
          <cell r="CJ34">
            <v>15980669</v>
          </cell>
          <cell r="CK34">
            <v>15891273</v>
          </cell>
          <cell r="CL34">
            <v>15800372</v>
          </cell>
          <cell r="CM34">
            <v>15708137</v>
          </cell>
          <cell r="CN34">
            <v>15614606</v>
          </cell>
          <cell r="CO34">
            <v>15519835</v>
          </cell>
          <cell r="CP34">
            <v>15423957</v>
          </cell>
          <cell r="CQ34">
            <v>15326988</v>
          </cell>
          <cell r="CR34">
            <v>15228916</v>
          </cell>
          <cell r="CS34">
            <v>15129788</v>
          </cell>
          <cell r="CT34">
            <v>15029744</v>
          </cell>
          <cell r="CU34">
            <v>14928665</v>
          </cell>
          <cell r="CV34">
            <v>14826742</v>
          </cell>
          <cell r="CW34">
            <v>14723627</v>
          </cell>
          <cell r="CX34">
            <v>14619680</v>
          </cell>
        </row>
        <row r="35">
          <cell r="B35">
            <v>5173887.5</v>
          </cell>
          <cell r="F35">
            <v>5347543.5</v>
          </cell>
          <cell r="L35">
            <v>5637741.5</v>
          </cell>
          <cell r="T35">
            <v>5896609</v>
          </cell>
          <cell r="AF35">
            <v>5925044</v>
          </cell>
          <cell r="AZ35">
            <v>5602877</v>
          </cell>
          <cell r="BT35">
            <v>4968317.5</v>
          </cell>
        </row>
        <row r="36">
          <cell r="B36">
            <v>1189440.3799999999</v>
          </cell>
          <cell r="F36">
            <v>1214569.25</v>
          </cell>
          <cell r="L36">
            <v>1256930.8799999999</v>
          </cell>
          <cell r="T36">
            <v>1293187.6299999999</v>
          </cell>
          <cell r="AF36">
            <v>1254159.75</v>
          </cell>
          <cell r="AZ36">
            <v>1105798.1299999999</v>
          </cell>
          <cell r="BT36">
            <v>906132.31</v>
          </cell>
        </row>
        <row r="37">
          <cell r="B37">
            <v>169515.48</v>
          </cell>
          <cell r="F37">
            <v>177607.47</v>
          </cell>
          <cell r="L37">
            <v>191722.67</v>
          </cell>
          <cell r="T37">
            <v>206115.38</v>
          </cell>
          <cell r="AF37">
            <v>229808.52</v>
          </cell>
          <cell r="AZ37">
            <v>260112.52</v>
          </cell>
          <cell r="BT37">
            <v>268178</v>
          </cell>
        </row>
        <row r="38">
          <cell r="B38">
            <v>321373.21999999997</v>
          </cell>
          <cell r="F38">
            <v>336493.28</v>
          </cell>
          <cell r="L38">
            <v>362200.13</v>
          </cell>
          <cell r="T38">
            <v>387006.19</v>
          </cell>
          <cell r="AF38">
            <v>509661.97</v>
          </cell>
          <cell r="AZ38">
            <v>647260.56000000006</v>
          </cell>
          <cell r="BT38">
            <v>740542.69</v>
          </cell>
        </row>
        <row r="39">
          <cell r="B39">
            <v>109528992</v>
          </cell>
          <cell r="F39">
            <v>112923416</v>
          </cell>
          <cell r="L39">
            <v>118592240</v>
          </cell>
          <cell r="T39">
            <v>123566552</v>
          </cell>
          <cell r="AF39">
            <v>117504432</v>
          </cell>
          <cell r="AZ39">
            <v>98948232</v>
          </cell>
          <cell r="BT39">
            <v>77141304</v>
          </cell>
        </row>
        <row r="42">
          <cell r="B42">
            <v>4408959.5</v>
          </cell>
          <cell r="F42">
            <v>4618690</v>
          </cell>
          <cell r="L42">
            <v>4998210.5</v>
          </cell>
          <cell r="T42">
            <v>5452492</v>
          </cell>
          <cell r="AF42">
            <v>5325356.5</v>
          </cell>
          <cell r="AZ42">
            <v>5876757.5</v>
          </cell>
          <cell r="BT42">
            <v>5909740.5</v>
          </cell>
        </row>
        <row r="43">
          <cell r="B43">
            <v>6195695</v>
          </cell>
          <cell r="F43">
            <v>6396266.5</v>
          </cell>
          <cell r="L43">
            <v>6763286.5</v>
          </cell>
          <cell r="T43">
            <v>7204250.5</v>
          </cell>
          <cell r="AF43">
            <v>7500986</v>
          </cell>
          <cell r="AZ43">
            <v>7862059</v>
          </cell>
          <cell r="BT43">
            <v>7445143.5</v>
          </cell>
        </row>
        <row r="44">
          <cell r="B44">
            <v>913909.94</v>
          </cell>
          <cell r="F44">
            <v>946450.31</v>
          </cell>
          <cell r="L44">
            <v>1012945.44</v>
          </cell>
          <cell r="T44">
            <v>1102847.75</v>
          </cell>
          <cell r="AF44">
            <v>1330127.75</v>
          </cell>
          <cell r="AZ44">
            <v>1859170.63</v>
          </cell>
          <cell r="BT44">
            <v>2327500.75</v>
          </cell>
        </row>
        <row r="45">
          <cell r="B45">
            <v>589466.06000000006</v>
          </cell>
          <cell r="F45">
            <v>613137.63</v>
          </cell>
          <cell r="L45">
            <v>657968.56000000006</v>
          </cell>
          <cell r="T45">
            <v>710682.25</v>
          </cell>
          <cell r="AF45">
            <v>905026.5</v>
          </cell>
          <cell r="AZ45">
            <v>1256756.6299999999</v>
          </cell>
          <cell r="BT45">
            <v>1519549.38</v>
          </cell>
        </row>
        <row r="46">
          <cell r="B46">
            <v>51659476</v>
          </cell>
          <cell r="F46">
            <v>54015656</v>
          </cell>
          <cell r="L46">
            <v>58166896</v>
          </cell>
          <cell r="T46">
            <v>62977584</v>
          </cell>
          <cell r="AF46">
            <v>57844392</v>
          </cell>
          <cell r="AZ46">
            <v>56224056</v>
          </cell>
          <cell r="BT46">
            <v>49185756</v>
          </cell>
        </row>
        <row r="81">
          <cell r="B81">
            <v>1235655.75</v>
          </cell>
          <cell r="F81">
            <v>1287487</v>
          </cell>
          <cell r="L81">
            <v>1362694.75</v>
          </cell>
          <cell r="T81">
            <v>1449304.75</v>
          </cell>
          <cell r="AF81">
            <v>1540962</v>
          </cell>
          <cell r="AZ81">
            <v>1594925.75</v>
          </cell>
          <cell r="BT81">
            <v>1558875</v>
          </cell>
        </row>
        <row r="82">
          <cell r="B82">
            <v>1016967</v>
          </cell>
          <cell r="F82">
            <v>1090713.25</v>
          </cell>
          <cell r="L82">
            <v>1149795.25</v>
          </cell>
          <cell r="T82">
            <v>1195259.25</v>
          </cell>
          <cell r="AF82">
            <v>1249385.75</v>
          </cell>
          <cell r="AZ82">
            <v>1320374.6299999999</v>
          </cell>
          <cell r="BT82">
            <v>1350356.25</v>
          </cell>
        </row>
        <row r="83">
          <cell r="B83">
            <v>1202378.6299999999</v>
          </cell>
          <cell r="F83">
            <v>1239215.5</v>
          </cell>
          <cell r="L83">
            <v>1300285.5</v>
          </cell>
          <cell r="T83">
            <v>1373785</v>
          </cell>
          <cell r="AF83">
            <v>1460668.63</v>
          </cell>
          <cell r="AZ83">
            <v>1558245.13</v>
          </cell>
          <cell r="BT83">
            <v>1611958.13</v>
          </cell>
        </row>
        <row r="84">
          <cell r="B84">
            <v>1169330.1299999999</v>
          </cell>
          <cell r="F84">
            <v>1181534.6299999999</v>
          </cell>
          <cell r="L84">
            <v>1208223.25</v>
          </cell>
          <cell r="T84">
            <v>1254873.5</v>
          </cell>
          <cell r="AF84">
            <v>1335173</v>
          </cell>
          <cell r="AZ84">
            <v>1461163</v>
          </cell>
          <cell r="BT84">
            <v>1554407.13</v>
          </cell>
        </row>
        <row r="85">
          <cell r="B85">
            <v>666817.06000000006</v>
          </cell>
          <cell r="F85">
            <v>722470.88</v>
          </cell>
          <cell r="L85">
            <v>796167.5</v>
          </cell>
          <cell r="T85">
            <v>881900.69</v>
          </cell>
          <cell r="AF85">
            <v>995647.44</v>
          </cell>
          <cell r="AZ85">
            <v>1162180</v>
          </cell>
          <cell r="BT85">
            <v>1299211.5</v>
          </cell>
        </row>
        <row r="86">
          <cell r="B86">
            <v>217962.97</v>
          </cell>
          <cell r="F86">
            <v>270157.28000000003</v>
          </cell>
          <cell r="L86">
            <v>345999.5</v>
          </cell>
          <cell r="T86">
            <v>440749.78</v>
          </cell>
          <cell r="AF86">
            <v>573947.5</v>
          </cell>
          <cell r="AZ86">
            <v>795859.13</v>
          </cell>
          <cell r="BT86">
            <v>1027042.81</v>
          </cell>
        </row>
        <row r="103">
          <cell r="B103">
            <v>1192173</v>
          </cell>
          <cell r="F103">
            <v>1235804.5</v>
          </cell>
          <cell r="L103">
            <v>1299149.3799999999</v>
          </cell>
          <cell r="T103">
            <v>1381075.38</v>
          </cell>
          <cell r="AF103">
            <v>1505603.63</v>
          </cell>
          <cell r="AZ103">
            <v>1710023.38</v>
          </cell>
          <cell r="BT103">
            <v>1900408.13</v>
          </cell>
        </row>
        <row r="104">
          <cell r="B104">
            <v>2847837</v>
          </cell>
          <cell r="F104">
            <v>3003417.25</v>
          </cell>
          <cell r="L104">
            <v>3203802.25</v>
          </cell>
          <cell r="T104">
            <v>3432609.75</v>
          </cell>
          <cell r="AF104">
            <v>3726313.25</v>
          </cell>
          <cell r="AZ104">
            <v>4133711.75</v>
          </cell>
          <cell r="BT104">
            <v>4440103</v>
          </cell>
        </row>
        <row r="105">
          <cell r="B105">
            <v>1469099.88</v>
          </cell>
          <cell r="F105">
            <v>1552352.88</v>
          </cell>
          <cell r="L105">
            <v>1660216.25</v>
          </cell>
          <cell r="T105">
            <v>1782187.25</v>
          </cell>
          <cell r="AF105">
            <v>1923863.75</v>
          </cell>
          <cell r="AZ105">
            <v>2049012.75</v>
          </cell>
          <cell r="BT105">
            <v>2061338.38</v>
          </cell>
        </row>
        <row r="106">
          <cell r="B106">
            <v>2923941.5</v>
          </cell>
          <cell r="F106">
            <v>3063293.25</v>
          </cell>
          <cell r="L106">
            <v>3225541</v>
          </cell>
          <cell r="T106">
            <v>3388204.5</v>
          </cell>
          <cell r="AF106">
            <v>3573530</v>
          </cell>
          <cell r="AZ106">
            <v>3787163.5</v>
          </cell>
          <cell r="BT106">
            <v>3896823</v>
          </cell>
        </row>
        <row r="107">
          <cell r="B107">
            <v>2585170.5</v>
          </cell>
          <cell r="F107">
            <v>2728285</v>
          </cell>
          <cell r="L107">
            <v>2937626.25</v>
          </cell>
          <cell r="T107">
            <v>3207662.25</v>
          </cell>
          <cell r="AF107">
            <v>3582250</v>
          </cell>
          <cell r="AZ107">
            <v>4105585</v>
          </cell>
          <cell r="BT107">
            <v>4505030.5</v>
          </cell>
        </row>
      </sheetData>
      <sheetData sheetId="6">
        <row r="33">
          <cell r="B33">
            <v>6719973</v>
          </cell>
          <cell r="F33">
            <v>7085410</v>
          </cell>
          <cell r="L33">
            <v>7404117</v>
          </cell>
          <cell r="T33">
            <v>7747679</v>
          </cell>
          <cell r="AF33">
            <v>8269462</v>
          </cell>
          <cell r="AZ33">
            <v>9034207</v>
          </cell>
        </row>
        <row r="34">
          <cell r="B34">
            <v>12517561</v>
          </cell>
          <cell r="F34">
            <v>12780796</v>
          </cell>
          <cell r="L34">
            <v>13287174</v>
          </cell>
          <cell r="T34">
            <v>14163775</v>
          </cell>
          <cell r="AF34">
            <v>15550811</v>
          </cell>
          <cell r="AZ34">
            <v>17795642</v>
          </cell>
          <cell r="BT34">
            <v>0</v>
          </cell>
        </row>
        <row r="35">
          <cell r="B35">
            <v>5056511</v>
          </cell>
          <cell r="F35">
            <v>5339093</v>
          </cell>
          <cell r="L35">
            <v>5596786</v>
          </cell>
          <cell r="T35">
            <v>5867214</v>
          </cell>
          <cell r="AF35">
            <v>6273071</v>
          </cell>
          <cell r="AZ35">
            <v>6828353</v>
          </cell>
        </row>
        <row r="36">
          <cell r="B36">
            <v>1128054</v>
          </cell>
          <cell r="F36">
            <v>1175291</v>
          </cell>
          <cell r="L36">
            <v>1214536</v>
          </cell>
          <cell r="T36">
            <v>1264822</v>
          </cell>
          <cell r="AF36">
            <v>1347992</v>
          </cell>
          <cell r="AZ36">
            <v>1471719</v>
          </cell>
        </row>
        <row r="37">
          <cell r="B37">
            <v>179552</v>
          </cell>
          <cell r="F37">
            <v>192918</v>
          </cell>
          <cell r="L37">
            <v>198599</v>
          </cell>
          <cell r="T37">
            <v>205579</v>
          </cell>
          <cell r="AF37">
            <v>213422</v>
          </cell>
          <cell r="AZ37">
            <v>258864</v>
          </cell>
        </row>
        <row r="38">
          <cell r="B38">
            <v>355856</v>
          </cell>
          <cell r="F38">
            <v>378108</v>
          </cell>
          <cell r="L38">
            <v>394196</v>
          </cell>
          <cell r="T38">
            <v>410064</v>
          </cell>
          <cell r="AF38">
            <v>434977</v>
          </cell>
          <cell r="AZ38">
            <v>475271</v>
          </cell>
        </row>
        <row r="42">
          <cell r="B42">
            <v>4699398</v>
          </cell>
          <cell r="F42">
            <v>4882344</v>
          </cell>
          <cell r="L42">
            <v>5159644</v>
          </cell>
          <cell r="T42">
            <v>5526111</v>
          </cell>
          <cell r="AF42">
            <v>6066518</v>
          </cell>
          <cell r="AZ42">
            <v>6864398</v>
          </cell>
        </row>
        <row r="43">
          <cell r="B43">
            <v>6114477</v>
          </cell>
          <cell r="F43">
            <v>6176842</v>
          </cell>
          <cell r="L43">
            <v>6374701</v>
          </cell>
          <cell r="T43">
            <v>6798167</v>
          </cell>
          <cell r="AF43">
            <v>7479242</v>
          </cell>
          <cell r="AZ43">
            <v>8602427</v>
          </cell>
        </row>
        <row r="44">
          <cell r="B44">
            <v>1094758</v>
          </cell>
          <cell r="F44">
            <v>1104378</v>
          </cell>
          <cell r="L44">
            <v>1117289</v>
          </cell>
          <cell r="T44">
            <v>1160879</v>
          </cell>
          <cell r="AF44">
            <v>1262886</v>
          </cell>
          <cell r="AZ44">
            <v>1463745</v>
          </cell>
        </row>
        <row r="45">
          <cell r="B45">
            <v>608928</v>
          </cell>
          <cell r="F45">
            <v>617232</v>
          </cell>
          <cell r="L45">
            <v>635540</v>
          </cell>
          <cell r="T45">
            <v>678618</v>
          </cell>
          <cell r="AF45">
            <v>742165</v>
          </cell>
          <cell r="AZ45">
            <v>865072</v>
          </cell>
        </row>
        <row r="81">
          <cell r="B81">
            <v>1235655.75</v>
          </cell>
          <cell r="F81">
            <v>1239182</v>
          </cell>
          <cell r="L81">
            <v>1257537</v>
          </cell>
          <cell r="T81">
            <v>1307970</v>
          </cell>
          <cell r="AF81">
            <v>1427713</v>
          </cell>
          <cell r="AZ81">
            <v>1635503</v>
          </cell>
        </row>
        <row r="82">
          <cell r="B82">
            <v>1016967</v>
          </cell>
          <cell r="F82">
            <v>1043446</v>
          </cell>
          <cell r="L82">
            <v>1078926</v>
          </cell>
          <cell r="T82">
            <v>1129633</v>
          </cell>
          <cell r="AF82">
            <v>1149953</v>
          </cell>
          <cell r="AZ82">
            <v>1237121</v>
          </cell>
        </row>
        <row r="83">
          <cell r="B83">
            <v>1202378.6299999999</v>
          </cell>
          <cell r="F83">
            <v>1217358</v>
          </cell>
          <cell r="L83">
            <v>1269422</v>
          </cell>
          <cell r="T83">
            <v>1348370</v>
          </cell>
          <cell r="AF83">
            <v>1491386</v>
          </cell>
          <cell r="AZ83">
            <v>1622510</v>
          </cell>
        </row>
        <row r="84">
          <cell r="B84">
            <v>1169330.1299999999</v>
          </cell>
          <cell r="F84">
            <v>1219716</v>
          </cell>
          <cell r="L84">
            <v>1257485</v>
          </cell>
          <cell r="T84">
            <v>1301703</v>
          </cell>
          <cell r="AF84">
            <v>1354485</v>
          </cell>
          <cell r="AZ84">
            <v>1544285</v>
          </cell>
        </row>
        <row r="85">
          <cell r="B85">
            <v>666817.06000000006</v>
          </cell>
          <cell r="F85">
            <v>722935</v>
          </cell>
          <cell r="L85">
            <v>807933</v>
          </cell>
          <cell r="T85">
            <v>901584</v>
          </cell>
          <cell r="AF85">
            <v>1037483</v>
          </cell>
          <cell r="AZ85">
            <v>1150349</v>
          </cell>
        </row>
        <row r="86">
          <cell r="B86">
            <v>217962.97</v>
          </cell>
          <cell r="F86">
            <v>241058</v>
          </cell>
          <cell r="L86">
            <v>285202</v>
          </cell>
          <cell r="T86">
            <v>370338</v>
          </cell>
          <cell r="AF86">
            <v>500253</v>
          </cell>
          <cell r="AZ86">
            <v>747798</v>
          </cell>
        </row>
        <row r="103">
          <cell r="B103">
            <v>1192173</v>
          </cell>
          <cell r="F103">
            <v>1208993</v>
          </cell>
          <cell r="L103">
            <v>1253308</v>
          </cell>
          <cell r="T103">
            <v>1333829</v>
          </cell>
          <cell r="AF103">
            <v>1459051</v>
          </cell>
          <cell r="AZ103">
            <v>1696896</v>
          </cell>
        </row>
        <row r="104">
          <cell r="B104">
            <v>2847837</v>
          </cell>
          <cell r="F104">
            <v>2956294</v>
          </cell>
          <cell r="L104">
            <v>3108706</v>
          </cell>
          <cell r="T104">
            <v>3317936</v>
          </cell>
          <cell r="AF104">
            <v>3632103</v>
          </cell>
          <cell r="AZ104">
            <v>4116887</v>
          </cell>
        </row>
        <row r="105">
          <cell r="B105">
            <v>1469099.88</v>
          </cell>
          <cell r="F105">
            <v>1518408</v>
          </cell>
          <cell r="L105">
            <v>1594491</v>
          </cell>
          <cell r="T105">
            <v>1707833</v>
          </cell>
          <cell r="AF105">
            <v>1870119</v>
          </cell>
          <cell r="AZ105">
            <v>2123783</v>
          </cell>
        </row>
        <row r="106">
          <cell r="B106">
            <v>2923941.5</v>
          </cell>
          <cell r="F106">
            <v>2944337</v>
          </cell>
          <cell r="L106">
            <v>3089249</v>
          </cell>
          <cell r="T106">
            <v>3244289</v>
          </cell>
          <cell r="AF106">
            <v>3472478</v>
          </cell>
          <cell r="AZ106">
            <v>3796780</v>
          </cell>
        </row>
        <row r="107">
          <cell r="B107">
            <v>2585170.5</v>
          </cell>
          <cell r="F107">
            <v>2739358</v>
          </cell>
          <cell r="L107">
            <v>2867256</v>
          </cell>
          <cell r="T107">
            <v>3115309</v>
          </cell>
          <cell r="AF107">
            <v>3488795</v>
          </cell>
          <cell r="AZ107">
            <v>4140786</v>
          </cell>
        </row>
        <row r="1507">
          <cell r="B1507">
            <v>5509877</v>
          </cell>
          <cell r="F1507">
            <v>5682286</v>
          </cell>
          <cell r="L1507">
            <v>5953437</v>
          </cell>
          <cell r="T1507">
            <v>6355414</v>
          </cell>
          <cell r="AF1507">
            <v>6955866</v>
          </cell>
          <cell r="AZ1507">
            <v>7935581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tion reports"/>
      <sheetName val="Simulation Charts"/>
      <sheetName val="Momentum"/>
      <sheetName val="Tech_Triumphs"/>
      <sheetName val="Gentle_Footprint"/>
      <sheetName val="Global_Chaos"/>
      <sheetName val="ABM"/>
      <sheetName val="Sheet9"/>
      <sheetName val="Sheet10"/>
    </sheetNames>
    <sheetDataSet>
      <sheetData sheetId="0"/>
      <sheetData sheetId="1"/>
      <sheetData sheetId="2">
        <row r="1">
          <cell r="B1">
            <v>2000</v>
          </cell>
        </row>
      </sheetData>
      <sheetData sheetId="3"/>
      <sheetData sheetId="4"/>
      <sheetData sheetId="5"/>
      <sheetData sheetId="6"/>
      <sheetData sheetId="7">
        <row r="3">
          <cell r="C3">
            <v>2015</v>
          </cell>
        </row>
        <row r="8">
          <cell r="C8">
            <v>2017</v>
          </cell>
        </row>
        <row r="13">
          <cell r="C13">
            <v>2020</v>
          </cell>
        </row>
        <row r="18">
          <cell r="C18">
            <v>2024</v>
          </cell>
        </row>
        <row r="23">
          <cell r="C23">
            <v>2030</v>
          </cell>
        </row>
        <row r="28">
          <cell r="C28">
            <v>2040</v>
          </cell>
        </row>
        <row r="33">
          <cell r="C33">
            <v>2050</v>
          </cell>
        </row>
      </sheetData>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AH38"/>
  <sheetViews>
    <sheetView zoomScale="90" zoomScaleNormal="90" workbookViewId="0"/>
  </sheetViews>
  <sheetFormatPr defaultRowHeight="15" x14ac:dyDescent="0.25"/>
  <cols>
    <col min="1" max="1" width="1.42578125" style="105" customWidth="1"/>
    <col min="2" max="2" width="51.28515625" style="105" customWidth="1"/>
    <col min="3" max="3" width="1.28515625" style="105" customWidth="1"/>
    <col min="4" max="4" width="2.28515625" style="105" customWidth="1"/>
    <col min="5" max="5" width="42.7109375" style="107" customWidth="1"/>
    <col min="6" max="6" width="19.85546875" style="107" customWidth="1"/>
    <col min="7" max="7" width="14" style="105" customWidth="1"/>
    <col min="8" max="8" width="22.28515625" style="105" customWidth="1"/>
    <col min="9" max="9" width="9.140625" style="105"/>
    <col min="10" max="10" width="9.140625" style="257"/>
    <col min="11" max="11" width="5.42578125" style="257" customWidth="1"/>
    <col min="12" max="12" width="15.85546875" style="105" hidden="1" customWidth="1"/>
    <col min="13" max="13" width="5.42578125" style="257" customWidth="1"/>
    <col min="14" max="34" width="9.140625" style="257"/>
    <col min="35" max="16384" width="9.140625" style="105"/>
  </cols>
  <sheetData>
    <row r="1" spans="2:34" ht="6.75" customHeight="1" x14ac:dyDescent="0.25"/>
    <row r="2" spans="2:34" ht="4.5" customHeight="1" x14ac:dyDescent="0.25"/>
    <row r="3" spans="2:34" ht="72.75" customHeight="1" x14ac:dyDescent="0.25">
      <c r="E3" s="105"/>
      <c r="F3" s="105"/>
      <c r="I3" s="111"/>
    </row>
    <row r="4" spans="2:34" ht="6.75" customHeight="1" x14ac:dyDescent="0.25">
      <c r="E4" s="105"/>
      <c r="F4" s="105"/>
      <c r="I4" s="111"/>
    </row>
    <row r="5" spans="2:34" ht="21" customHeight="1" x14ac:dyDescent="0.3">
      <c r="E5" s="120" t="s">
        <v>500</v>
      </c>
      <c r="F5" s="473" t="s">
        <v>501</v>
      </c>
      <c r="G5" s="473"/>
      <c r="H5" s="473"/>
      <c r="I5" s="111"/>
      <c r="L5" s="257" t="s">
        <v>219</v>
      </c>
    </row>
    <row r="6" spans="2:34" s="106" customFormat="1" ht="17.25" customHeight="1" x14ac:dyDescent="0.25">
      <c r="C6" s="105"/>
      <c r="E6" s="118" t="s">
        <v>493</v>
      </c>
      <c r="F6" s="476" t="s">
        <v>644</v>
      </c>
      <c r="G6" s="476"/>
      <c r="H6" s="114"/>
      <c r="I6" s="114"/>
      <c r="J6" s="258"/>
      <c r="K6" s="258"/>
      <c r="L6" s="258" t="s">
        <v>37</v>
      </c>
      <c r="M6" s="258"/>
      <c r="N6" s="258"/>
      <c r="O6" s="258"/>
      <c r="P6" s="258"/>
      <c r="Q6" s="258"/>
      <c r="R6" s="258"/>
      <c r="S6" s="258"/>
      <c r="T6" s="258"/>
      <c r="U6" s="258"/>
      <c r="V6" s="258"/>
      <c r="W6" s="258"/>
      <c r="X6" s="258"/>
      <c r="Y6" s="258"/>
      <c r="Z6" s="258"/>
      <c r="AA6" s="258"/>
      <c r="AB6" s="258"/>
      <c r="AC6" s="258"/>
      <c r="AD6" s="258"/>
      <c r="AE6" s="258"/>
      <c r="AF6" s="258"/>
      <c r="AG6" s="258"/>
      <c r="AH6" s="258"/>
    </row>
    <row r="7" spans="2:34" ht="17.25" customHeight="1" x14ac:dyDescent="0.35">
      <c r="B7" s="106"/>
      <c r="E7" s="174" t="s">
        <v>519</v>
      </c>
      <c r="F7" s="476"/>
      <c r="G7" s="476"/>
      <c r="H7" s="121">
        <f>L12-1</f>
        <v>1</v>
      </c>
      <c r="I7" s="111"/>
      <c r="L7" s="257" t="s">
        <v>38</v>
      </c>
    </row>
    <row r="8" spans="2:34" ht="17.25" customHeight="1" x14ac:dyDescent="0.35">
      <c r="B8" s="106"/>
      <c r="E8" s="118" t="s">
        <v>494</v>
      </c>
      <c r="F8" s="115"/>
      <c r="G8" s="111"/>
      <c r="H8" s="121"/>
      <c r="I8" s="111"/>
      <c r="L8" s="257" t="s">
        <v>39</v>
      </c>
    </row>
    <row r="9" spans="2:34" ht="17.25" customHeight="1" x14ac:dyDescent="0.35">
      <c r="B9" s="106"/>
      <c r="E9" s="119" t="s">
        <v>495</v>
      </c>
      <c r="F9" s="477" t="s">
        <v>645</v>
      </c>
      <c r="G9" s="476"/>
      <c r="H9" s="121"/>
      <c r="I9" s="111"/>
      <c r="L9" s="257" t="s">
        <v>40</v>
      </c>
    </row>
    <row r="10" spans="2:34" ht="17.25" customHeight="1" x14ac:dyDescent="0.35">
      <c r="B10" s="106"/>
      <c r="E10" s="118" t="s">
        <v>496</v>
      </c>
      <c r="F10" s="476"/>
      <c r="G10" s="476"/>
      <c r="H10" s="121"/>
      <c r="I10" s="111"/>
      <c r="L10" s="257" t="s">
        <v>41</v>
      </c>
    </row>
    <row r="11" spans="2:34" ht="17.25" customHeight="1" x14ac:dyDescent="0.35">
      <c r="B11" s="109"/>
      <c r="E11" s="119" t="s">
        <v>497</v>
      </c>
      <c r="F11" s="476"/>
      <c r="G11" s="476"/>
      <c r="H11" s="121">
        <f>L18</f>
        <v>1</v>
      </c>
      <c r="I11" s="111"/>
      <c r="L11" s="259" t="s">
        <v>518</v>
      </c>
    </row>
    <row r="12" spans="2:34" ht="17.25" customHeight="1" x14ac:dyDescent="0.35">
      <c r="B12" s="109"/>
      <c r="E12" s="118" t="s">
        <v>498</v>
      </c>
      <c r="F12" s="115"/>
      <c r="G12" s="111"/>
      <c r="H12" s="121"/>
      <c r="I12" s="111"/>
      <c r="L12" s="260">
        <v>2</v>
      </c>
    </row>
    <row r="13" spans="2:34" ht="17.25" customHeight="1" thickBot="1" x14ac:dyDescent="0.4">
      <c r="B13" s="109"/>
      <c r="E13" s="118" t="s">
        <v>593</v>
      </c>
      <c r="F13" s="476" t="s">
        <v>646</v>
      </c>
      <c r="G13" s="476"/>
      <c r="H13" s="121"/>
      <c r="I13" s="111"/>
      <c r="L13" s="257" t="s">
        <v>515</v>
      </c>
    </row>
    <row r="14" spans="2:34" ht="17.25" customHeight="1" thickTop="1" thickBot="1" x14ac:dyDescent="0.3">
      <c r="B14" s="109"/>
      <c r="D14" s="110"/>
      <c r="E14" s="119" t="s">
        <v>499</v>
      </c>
      <c r="F14" s="476"/>
      <c r="G14" s="476"/>
      <c r="H14" s="261" t="s">
        <v>663</v>
      </c>
      <c r="I14" s="111"/>
      <c r="L14" s="257" t="s">
        <v>520</v>
      </c>
    </row>
    <row r="15" spans="2:34" ht="15.75" thickTop="1" x14ac:dyDescent="0.25">
      <c r="B15" s="109"/>
      <c r="D15" s="110"/>
      <c r="E15" s="119" t="s">
        <v>618</v>
      </c>
      <c r="F15" s="113"/>
      <c r="G15" s="111"/>
      <c r="H15" s="111"/>
      <c r="I15" s="111"/>
      <c r="L15" s="257" t="s">
        <v>516</v>
      </c>
    </row>
    <row r="16" spans="2:34" x14ac:dyDescent="0.25">
      <c r="B16" s="109"/>
      <c r="D16" s="110"/>
      <c r="E16" s="119" t="s">
        <v>619</v>
      </c>
      <c r="F16" s="105"/>
      <c r="H16" s="111"/>
      <c r="I16" s="111"/>
      <c r="L16" s="257" t="s">
        <v>517</v>
      </c>
    </row>
    <row r="17" spans="2:12" x14ac:dyDescent="0.25">
      <c r="B17" s="109"/>
      <c r="D17" s="110"/>
      <c r="E17" s="105"/>
      <c r="F17" s="105"/>
      <c r="H17" s="111"/>
      <c r="I17" s="111"/>
      <c r="L17" s="259" t="s">
        <v>518</v>
      </c>
    </row>
    <row r="18" spans="2:12" x14ac:dyDescent="0.25">
      <c r="B18" s="109"/>
      <c r="D18" s="110"/>
      <c r="E18" s="112"/>
      <c r="F18" s="112"/>
      <c r="G18" s="111"/>
      <c r="H18" s="111"/>
      <c r="I18" s="111"/>
      <c r="L18" s="260">
        <v>1</v>
      </c>
    </row>
    <row r="19" spans="2:12" x14ac:dyDescent="0.25">
      <c r="B19" s="109"/>
      <c r="D19" s="110"/>
      <c r="E19" s="230"/>
      <c r="F19" s="112"/>
      <c r="G19" s="111"/>
      <c r="H19" s="111"/>
      <c r="I19" s="111"/>
    </row>
    <row r="20" spans="2:12" x14ac:dyDescent="0.25">
      <c r="B20" s="109"/>
      <c r="D20" s="110"/>
      <c r="E20" s="112"/>
      <c r="F20" s="112"/>
      <c r="G20" s="111"/>
      <c r="H20" s="111"/>
      <c r="I20" s="111"/>
    </row>
    <row r="21" spans="2:12" x14ac:dyDescent="0.25">
      <c r="B21" s="109"/>
      <c r="D21" s="110"/>
      <c r="E21" s="112"/>
      <c r="F21" s="112"/>
      <c r="G21" s="111"/>
      <c r="H21" s="111"/>
      <c r="I21" s="111"/>
    </row>
    <row r="22" spans="2:12" ht="21.75" customHeight="1" x14ac:dyDescent="0.35">
      <c r="B22" s="109"/>
      <c r="D22" s="110"/>
      <c r="E22" s="475" t="s">
        <v>502</v>
      </c>
      <c r="F22" s="475"/>
      <c r="G22" s="475"/>
      <c r="H22" s="475"/>
      <c r="I22" s="111"/>
    </row>
    <row r="23" spans="2:12" ht="32.25" customHeight="1" x14ac:dyDescent="0.25">
      <c r="B23" s="122"/>
      <c r="E23" s="474" t="s">
        <v>345</v>
      </c>
      <c r="F23" s="474"/>
      <c r="G23" s="474"/>
      <c r="H23" s="474"/>
    </row>
    <row r="24" spans="2:12" ht="45.75" customHeight="1" x14ac:dyDescent="0.35">
      <c r="B24" s="122"/>
      <c r="E24" s="474" t="s">
        <v>647</v>
      </c>
      <c r="F24" s="474"/>
      <c r="G24" s="474"/>
      <c r="H24" s="474"/>
      <c r="I24" s="117"/>
    </row>
    <row r="25" spans="2:12" ht="34.5" customHeight="1" x14ac:dyDescent="0.25">
      <c r="B25" s="109"/>
      <c r="E25" s="474" t="s">
        <v>648</v>
      </c>
      <c r="F25" s="474"/>
      <c r="G25" s="474"/>
      <c r="H25" s="474"/>
    </row>
    <row r="26" spans="2:12" ht="33" customHeight="1" x14ac:dyDescent="0.25">
      <c r="B26" s="109"/>
      <c r="E26" s="474" t="s">
        <v>643</v>
      </c>
      <c r="F26" s="474"/>
      <c r="G26" s="474"/>
      <c r="H26" s="474"/>
    </row>
    <row r="27" spans="2:12" ht="31.5" customHeight="1" x14ac:dyDescent="0.25">
      <c r="B27" s="109"/>
      <c r="E27" s="474" t="s">
        <v>346</v>
      </c>
      <c r="F27" s="474"/>
      <c r="G27" s="474"/>
      <c r="H27" s="474"/>
    </row>
    <row r="28" spans="2:12" ht="42.75" customHeight="1" x14ac:dyDescent="0.25">
      <c r="B28" s="109"/>
      <c r="E28" s="474" t="s">
        <v>655</v>
      </c>
      <c r="F28" s="474"/>
      <c r="G28" s="474"/>
      <c r="H28" s="474"/>
    </row>
    <row r="29" spans="2:12" ht="31.5" customHeight="1" x14ac:dyDescent="0.25">
      <c r="B29" s="109"/>
      <c r="E29" s="474" t="s">
        <v>649</v>
      </c>
      <c r="F29" s="474"/>
      <c r="G29" s="474"/>
      <c r="H29" s="474"/>
    </row>
    <row r="30" spans="2:12" ht="40.5" customHeight="1" x14ac:dyDescent="0.25">
      <c r="B30" s="109"/>
      <c r="E30" s="474" t="s">
        <v>650</v>
      </c>
      <c r="F30" s="474"/>
      <c r="G30" s="474"/>
      <c r="H30" s="474"/>
    </row>
    <row r="31" spans="2:12" ht="51.75" customHeight="1" x14ac:dyDescent="0.25">
      <c r="B31" s="109"/>
      <c r="E31" s="474" t="s">
        <v>651</v>
      </c>
      <c r="F31" s="474"/>
      <c r="G31" s="474"/>
      <c r="H31" s="474"/>
    </row>
    <row r="32" spans="2:12" ht="33.75" customHeight="1" x14ac:dyDescent="0.25">
      <c r="B32" s="109"/>
      <c r="E32" s="474" t="s">
        <v>652</v>
      </c>
      <c r="F32" s="474"/>
      <c r="G32" s="474"/>
      <c r="H32" s="474"/>
    </row>
    <row r="33" spans="2:8" ht="33.75" customHeight="1" x14ac:dyDescent="0.25">
      <c r="B33" s="109"/>
      <c r="E33" s="474" t="s">
        <v>347</v>
      </c>
      <c r="F33" s="474"/>
      <c r="G33" s="474"/>
      <c r="H33" s="474"/>
    </row>
    <row r="34" spans="2:8" ht="40.5" customHeight="1" x14ac:dyDescent="0.25">
      <c r="B34" s="109"/>
      <c r="E34" s="105"/>
      <c r="F34" s="105"/>
    </row>
    <row r="35" spans="2:8" ht="44.25" customHeight="1" x14ac:dyDescent="0.25">
      <c r="B35" s="109"/>
      <c r="E35" s="105"/>
      <c r="F35" s="105"/>
    </row>
    <row r="36" spans="2:8" ht="64.5" customHeight="1" x14ac:dyDescent="0.25">
      <c r="E36" s="105"/>
      <c r="F36" s="105"/>
    </row>
    <row r="37" spans="2:8" ht="39" customHeight="1" x14ac:dyDescent="0.25">
      <c r="E37" s="112"/>
      <c r="F37" s="112"/>
      <c r="G37" s="111"/>
      <c r="H37" s="111"/>
    </row>
    <row r="38" spans="2:8" ht="39" customHeight="1" x14ac:dyDescent="0.25"/>
  </sheetData>
  <sheetProtection sheet="1" objects="1" scenarios="1"/>
  <mergeCells count="16">
    <mergeCell ref="F5:H5"/>
    <mergeCell ref="E23:H23"/>
    <mergeCell ref="E22:H22"/>
    <mergeCell ref="E32:H32"/>
    <mergeCell ref="E33:H33"/>
    <mergeCell ref="F6:G7"/>
    <mergeCell ref="F9:G11"/>
    <mergeCell ref="E29:H29"/>
    <mergeCell ref="E30:H30"/>
    <mergeCell ref="E31:H31"/>
    <mergeCell ref="E24:H24"/>
    <mergeCell ref="E25:H25"/>
    <mergeCell ref="E26:H26"/>
    <mergeCell ref="E27:H27"/>
    <mergeCell ref="E28:H28"/>
    <mergeCell ref="F13:G14"/>
  </mergeCells>
  <hyperlinks>
    <hyperlink ref="E8" location="'Demographic initial values'!A1" display="View/edit Demographic sector initial values"/>
    <hyperlink ref="E12" location="'Demographic transition rates'!A1" display="View edit Demographic transition rates"/>
    <hyperlink ref="E7" location="'Scenario user inputs'!A1" display="View/edit Scenario user inputs"/>
    <hyperlink ref="E9" location="'Employment initial values'!A1" display="View/edit Employment sector initial values"/>
    <hyperlink ref="E10" location="'Land use initial values'!A1" display="View edit Land use sector initial values"/>
    <hyperlink ref="E11" location="'Transp. supply initial values'!A1" display="View/edit Transportation supply sector initial values"/>
    <hyperlink ref="E14" location="'Travel behavior models'!A1" display="View/edit Travel behavior model parameters"/>
    <hyperlink ref="E6" location="'Simulation reports'!A1" display="View/edit Simulation reports"/>
    <hyperlink ref="E13" location="'Demographic seed matrix'!A1" display="Demographic sector seed matrix"/>
    <hyperlink ref="E16" location="'Simulation reports'!A1" display="View latest scenario reports"/>
    <hyperlink ref="E15" location="'Simulation results'!A1" display="View latest detailed simulation results"/>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WriteInputFiles">
                <anchor moveWithCells="1">
                  <from>
                    <xdr:col>4</xdr:col>
                    <xdr:colOff>1695450</xdr:colOff>
                    <xdr:row>16</xdr:row>
                    <xdr:rowOff>161925</xdr:rowOff>
                  </from>
                  <to>
                    <xdr:col>5</xdr:col>
                    <xdr:colOff>1009650</xdr:colOff>
                    <xdr:row>18</xdr:row>
                    <xdr:rowOff>133350</xdr:rowOff>
                  </to>
                </anchor>
              </controlPr>
            </control>
          </mc:Choice>
        </mc:AlternateContent>
        <mc:AlternateContent xmlns:mc="http://schemas.openxmlformats.org/markup-compatibility/2006">
          <mc:Choice Requires="x14">
            <control shapeId="1026" r:id="rId5" name="Drop Down 2">
              <controlPr locked="0" defaultSize="0" autoLine="0" autoPict="0">
                <anchor moveWithCells="1">
                  <from>
                    <xdr:col>7</xdr:col>
                    <xdr:colOff>19050</xdr:colOff>
                    <xdr:row>5</xdr:row>
                    <xdr:rowOff>171450</xdr:rowOff>
                  </from>
                  <to>
                    <xdr:col>7</xdr:col>
                    <xdr:colOff>1343025</xdr:colOff>
                    <xdr:row>6</xdr:row>
                    <xdr:rowOff>209550</xdr:rowOff>
                  </to>
                </anchor>
              </controlPr>
            </control>
          </mc:Choice>
        </mc:AlternateContent>
        <mc:AlternateContent xmlns:mc="http://schemas.openxmlformats.org/markup-compatibility/2006">
          <mc:Choice Requires="x14">
            <control shapeId="1027" r:id="rId6" name="Drop Down 3">
              <controlPr defaultSize="0" autoLine="0" autoPict="0">
                <anchor moveWithCells="1">
                  <from>
                    <xdr:col>7</xdr:col>
                    <xdr:colOff>19050</xdr:colOff>
                    <xdr:row>9</xdr:row>
                    <xdr:rowOff>180975</xdr:rowOff>
                  </from>
                  <to>
                    <xdr:col>7</xdr:col>
                    <xdr:colOff>1323975</xdr:colOff>
                    <xdr:row>10</xdr:row>
                    <xdr:rowOff>209550</xdr:rowOff>
                  </to>
                </anchor>
              </controlPr>
            </control>
          </mc:Choice>
        </mc:AlternateContent>
        <mc:AlternateContent xmlns:mc="http://schemas.openxmlformats.org/markup-compatibility/2006">
          <mc:Choice Requires="x14">
            <control shapeId="2" r:id="rId7" name="Drop Down 4">
              <controlPr defaultSize="0" autoLine="0" autoPict="0" macro="[0]!ScenarioSelect">
                <anchor moveWithCells="1">
                  <from>
                    <xdr:col>4</xdr:col>
                    <xdr:colOff>1400175</xdr:colOff>
                    <xdr:row>6</xdr:row>
                    <xdr:rowOff>47625</xdr:rowOff>
                  </from>
                  <to>
                    <xdr:col>4</xdr:col>
                    <xdr:colOff>2638425</xdr:colOff>
                    <xdr:row>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J253"/>
  <sheetViews>
    <sheetView zoomScale="90" zoomScaleNormal="90" workbookViewId="0">
      <pane xSplit="1" ySplit="3" topLeftCell="B4" activePane="bottomRight" state="frozen"/>
      <selection pane="topRight" activeCell="B1" sqref="B1"/>
      <selection pane="bottomLeft" activeCell="A4" sqref="A4"/>
      <selection pane="bottomRight" activeCell="J40" sqref="J40"/>
    </sheetView>
  </sheetViews>
  <sheetFormatPr defaultRowHeight="15" x14ac:dyDescent="0.25"/>
  <cols>
    <col min="1" max="1" width="48.5703125" style="367" customWidth="1"/>
    <col min="2" max="12" width="5.7109375" style="277" customWidth="1"/>
    <col min="13" max="13" width="5.85546875" style="257" customWidth="1"/>
    <col min="14" max="14" width="7.42578125" style="257" customWidth="1"/>
    <col min="15" max="36" width="9.140625" style="257"/>
    <col min="37" max="16384" width="9.140625" style="277"/>
  </cols>
  <sheetData>
    <row r="1" spans="1:36" ht="22.5" customHeight="1" x14ac:dyDescent="0.25">
      <c r="A1" s="392" t="s">
        <v>34</v>
      </c>
      <c r="B1" s="376" t="s">
        <v>485</v>
      </c>
      <c r="C1" s="257"/>
      <c r="D1" s="257"/>
      <c r="E1" s="257"/>
      <c r="F1" s="257"/>
      <c r="G1" s="257"/>
      <c r="H1" s="257"/>
      <c r="I1" s="257"/>
      <c r="J1" s="257"/>
      <c r="K1" s="257"/>
      <c r="L1" s="257"/>
    </row>
    <row r="2" spans="1:36" s="337" customFormat="1" x14ac:dyDescent="0.25">
      <c r="A2" s="393" t="s">
        <v>391</v>
      </c>
      <c r="B2" s="377">
        <v>2015</v>
      </c>
      <c r="C2" s="377">
        <v>2020</v>
      </c>
      <c r="D2" s="377">
        <v>2025</v>
      </c>
      <c r="E2" s="377">
        <v>2030</v>
      </c>
      <c r="F2" s="377">
        <v>2035</v>
      </c>
      <c r="G2" s="377">
        <v>2040</v>
      </c>
      <c r="H2" s="377">
        <v>2045</v>
      </c>
      <c r="I2" s="377">
        <v>2050</v>
      </c>
      <c r="J2" s="377">
        <v>2055</v>
      </c>
      <c r="K2" s="377">
        <v>2060</v>
      </c>
      <c r="L2" s="378">
        <v>2065</v>
      </c>
      <c r="M2" s="344"/>
      <c r="N2" s="344"/>
      <c r="O2" s="344"/>
      <c r="P2" s="344"/>
      <c r="Q2" s="344"/>
      <c r="R2" s="344"/>
      <c r="S2" s="344"/>
      <c r="T2" s="344"/>
      <c r="U2" s="344"/>
      <c r="V2" s="344"/>
      <c r="W2" s="344"/>
      <c r="X2" s="344"/>
      <c r="Y2" s="344"/>
      <c r="Z2" s="344"/>
      <c r="AA2" s="344"/>
      <c r="AB2" s="344"/>
      <c r="AC2" s="344"/>
      <c r="AD2" s="344"/>
      <c r="AE2" s="344"/>
      <c r="AF2" s="344"/>
      <c r="AG2" s="344"/>
      <c r="AH2" s="344"/>
      <c r="AI2" s="344"/>
      <c r="AJ2" s="344"/>
    </row>
    <row r="3" spans="1:36" s="337" customFormat="1" x14ac:dyDescent="0.25">
      <c r="A3" s="394" t="s">
        <v>337</v>
      </c>
      <c r="B3" s="379"/>
      <c r="C3" s="379"/>
      <c r="D3" s="379"/>
      <c r="E3" s="379"/>
      <c r="F3" s="379"/>
      <c r="G3" s="379"/>
      <c r="H3" s="379"/>
      <c r="I3" s="379"/>
      <c r="J3" s="379"/>
      <c r="K3" s="379"/>
      <c r="L3" s="380"/>
      <c r="M3" s="344"/>
      <c r="N3" s="344"/>
      <c r="O3" s="344"/>
      <c r="P3" s="344"/>
      <c r="Q3" s="344"/>
      <c r="R3" s="344"/>
      <c r="S3" s="344"/>
      <c r="T3" s="344"/>
      <c r="U3" s="344"/>
      <c r="V3" s="344"/>
      <c r="W3" s="344"/>
      <c r="X3" s="344"/>
      <c r="Y3" s="344"/>
      <c r="Z3" s="344"/>
      <c r="AA3" s="344"/>
      <c r="AB3" s="344"/>
      <c r="AC3" s="344"/>
      <c r="AD3" s="344"/>
      <c r="AE3" s="344"/>
      <c r="AF3" s="344"/>
      <c r="AG3" s="344"/>
      <c r="AH3" s="344"/>
      <c r="AI3" s="344"/>
      <c r="AJ3" s="344"/>
    </row>
    <row r="4" spans="1:36" x14ac:dyDescent="0.25">
      <c r="A4" s="395" t="s">
        <v>385</v>
      </c>
      <c r="B4" s="262">
        <v>1</v>
      </c>
      <c r="C4" s="262">
        <v>1</v>
      </c>
      <c r="D4" s="262">
        <v>1</v>
      </c>
      <c r="E4" s="262">
        <v>0.95</v>
      </c>
      <c r="F4" s="262">
        <v>0.95</v>
      </c>
      <c r="G4" s="262">
        <v>0.95</v>
      </c>
      <c r="H4" s="262">
        <v>0.9</v>
      </c>
      <c r="I4" s="459">
        <v>0.9</v>
      </c>
      <c r="J4" s="262">
        <v>0.9</v>
      </c>
      <c r="K4" s="262">
        <v>0.85</v>
      </c>
      <c r="L4" s="265">
        <v>0.85</v>
      </c>
    </row>
    <row r="5" spans="1:36" x14ac:dyDescent="0.25">
      <c r="A5" s="396" t="s">
        <v>386</v>
      </c>
      <c r="B5" s="262">
        <v>1</v>
      </c>
      <c r="C5" s="262">
        <v>1</v>
      </c>
      <c r="D5" s="262">
        <v>1</v>
      </c>
      <c r="E5" s="262">
        <v>0.95</v>
      </c>
      <c r="F5" s="262">
        <v>0.95</v>
      </c>
      <c r="G5" s="262">
        <v>0.95</v>
      </c>
      <c r="H5" s="262">
        <v>0.9</v>
      </c>
      <c r="I5" s="459">
        <v>0.9</v>
      </c>
      <c r="J5" s="262">
        <v>0.9</v>
      </c>
      <c r="K5" s="262">
        <v>0.85</v>
      </c>
      <c r="L5" s="265">
        <v>0.85</v>
      </c>
    </row>
    <row r="6" spans="1:36" x14ac:dyDescent="0.25">
      <c r="A6" s="396" t="s">
        <v>383</v>
      </c>
      <c r="B6" s="262">
        <v>1</v>
      </c>
      <c r="C6" s="262">
        <v>1</v>
      </c>
      <c r="D6" s="262">
        <v>1</v>
      </c>
      <c r="E6" s="262">
        <v>0.95</v>
      </c>
      <c r="F6" s="262">
        <v>0.95</v>
      </c>
      <c r="G6" s="262">
        <v>0.95</v>
      </c>
      <c r="H6" s="262">
        <v>0.9</v>
      </c>
      <c r="I6" s="459">
        <v>0.9</v>
      </c>
      <c r="J6" s="262">
        <v>0.9</v>
      </c>
      <c r="K6" s="262">
        <v>0.85</v>
      </c>
      <c r="L6" s="265">
        <v>0.85</v>
      </c>
    </row>
    <row r="7" spans="1:36" x14ac:dyDescent="0.25">
      <c r="A7" s="396" t="s">
        <v>384</v>
      </c>
      <c r="B7" s="262">
        <v>1</v>
      </c>
      <c r="C7" s="262">
        <v>1</v>
      </c>
      <c r="D7" s="262">
        <v>1</v>
      </c>
      <c r="E7" s="262">
        <v>1</v>
      </c>
      <c r="F7" s="262">
        <v>1</v>
      </c>
      <c r="G7" s="262">
        <v>1</v>
      </c>
      <c r="H7" s="262">
        <v>1</v>
      </c>
      <c r="I7" s="459">
        <v>1</v>
      </c>
      <c r="J7" s="262">
        <v>1</v>
      </c>
      <c r="K7" s="262">
        <v>1</v>
      </c>
      <c r="L7" s="265">
        <v>1</v>
      </c>
    </row>
    <row r="8" spans="1:36" x14ac:dyDescent="0.25">
      <c r="A8" s="396" t="s">
        <v>387</v>
      </c>
      <c r="B8" s="262">
        <v>1</v>
      </c>
      <c r="C8" s="262">
        <v>1</v>
      </c>
      <c r="D8" s="262">
        <v>1</v>
      </c>
      <c r="E8" s="262">
        <v>1.05</v>
      </c>
      <c r="F8" s="262">
        <v>1.05</v>
      </c>
      <c r="G8" s="262">
        <v>1.05</v>
      </c>
      <c r="H8" s="262">
        <v>1.1000000000000001</v>
      </c>
      <c r="I8" s="459">
        <v>1.1000000000000001</v>
      </c>
      <c r="J8" s="262">
        <v>1.1000000000000001</v>
      </c>
      <c r="K8" s="262">
        <v>1.1499999999999999</v>
      </c>
      <c r="L8" s="265">
        <v>1.1499999999999999</v>
      </c>
    </row>
    <row r="9" spans="1:36" x14ac:dyDescent="0.25">
      <c r="A9" s="396" t="s">
        <v>483</v>
      </c>
      <c r="B9" s="262">
        <v>1</v>
      </c>
      <c r="C9" s="262">
        <v>1</v>
      </c>
      <c r="D9" s="262">
        <v>1</v>
      </c>
      <c r="E9" s="262">
        <v>0.95</v>
      </c>
      <c r="F9" s="262">
        <v>0.95</v>
      </c>
      <c r="G9" s="262">
        <v>0.95</v>
      </c>
      <c r="H9" s="262">
        <v>0.9</v>
      </c>
      <c r="I9" s="459">
        <v>0.9</v>
      </c>
      <c r="J9" s="262">
        <v>0.9</v>
      </c>
      <c r="K9" s="262">
        <v>0.85</v>
      </c>
      <c r="L9" s="265">
        <v>0.85</v>
      </c>
    </row>
    <row r="10" spans="1:36" x14ac:dyDescent="0.25">
      <c r="A10" s="396" t="s">
        <v>484</v>
      </c>
      <c r="B10" s="262">
        <v>1</v>
      </c>
      <c r="C10" s="262">
        <v>1</v>
      </c>
      <c r="D10" s="262">
        <v>1</v>
      </c>
      <c r="E10" s="262">
        <v>0.95</v>
      </c>
      <c r="F10" s="262">
        <v>0.95</v>
      </c>
      <c r="G10" s="262">
        <v>0.95</v>
      </c>
      <c r="H10" s="262">
        <v>0.9</v>
      </c>
      <c r="I10" s="459">
        <v>0.9</v>
      </c>
      <c r="J10" s="262">
        <v>0.9</v>
      </c>
      <c r="K10" s="262">
        <v>0.85</v>
      </c>
      <c r="L10" s="265">
        <v>0.85</v>
      </c>
    </row>
    <row r="11" spans="1:36" x14ac:dyDescent="0.25">
      <c r="A11" s="396" t="s">
        <v>486</v>
      </c>
      <c r="B11" s="262">
        <v>1</v>
      </c>
      <c r="C11" s="262">
        <v>1</v>
      </c>
      <c r="D11" s="262">
        <v>1</v>
      </c>
      <c r="E11" s="262">
        <v>0.95</v>
      </c>
      <c r="F11" s="262">
        <v>0.95</v>
      </c>
      <c r="G11" s="262">
        <v>0.95</v>
      </c>
      <c r="H11" s="262">
        <v>0.9</v>
      </c>
      <c r="I11" s="459">
        <v>0.9</v>
      </c>
      <c r="J11" s="262">
        <v>0.9</v>
      </c>
      <c r="K11" s="262">
        <v>0.85</v>
      </c>
      <c r="L11" s="265">
        <v>0.85</v>
      </c>
    </row>
    <row r="12" spans="1:36" x14ac:dyDescent="0.25">
      <c r="A12" s="396" t="s">
        <v>487</v>
      </c>
      <c r="B12" s="262">
        <v>1</v>
      </c>
      <c r="C12" s="262">
        <v>1</v>
      </c>
      <c r="D12" s="262">
        <v>1</v>
      </c>
      <c r="E12" s="262">
        <v>1.05</v>
      </c>
      <c r="F12" s="262">
        <v>1.05</v>
      </c>
      <c r="G12" s="262">
        <v>1.05</v>
      </c>
      <c r="H12" s="262">
        <v>1.1000000000000001</v>
      </c>
      <c r="I12" s="459">
        <v>1.1000000000000001</v>
      </c>
      <c r="J12" s="262">
        <v>1.1000000000000001</v>
      </c>
      <c r="K12" s="262">
        <v>1.1499999999999999</v>
      </c>
      <c r="L12" s="265">
        <v>1.1499999999999999</v>
      </c>
    </row>
    <row r="13" spans="1:36" x14ac:dyDescent="0.25">
      <c r="A13" s="396" t="s">
        <v>488</v>
      </c>
      <c r="B13" s="262">
        <v>1</v>
      </c>
      <c r="C13" s="262">
        <v>1</v>
      </c>
      <c r="D13" s="262">
        <v>1</v>
      </c>
      <c r="E13" s="262">
        <v>0.95</v>
      </c>
      <c r="F13" s="262">
        <v>0.95</v>
      </c>
      <c r="G13" s="262">
        <v>0.95</v>
      </c>
      <c r="H13" s="262">
        <v>0.9</v>
      </c>
      <c r="I13" s="459">
        <v>0.9</v>
      </c>
      <c r="J13" s="262">
        <v>0.9</v>
      </c>
      <c r="K13" s="262">
        <v>0.85</v>
      </c>
      <c r="L13" s="265">
        <v>0.85</v>
      </c>
    </row>
    <row r="14" spans="1:36" x14ac:dyDescent="0.25">
      <c r="A14" s="396" t="s">
        <v>489</v>
      </c>
      <c r="B14" s="262">
        <v>1</v>
      </c>
      <c r="C14" s="262">
        <v>1</v>
      </c>
      <c r="D14" s="262">
        <v>1</v>
      </c>
      <c r="E14" s="262">
        <v>1.05</v>
      </c>
      <c r="F14" s="262">
        <v>1.05</v>
      </c>
      <c r="G14" s="262">
        <v>1.05</v>
      </c>
      <c r="H14" s="262">
        <v>1.1000000000000001</v>
      </c>
      <c r="I14" s="459">
        <v>1.1000000000000001</v>
      </c>
      <c r="J14" s="262">
        <v>1.1000000000000001</v>
      </c>
      <c r="K14" s="262">
        <v>1.1499999999999999</v>
      </c>
      <c r="L14" s="265">
        <v>1.1499999999999999</v>
      </c>
    </row>
    <row r="15" spans="1:36" x14ac:dyDescent="0.25">
      <c r="A15" s="396" t="s">
        <v>398</v>
      </c>
      <c r="B15" s="262">
        <v>1</v>
      </c>
      <c r="C15" s="262">
        <v>1</v>
      </c>
      <c r="D15" s="262">
        <v>1</v>
      </c>
      <c r="E15" s="262">
        <v>1</v>
      </c>
      <c r="F15" s="262">
        <v>1</v>
      </c>
      <c r="G15" s="262">
        <v>1</v>
      </c>
      <c r="H15" s="262">
        <v>1</v>
      </c>
      <c r="I15" s="459">
        <v>1</v>
      </c>
      <c r="J15" s="262">
        <v>1</v>
      </c>
      <c r="K15" s="262">
        <v>1</v>
      </c>
      <c r="L15" s="265">
        <v>1</v>
      </c>
    </row>
    <row r="16" spans="1:36" x14ac:dyDescent="0.25">
      <c r="A16" s="396" t="s">
        <v>399</v>
      </c>
      <c r="B16" s="262">
        <v>1</v>
      </c>
      <c r="C16" s="262">
        <v>1</v>
      </c>
      <c r="D16" s="262">
        <v>1</v>
      </c>
      <c r="E16" s="262">
        <v>1</v>
      </c>
      <c r="F16" s="262">
        <v>1</v>
      </c>
      <c r="G16" s="262">
        <v>1</v>
      </c>
      <c r="H16" s="262">
        <v>1</v>
      </c>
      <c r="I16" s="459">
        <v>1</v>
      </c>
      <c r="J16" s="262">
        <v>1</v>
      </c>
      <c r="K16" s="262">
        <v>1</v>
      </c>
      <c r="L16" s="265">
        <v>1</v>
      </c>
    </row>
    <row r="17" spans="1:12" x14ac:dyDescent="0.25">
      <c r="A17" s="396" t="s">
        <v>400</v>
      </c>
      <c r="B17" s="262">
        <v>1</v>
      </c>
      <c r="C17" s="262">
        <v>1</v>
      </c>
      <c r="D17" s="262">
        <v>1</v>
      </c>
      <c r="E17" s="262">
        <v>1</v>
      </c>
      <c r="F17" s="262">
        <v>1</v>
      </c>
      <c r="G17" s="262">
        <v>1</v>
      </c>
      <c r="H17" s="262">
        <v>1</v>
      </c>
      <c r="I17" s="459">
        <v>1</v>
      </c>
      <c r="J17" s="262">
        <v>1</v>
      </c>
      <c r="K17" s="262">
        <v>1</v>
      </c>
      <c r="L17" s="265">
        <v>1</v>
      </c>
    </row>
    <row r="18" spans="1:12" x14ac:dyDescent="0.25">
      <c r="A18" s="397" t="s">
        <v>401</v>
      </c>
      <c r="B18" s="262">
        <v>1</v>
      </c>
      <c r="C18" s="262">
        <v>1</v>
      </c>
      <c r="D18" s="262">
        <v>1</v>
      </c>
      <c r="E18" s="266">
        <v>1</v>
      </c>
      <c r="F18" s="266">
        <v>1</v>
      </c>
      <c r="G18" s="266">
        <v>1</v>
      </c>
      <c r="H18" s="266">
        <v>1</v>
      </c>
      <c r="I18" s="460">
        <v>1</v>
      </c>
      <c r="J18" s="266">
        <v>1</v>
      </c>
      <c r="K18" s="266">
        <v>1</v>
      </c>
      <c r="L18" s="267">
        <v>1</v>
      </c>
    </row>
    <row r="19" spans="1:12" x14ac:dyDescent="0.25">
      <c r="A19" s="395" t="s">
        <v>414</v>
      </c>
      <c r="B19" s="263">
        <v>1</v>
      </c>
      <c r="C19" s="263">
        <v>1</v>
      </c>
      <c r="D19" s="263">
        <v>1</v>
      </c>
      <c r="E19" s="263">
        <v>1</v>
      </c>
      <c r="F19" s="263">
        <v>1</v>
      </c>
      <c r="G19" s="263">
        <v>1</v>
      </c>
      <c r="H19" s="263">
        <v>1</v>
      </c>
      <c r="I19" s="461">
        <v>1</v>
      </c>
      <c r="J19" s="263">
        <v>1</v>
      </c>
      <c r="K19" s="263">
        <v>1</v>
      </c>
      <c r="L19" s="264">
        <v>1</v>
      </c>
    </row>
    <row r="20" spans="1:12" x14ac:dyDescent="0.25">
      <c r="A20" s="396" t="s">
        <v>415</v>
      </c>
      <c r="B20" s="262">
        <v>1</v>
      </c>
      <c r="C20" s="262">
        <v>1</v>
      </c>
      <c r="D20" s="262">
        <v>1</v>
      </c>
      <c r="E20" s="262">
        <v>0.95</v>
      </c>
      <c r="F20" s="262">
        <v>0.95</v>
      </c>
      <c r="G20" s="262">
        <v>0.95</v>
      </c>
      <c r="H20" s="262">
        <v>0.9</v>
      </c>
      <c r="I20" s="459">
        <v>0.9</v>
      </c>
      <c r="J20" s="262">
        <v>0.9</v>
      </c>
      <c r="K20" s="262">
        <v>0.85</v>
      </c>
      <c r="L20" s="265">
        <v>0.85</v>
      </c>
    </row>
    <row r="21" spans="1:12" x14ac:dyDescent="0.25">
      <c r="A21" s="396" t="s">
        <v>416</v>
      </c>
      <c r="B21" s="262">
        <v>1</v>
      </c>
      <c r="C21" s="262">
        <v>1</v>
      </c>
      <c r="D21" s="262">
        <v>1</v>
      </c>
      <c r="E21" s="262">
        <v>1</v>
      </c>
      <c r="F21" s="262">
        <v>1</v>
      </c>
      <c r="G21" s="262">
        <v>1</v>
      </c>
      <c r="H21" s="262">
        <v>1</v>
      </c>
      <c r="I21" s="459">
        <v>1</v>
      </c>
      <c r="J21" s="262">
        <v>1</v>
      </c>
      <c r="K21" s="262">
        <v>1</v>
      </c>
      <c r="L21" s="265">
        <v>1</v>
      </c>
    </row>
    <row r="22" spans="1:12" x14ac:dyDescent="0.25">
      <c r="A22" s="396" t="s">
        <v>417</v>
      </c>
      <c r="B22" s="262">
        <v>1</v>
      </c>
      <c r="C22" s="262">
        <v>1</v>
      </c>
      <c r="D22" s="262">
        <v>1</v>
      </c>
      <c r="E22" s="262">
        <v>1</v>
      </c>
      <c r="F22" s="262">
        <v>1</v>
      </c>
      <c r="G22" s="262">
        <v>1</v>
      </c>
      <c r="H22" s="262">
        <v>1</v>
      </c>
      <c r="I22" s="459">
        <v>1</v>
      </c>
      <c r="J22" s="262">
        <v>1</v>
      </c>
      <c r="K22" s="262">
        <v>1</v>
      </c>
      <c r="L22" s="265">
        <v>1</v>
      </c>
    </row>
    <row r="23" spans="1:12" x14ac:dyDescent="0.25">
      <c r="A23" s="396" t="s">
        <v>410</v>
      </c>
      <c r="B23" s="262">
        <v>1</v>
      </c>
      <c r="C23" s="262">
        <v>1</v>
      </c>
      <c r="D23" s="262">
        <v>1</v>
      </c>
      <c r="E23" s="262">
        <v>1</v>
      </c>
      <c r="F23" s="262">
        <v>1</v>
      </c>
      <c r="G23" s="262">
        <v>1</v>
      </c>
      <c r="H23" s="262">
        <v>1</v>
      </c>
      <c r="I23" s="459">
        <v>1</v>
      </c>
      <c r="J23" s="262">
        <v>1</v>
      </c>
      <c r="K23" s="262">
        <v>1</v>
      </c>
      <c r="L23" s="265">
        <v>1</v>
      </c>
    </row>
    <row r="24" spans="1:12" x14ac:dyDescent="0.25">
      <c r="A24" s="396" t="s">
        <v>411</v>
      </c>
      <c r="B24" s="262">
        <v>1</v>
      </c>
      <c r="C24" s="262">
        <v>1</v>
      </c>
      <c r="D24" s="262">
        <v>1</v>
      </c>
      <c r="E24" s="262">
        <v>1</v>
      </c>
      <c r="F24" s="262">
        <v>1</v>
      </c>
      <c r="G24" s="262">
        <v>1</v>
      </c>
      <c r="H24" s="262">
        <v>1</v>
      </c>
      <c r="I24" s="459">
        <v>1</v>
      </c>
      <c r="J24" s="262">
        <v>1</v>
      </c>
      <c r="K24" s="262">
        <v>1</v>
      </c>
      <c r="L24" s="265">
        <v>1</v>
      </c>
    </row>
    <row r="25" spans="1:12" x14ac:dyDescent="0.25">
      <c r="A25" s="396" t="s">
        <v>412</v>
      </c>
      <c r="B25" s="262">
        <v>1</v>
      </c>
      <c r="C25" s="262">
        <v>1</v>
      </c>
      <c r="D25" s="262">
        <v>1</v>
      </c>
      <c r="E25" s="262">
        <v>1</v>
      </c>
      <c r="F25" s="262">
        <v>1</v>
      </c>
      <c r="G25" s="262">
        <v>1</v>
      </c>
      <c r="H25" s="262">
        <v>1</v>
      </c>
      <c r="I25" s="459">
        <v>1</v>
      </c>
      <c r="J25" s="262">
        <v>1</v>
      </c>
      <c r="K25" s="262">
        <v>1</v>
      </c>
      <c r="L25" s="265">
        <v>1</v>
      </c>
    </row>
    <row r="26" spans="1:12" ht="17.25" customHeight="1" x14ac:dyDescent="0.25">
      <c r="A26" s="396" t="s">
        <v>413</v>
      </c>
      <c r="B26" s="262">
        <v>1</v>
      </c>
      <c r="C26" s="262">
        <v>1</v>
      </c>
      <c r="D26" s="262">
        <v>1</v>
      </c>
      <c r="E26" s="262">
        <v>1</v>
      </c>
      <c r="F26" s="262">
        <v>1</v>
      </c>
      <c r="G26" s="262">
        <v>1</v>
      </c>
      <c r="H26" s="262">
        <v>1</v>
      </c>
      <c r="I26" s="459">
        <v>1</v>
      </c>
      <c r="J26" s="262">
        <v>1</v>
      </c>
      <c r="K26" s="262">
        <v>1</v>
      </c>
      <c r="L26" s="265">
        <v>1</v>
      </c>
    </row>
    <row r="27" spans="1:12" x14ac:dyDescent="0.25">
      <c r="A27" s="396" t="s">
        <v>418</v>
      </c>
      <c r="B27" s="262">
        <v>1</v>
      </c>
      <c r="C27" s="262">
        <v>1</v>
      </c>
      <c r="D27" s="262">
        <v>1</v>
      </c>
      <c r="E27" s="262">
        <v>1</v>
      </c>
      <c r="F27" s="262">
        <v>1</v>
      </c>
      <c r="G27" s="262">
        <v>1</v>
      </c>
      <c r="H27" s="262">
        <v>1</v>
      </c>
      <c r="I27" s="459">
        <v>1</v>
      </c>
      <c r="J27" s="262">
        <v>1</v>
      </c>
      <c r="K27" s="262">
        <v>1</v>
      </c>
      <c r="L27" s="265">
        <v>1</v>
      </c>
    </row>
    <row r="28" spans="1:12" x14ac:dyDescent="0.25">
      <c r="A28" s="396" t="s">
        <v>419</v>
      </c>
      <c r="B28" s="262">
        <v>1</v>
      </c>
      <c r="C28" s="262">
        <v>1</v>
      </c>
      <c r="D28" s="262">
        <v>1</v>
      </c>
      <c r="E28" s="262">
        <v>1</v>
      </c>
      <c r="F28" s="262">
        <v>1</v>
      </c>
      <c r="G28" s="262">
        <v>1</v>
      </c>
      <c r="H28" s="262">
        <v>1</v>
      </c>
      <c r="I28" s="459">
        <v>1</v>
      </c>
      <c r="J28" s="262">
        <v>1</v>
      </c>
      <c r="K28" s="262">
        <v>1</v>
      </c>
      <c r="L28" s="265">
        <v>1</v>
      </c>
    </row>
    <row r="29" spans="1:12" x14ac:dyDescent="0.25">
      <c r="A29" s="396" t="s">
        <v>420</v>
      </c>
      <c r="B29" s="262">
        <v>1</v>
      </c>
      <c r="C29" s="262">
        <v>1</v>
      </c>
      <c r="D29" s="262">
        <v>1</v>
      </c>
      <c r="E29" s="262">
        <v>1</v>
      </c>
      <c r="F29" s="262">
        <v>1</v>
      </c>
      <c r="G29" s="262">
        <v>1</v>
      </c>
      <c r="H29" s="262">
        <v>1</v>
      </c>
      <c r="I29" s="459">
        <v>1</v>
      </c>
      <c r="J29" s="262">
        <v>1</v>
      </c>
      <c r="K29" s="262">
        <v>1</v>
      </c>
      <c r="L29" s="265">
        <v>1</v>
      </c>
    </row>
    <row r="30" spans="1:12" x14ac:dyDescent="0.25">
      <c r="A30" s="397" t="s">
        <v>421</v>
      </c>
      <c r="B30" s="266">
        <v>1</v>
      </c>
      <c r="C30" s="266">
        <v>1</v>
      </c>
      <c r="D30" s="266">
        <v>1</v>
      </c>
      <c r="E30" s="266">
        <v>1</v>
      </c>
      <c r="F30" s="266">
        <v>1</v>
      </c>
      <c r="G30" s="266">
        <v>1</v>
      </c>
      <c r="H30" s="266">
        <v>1</v>
      </c>
      <c r="I30" s="460">
        <v>1</v>
      </c>
      <c r="J30" s="266">
        <v>1</v>
      </c>
      <c r="K30" s="266">
        <v>1</v>
      </c>
      <c r="L30" s="267">
        <v>1</v>
      </c>
    </row>
    <row r="31" spans="1:12" x14ac:dyDescent="0.25">
      <c r="A31" s="396"/>
      <c r="B31" s="381"/>
      <c r="C31" s="381"/>
      <c r="D31" s="381"/>
      <c r="E31" s="381"/>
      <c r="F31" s="381"/>
      <c r="G31" s="381"/>
      <c r="H31" s="381"/>
      <c r="I31" s="462"/>
      <c r="J31" s="381"/>
      <c r="K31" s="381"/>
      <c r="L31" s="381"/>
    </row>
    <row r="32" spans="1:12" x14ac:dyDescent="0.25">
      <c r="A32" s="398" t="s">
        <v>339</v>
      </c>
      <c r="B32" s="382"/>
      <c r="C32" s="382"/>
      <c r="D32" s="382"/>
      <c r="E32" s="382"/>
      <c r="F32" s="382"/>
      <c r="G32" s="382"/>
      <c r="H32" s="382"/>
      <c r="I32" s="463"/>
      <c r="J32" s="382"/>
      <c r="K32" s="382"/>
      <c r="L32" s="382"/>
    </row>
    <row r="33" spans="1:36" x14ac:dyDescent="0.25">
      <c r="A33" s="395" t="s">
        <v>389</v>
      </c>
      <c r="B33" s="263">
        <v>1</v>
      </c>
      <c r="C33" s="263">
        <v>1</v>
      </c>
      <c r="D33" s="263">
        <v>1</v>
      </c>
      <c r="E33" s="263">
        <v>1.05</v>
      </c>
      <c r="F33" s="263">
        <v>1.1000000000000001</v>
      </c>
      <c r="G33" s="263">
        <v>1.1499999999999999</v>
      </c>
      <c r="H33" s="263">
        <v>1.2</v>
      </c>
      <c r="I33" s="461">
        <v>1.25</v>
      </c>
      <c r="J33" s="263">
        <v>1.3</v>
      </c>
      <c r="K33" s="263">
        <v>1.35</v>
      </c>
      <c r="L33" s="264">
        <v>1.4</v>
      </c>
    </row>
    <row r="34" spans="1:36" x14ac:dyDescent="0.25">
      <c r="A34" s="396" t="s">
        <v>402</v>
      </c>
      <c r="B34" s="262">
        <v>1</v>
      </c>
      <c r="C34" s="262">
        <v>1</v>
      </c>
      <c r="D34" s="262">
        <v>1</v>
      </c>
      <c r="E34" s="262">
        <v>1.05</v>
      </c>
      <c r="F34" s="262">
        <v>1.1000000000000001</v>
      </c>
      <c r="G34" s="262">
        <v>1.1499999999999999</v>
      </c>
      <c r="H34" s="262">
        <v>1.2</v>
      </c>
      <c r="I34" s="459">
        <v>1.25</v>
      </c>
      <c r="J34" s="262">
        <v>1.3</v>
      </c>
      <c r="K34" s="262">
        <v>1.35</v>
      </c>
      <c r="L34" s="265">
        <v>1.4</v>
      </c>
    </row>
    <row r="35" spans="1:36" x14ac:dyDescent="0.25">
      <c r="A35" s="396" t="s">
        <v>403</v>
      </c>
      <c r="B35" s="262">
        <v>1</v>
      </c>
      <c r="C35" s="262">
        <v>1</v>
      </c>
      <c r="D35" s="262">
        <v>1</v>
      </c>
      <c r="E35" s="262">
        <v>1.05</v>
      </c>
      <c r="F35" s="262">
        <v>1.05</v>
      </c>
      <c r="G35" s="262">
        <v>1.05</v>
      </c>
      <c r="H35" s="262">
        <v>1.1000000000000001</v>
      </c>
      <c r="I35" s="459">
        <v>1.1000000000000001</v>
      </c>
      <c r="J35" s="262">
        <v>1.1000000000000001</v>
      </c>
      <c r="K35" s="262">
        <v>1.1499999999999999</v>
      </c>
      <c r="L35" s="265">
        <v>1.1499999999999999</v>
      </c>
    </row>
    <row r="36" spans="1:36" x14ac:dyDescent="0.25">
      <c r="A36" s="396" t="s">
        <v>404</v>
      </c>
      <c r="B36" s="262">
        <v>0.95</v>
      </c>
      <c r="C36" s="262">
        <v>0.96</v>
      </c>
      <c r="D36" s="262">
        <v>0.96</v>
      </c>
      <c r="E36" s="262">
        <v>0.98</v>
      </c>
      <c r="F36" s="262">
        <v>0.9</v>
      </c>
      <c r="G36" s="262">
        <v>0.85</v>
      </c>
      <c r="H36" s="262">
        <v>0.8</v>
      </c>
      <c r="I36" s="459">
        <v>0.75</v>
      </c>
      <c r="J36" s="262">
        <v>0.7</v>
      </c>
      <c r="K36" s="262">
        <v>0.65</v>
      </c>
      <c r="L36" s="265">
        <v>0.6</v>
      </c>
    </row>
    <row r="37" spans="1:36" x14ac:dyDescent="0.25">
      <c r="A37" s="396" t="s">
        <v>405</v>
      </c>
      <c r="B37" s="262">
        <v>1</v>
      </c>
      <c r="C37" s="262">
        <v>1</v>
      </c>
      <c r="D37" s="262">
        <v>1</v>
      </c>
      <c r="E37" s="262">
        <v>0.95</v>
      </c>
      <c r="F37" s="262">
        <v>0.95</v>
      </c>
      <c r="G37" s="262">
        <v>0.95</v>
      </c>
      <c r="H37" s="262">
        <v>0.9</v>
      </c>
      <c r="I37" s="459">
        <v>0.9</v>
      </c>
      <c r="J37" s="262">
        <v>0.9</v>
      </c>
      <c r="K37" s="262">
        <v>0.85</v>
      </c>
      <c r="L37" s="265">
        <v>0.85</v>
      </c>
    </row>
    <row r="38" spans="1:36" x14ac:dyDescent="0.25">
      <c r="A38" s="396" t="s">
        <v>407</v>
      </c>
      <c r="B38" s="262">
        <v>1</v>
      </c>
      <c r="C38" s="262">
        <v>1</v>
      </c>
      <c r="D38" s="262">
        <v>1</v>
      </c>
      <c r="E38" s="262">
        <v>1</v>
      </c>
      <c r="F38" s="262">
        <v>1</v>
      </c>
      <c r="G38" s="262">
        <v>1</v>
      </c>
      <c r="H38" s="262">
        <v>1</v>
      </c>
      <c r="I38" s="459">
        <v>1</v>
      </c>
      <c r="J38" s="262">
        <v>1</v>
      </c>
      <c r="K38" s="262">
        <v>1</v>
      </c>
      <c r="L38" s="265">
        <v>1</v>
      </c>
    </row>
    <row r="39" spans="1:36" x14ac:dyDescent="0.25">
      <c r="A39" s="396" t="s">
        <v>406</v>
      </c>
      <c r="B39" s="262">
        <v>1</v>
      </c>
      <c r="C39" s="262">
        <v>1</v>
      </c>
      <c r="D39" s="262">
        <v>1</v>
      </c>
      <c r="E39" s="262">
        <v>1.05</v>
      </c>
      <c r="F39" s="262">
        <v>1.05</v>
      </c>
      <c r="G39" s="262">
        <v>1.05</v>
      </c>
      <c r="H39" s="262">
        <v>1.1000000000000001</v>
      </c>
      <c r="I39" s="459">
        <v>1.1000000000000001</v>
      </c>
      <c r="J39" s="262">
        <v>1.1000000000000001</v>
      </c>
      <c r="K39" s="262">
        <v>1.1499999999999999</v>
      </c>
      <c r="L39" s="265">
        <v>1.1499999999999999</v>
      </c>
    </row>
    <row r="40" spans="1:36" x14ac:dyDescent="0.25">
      <c r="A40" s="396" t="s">
        <v>408</v>
      </c>
      <c r="B40" s="262">
        <v>1</v>
      </c>
      <c r="C40" s="262">
        <v>1</v>
      </c>
      <c r="D40" s="262">
        <v>1</v>
      </c>
      <c r="E40" s="262">
        <v>1.05</v>
      </c>
      <c r="F40" s="262">
        <v>1.05</v>
      </c>
      <c r="G40" s="262">
        <v>1.05</v>
      </c>
      <c r="H40" s="262">
        <v>1.1000000000000001</v>
      </c>
      <c r="I40" s="459">
        <v>1.1000000000000001</v>
      </c>
      <c r="J40" s="262">
        <v>1.1000000000000001</v>
      </c>
      <c r="K40" s="262">
        <v>1.1499999999999999</v>
      </c>
      <c r="L40" s="265">
        <v>1.1499999999999999</v>
      </c>
    </row>
    <row r="41" spans="1:36" x14ac:dyDescent="0.25">
      <c r="A41" s="397" t="s">
        <v>409</v>
      </c>
      <c r="B41" s="262">
        <v>1</v>
      </c>
      <c r="C41" s="262">
        <v>1</v>
      </c>
      <c r="D41" s="262">
        <v>1</v>
      </c>
      <c r="E41" s="262">
        <v>1</v>
      </c>
      <c r="F41" s="262">
        <v>1</v>
      </c>
      <c r="G41" s="262">
        <v>1</v>
      </c>
      <c r="H41" s="262">
        <v>1</v>
      </c>
      <c r="I41" s="459">
        <v>1</v>
      </c>
      <c r="J41" s="262">
        <v>1</v>
      </c>
      <c r="K41" s="262">
        <v>1</v>
      </c>
      <c r="L41" s="265">
        <v>1</v>
      </c>
      <c r="AG41" s="277"/>
      <c r="AH41" s="277"/>
      <c r="AI41" s="277"/>
      <c r="AJ41" s="277"/>
    </row>
    <row r="42" spans="1:36" x14ac:dyDescent="0.25">
      <c r="A42" s="396"/>
      <c r="B42" s="381"/>
      <c r="C42" s="381"/>
      <c r="D42" s="381"/>
      <c r="E42" s="381"/>
      <c r="F42" s="381"/>
      <c r="G42" s="381"/>
      <c r="H42" s="381"/>
      <c r="I42" s="462"/>
      <c r="J42" s="381"/>
      <c r="K42" s="381"/>
      <c r="L42" s="381"/>
    </row>
    <row r="43" spans="1:36" x14ac:dyDescent="0.25">
      <c r="A43" s="398" t="s">
        <v>338</v>
      </c>
      <c r="B43" s="382"/>
      <c r="C43" s="382"/>
      <c r="D43" s="382"/>
      <c r="E43" s="382"/>
      <c r="F43" s="382"/>
      <c r="G43" s="382"/>
      <c r="H43" s="382"/>
      <c r="I43" s="463"/>
      <c r="J43" s="382"/>
      <c r="K43" s="382"/>
      <c r="L43" s="382"/>
    </row>
    <row r="44" spans="1:36" x14ac:dyDescent="0.25">
      <c r="A44" s="395" t="s">
        <v>393</v>
      </c>
      <c r="B44" s="263">
        <v>1</v>
      </c>
      <c r="C44" s="263">
        <v>1</v>
      </c>
      <c r="D44" s="263">
        <v>1</v>
      </c>
      <c r="E44" s="262">
        <v>1.05</v>
      </c>
      <c r="F44" s="262">
        <v>1.05</v>
      </c>
      <c r="G44" s="262">
        <v>1.05</v>
      </c>
      <c r="H44" s="262">
        <v>1.1000000000000001</v>
      </c>
      <c r="I44" s="459">
        <v>1.1000000000000001</v>
      </c>
      <c r="J44" s="262">
        <v>1.1000000000000001</v>
      </c>
      <c r="K44" s="262">
        <v>1.1499999999999999</v>
      </c>
      <c r="L44" s="265">
        <v>1.1499999999999999</v>
      </c>
    </row>
    <row r="45" spans="1:36" x14ac:dyDescent="0.25">
      <c r="A45" s="397" t="s">
        <v>394</v>
      </c>
      <c r="B45" s="266">
        <v>1</v>
      </c>
      <c r="C45" s="266">
        <v>1</v>
      </c>
      <c r="D45" s="266">
        <v>1</v>
      </c>
      <c r="E45" s="266">
        <v>1</v>
      </c>
      <c r="F45" s="266">
        <v>1</v>
      </c>
      <c r="G45" s="266">
        <v>1</v>
      </c>
      <c r="H45" s="266">
        <v>1</v>
      </c>
      <c r="I45" s="460">
        <v>1</v>
      </c>
      <c r="J45" s="266">
        <v>1</v>
      </c>
      <c r="K45" s="266">
        <v>1</v>
      </c>
      <c r="L45" s="267">
        <v>1</v>
      </c>
    </row>
    <row r="46" spans="1:36" x14ac:dyDescent="0.25">
      <c r="A46" s="397" t="s">
        <v>395</v>
      </c>
      <c r="B46" s="266">
        <v>1</v>
      </c>
      <c r="C46" s="266">
        <v>1</v>
      </c>
      <c r="D46" s="266">
        <v>1</v>
      </c>
      <c r="E46" s="266">
        <v>1</v>
      </c>
      <c r="F46" s="266">
        <v>1</v>
      </c>
      <c r="G46" s="266">
        <v>1</v>
      </c>
      <c r="H46" s="266">
        <v>1</v>
      </c>
      <c r="I46" s="460">
        <v>1</v>
      </c>
      <c r="J46" s="266">
        <v>1</v>
      </c>
      <c r="K46" s="266">
        <v>1</v>
      </c>
      <c r="L46" s="267">
        <v>1</v>
      </c>
    </row>
    <row r="47" spans="1:36" x14ac:dyDescent="0.25">
      <c r="B47" s="257"/>
      <c r="C47" s="257"/>
      <c r="D47" s="257"/>
      <c r="E47" s="257"/>
      <c r="F47" s="257"/>
      <c r="G47" s="257"/>
      <c r="H47" s="257"/>
      <c r="I47" s="344"/>
      <c r="J47" s="257"/>
      <c r="K47" s="257"/>
      <c r="L47" s="257"/>
    </row>
    <row r="48" spans="1:36" x14ac:dyDescent="0.25">
      <c r="A48" s="398" t="s">
        <v>340</v>
      </c>
      <c r="B48" s="330"/>
      <c r="C48" s="330"/>
      <c r="D48" s="330"/>
      <c r="E48" s="330"/>
      <c r="F48" s="330"/>
      <c r="G48" s="330"/>
      <c r="H48" s="330"/>
      <c r="I48" s="334"/>
      <c r="J48" s="330"/>
      <c r="K48" s="330"/>
      <c r="L48" s="330"/>
    </row>
    <row r="49" spans="1:12" x14ac:dyDescent="0.25">
      <c r="A49" s="395" t="s">
        <v>390</v>
      </c>
      <c r="B49" s="263">
        <v>1</v>
      </c>
      <c r="C49" s="263">
        <v>1</v>
      </c>
      <c r="D49" s="263">
        <v>1</v>
      </c>
      <c r="E49" s="263">
        <v>1</v>
      </c>
      <c r="F49" s="263">
        <v>1</v>
      </c>
      <c r="G49" s="263">
        <v>1</v>
      </c>
      <c r="H49" s="263">
        <v>1</v>
      </c>
      <c r="I49" s="461">
        <v>1</v>
      </c>
      <c r="J49" s="263">
        <v>1</v>
      </c>
      <c r="K49" s="263">
        <v>1</v>
      </c>
      <c r="L49" s="264">
        <v>1</v>
      </c>
    </row>
    <row r="50" spans="1:12" x14ac:dyDescent="0.25">
      <c r="A50" s="396" t="s">
        <v>392</v>
      </c>
      <c r="B50" s="262">
        <v>1</v>
      </c>
      <c r="C50" s="262">
        <v>1</v>
      </c>
      <c r="D50" s="262">
        <v>1</v>
      </c>
      <c r="E50" s="262">
        <v>1</v>
      </c>
      <c r="F50" s="262">
        <v>1</v>
      </c>
      <c r="G50" s="262">
        <v>1</v>
      </c>
      <c r="H50" s="262">
        <v>1</v>
      </c>
      <c r="I50" s="459">
        <v>1</v>
      </c>
      <c r="J50" s="262">
        <v>1</v>
      </c>
      <c r="K50" s="262">
        <v>1</v>
      </c>
      <c r="L50" s="265">
        <v>1</v>
      </c>
    </row>
    <row r="51" spans="1:12" x14ac:dyDescent="0.25">
      <c r="A51" s="397" t="s">
        <v>388</v>
      </c>
      <c r="B51" s="266">
        <v>1</v>
      </c>
      <c r="C51" s="266">
        <v>1</v>
      </c>
      <c r="D51" s="266">
        <v>1</v>
      </c>
      <c r="E51" s="266">
        <v>1</v>
      </c>
      <c r="F51" s="266">
        <v>1</v>
      </c>
      <c r="G51" s="266">
        <v>1</v>
      </c>
      <c r="H51" s="266">
        <v>1</v>
      </c>
      <c r="I51" s="460">
        <v>1</v>
      </c>
      <c r="J51" s="266">
        <v>1</v>
      </c>
      <c r="K51" s="266">
        <v>1</v>
      </c>
      <c r="L51" s="267">
        <v>1</v>
      </c>
    </row>
    <row r="52" spans="1:12" ht="12.75" customHeight="1" x14ac:dyDescent="0.25">
      <c r="B52" s="257"/>
      <c r="C52" s="257"/>
      <c r="D52" s="257"/>
      <c r="E52" s="257"/>
      <c r="F52" s="257"/>
      <c r="G52" s="257"/>
      <c r="H52" s="257"/>
      <c r="I52" s="344"/>
      <c r="J52" s="257"/>
      <c r="K52" s="257"/>
      <c r="L52" s="257"/>
    </row>
    <row r="53" spans="1:12" x14ac:dyDescent="0.25">
      <c r="A53" s="398" t="s">
        <v>341</v>
      </c>
      <c r="B53" s="330"/>
      <c r="C53" s="330"/>
      <c r="D53" s="330"/>
      <c r="E53" s="330"/>
      <c r="F53" s="330"/>
      <c r="G53" s="330"/>
      <c r="H53" s="330"/>
      <c r="I53" s="334"/>
      <c r="J53" s="330"/>
      <c r="K53" s="330"/>
      <c r="L53" s="330"/>
    </row>
    <row r="54" spans="1:12" x14ac:dyDescent="0.25">
      <c r="A54" s="395" t="s">
        <v>396</v>
      </c>
      <c r="B54" s="263">
        <v>1</v>
      </c>
      <c r="C54" s="263">
        <v>1</v>
      </c>
      <c r="D54" s="263">
        <v>1</v>
      </c>
      <c r="E54" s="263">
        <v>1</v>
      </c>
      <c r="F54" s="263">
        <v>1</v>
      </c>
      <c r="G54" s="263">
        <v>1</v>
      </c>
      <c r="H54" s="263">
        <v>1</v>
      </c>
      <c r="I54" s="461">
        <v>1</v>
      </c>
      <c r="J54" s="263">
        <v>1</v>
      </c>
      <c r="K54" s="263">
        <v>1</v>
      </c>
      <c r="L54" s="264">
        <v>1</v>
      </c>
    </row>
    <row r="55" spans="1:12" x14ac:dyDescent="0.25">
      <c r="A55" s="396" t="s">
        <v>397</v>
      </c>
      <c r="B55" s="262">
        <v>1</v>
      </c>
      <c r="C55" s="262">
        <v>1</v>
      </c>
      <c r="D55" s="262">
        <v>1</v>
      </c>
      <c r="E55" s="262">
        <v>1.05</v>
      </c>
      <c r="F55" s="262">
        <v>1.05</v>
      </c>
      <c r="G55" s="262">
        <v>1.05</v>
      </c>
      <c r="H55" s="262">
        <v>1.1000000000000001</v>
      </c>
      <c r="I55" s="459">
        <v>1.1000000000000001</v>
      </c>
      <c r="J55" s="262">
        <v>1.1000000000000001</v>
      </c>
      <c r="K55" s="262">
        <v>1.1499999999999999</v>
      </c>
      <c r="L55" s="265">
        <v>1.1499999999999999</v>
      </c>
    </row>
    <row r="56" spans="1:12" x14ac:dyDescent="0.25">
      <c r="A56" s="396" t="s">
        <v>621</v>
      </c>
      <c r="B56" s="262">
        <v>1</v>
      </c>
      <c r="C56" s="262">
        <v>1</v>
      </c>
      <c r="D56" s="262">
        <v>1</v>
      </c>
      <c r="E56" s="262">
        <v>1</v>
      </c>
      <c r="F56" s="262">
        <v>1</v>
      </c>
      <c r="G56" s="262">
        <v>1</v>
      </c>
      <c r="H56" s="262">
        <v>1</v>
      </c>
      <c r="I56" s="459">
        <v>1.25</v>
      </c>
      <c r="J56" s="262">
        <v>1</v>
      </c>
      <c r="K56" s="262">
        <v>1</v>
      </c>
      <c r="L56" s="265">
        <v>1</v>
      </c>
    </row>
    <row r="57" spans="1:12" x14ac:dyDescent="0.25">
      <c r="A57" s="397" t="s">
        <v>622</v>
      </c>
      <c r="B57" s="266">
        <v>1</v>
      </c>
      <c r="C57" s="266">
        <v>1</v>
      </c>
      <c r="D57" s="266">
        <v>1</v>
      </c>
      <c r="E57" s="266">
        <v>1</v>
      </c>
      <c r="F57" s="266">
        <v>1</v>
      </c>
      <c r="G57" s="266">
        <v>1</v>
      </c>
      <c r="H57" s="266">
        <v>1</v>
      </c>
      <c r="I57" s="460">
        <v>1.25</v>
      </c>
      <c r="J57" s="266">
        <v>1</v>
      </c>
      <c r="K57" s="266">
        <v>1</v>
      </c>
      <c r="L57" s="267">
        <v>1</v>
      </c>
    </row>
    <row r="58" spans="1:12" x14ac:dyDescent="0.25">
      <c r="B58" s="257"/>
      <c r="C58" s="257"/>
      <c r="D58" s="257"/>
      <c r="E58" s="257"/>
      <c r="F58" s="257"/>
      <c r="G58" s="257"/>
      <c r="H58" s="257"/>
      <c r="I58" s="344"/>
      <c r="J58" s="257"/>
      <c r="K58" s="257"/>
      <c r="L58" s="257"/>
    </row>
    <row r="59" spans="1:12" x14ac:dyDescent="0.25">
      <c r="A59" s="398" t="s">
        <v>342</v>
      </c>
      <c r="B59" s="330"/>
      <c r="C59" s="330"/>
      <c r="D59" s="330"/>
      <c r="E59" s="330"/>
      <c r="F59" s="330"/>
      <c r="G59" s="330"/>
      <c r="H59" s="330"/>
      <c r="I59" s="334"/>
      <c r="J59" s="330"/>
      <c r="K59" s="330"/>
      <c r="L59" s="330"/>
    </row>
    <row r="60" spans="1:12" x14ac:dyDescent="0.25">
      <c r="A60" s="395" t="s">
        <v>453</v>
      </c>
      <c r="B60" s="262">
        <v>1</v>
      </c>
      <c r="C60" s="262">
        <v>1</v>
      </c>
      <c r="D60" s="262">
        <v>1</v>
      </c>
      <c r="E60" s="263">
        <v>1</v>
      </c>
      <c r="F60" s="263">
        <v>1</v>
      </c>
      <c r="G60" s="263">
        <v>1</v>
      </c>
      <c r="H60" s="263">
        <v>1</v>
      </c>
      <c r="I60" s="461">
        <v>1</v>
      </c>
      <c r="J60" s="263">
        <v>1</v>
      </c>
      <c r="K60" s="263">
        <v>1</v>
      </c>
      <c r="L60" s="264">
        <v>1</v>
      </c>
    </row>
    <row r="61" spans="1:12" x14ac:dyDescent="0.25">
      <c r="A61" s="396" t="s">
        <v>452</v>
      </c>
      <c r="B61" s="262">
        <v>1</v>
      </c>
      <c r="C61" s="262">
        <v>1</v>
      </c>
      <c r="D61" s="262">
        <v>1</v>
      </c>
      <c r="E61" s="262">
        <v>1</v>
      </c>
      <c r="F61" s="262">
        <v>1</v>
      </c>
      <c r="G61" s="262">
        <v>1</v>
      </c>
      <c r="H61" s="262">
        <v>1</v>
      </c>
      <c r="I61" s="459">
        <v>1</v>
      </c>
      <c r="J61" s="262">
        <v>1</v>
      </c>
      <c r="K61" s="262">
        <v>1</v>
      </c>
      <c r="L61" s="265">
        <v>1</v>
      </c>
    </row>
    <row r="62" spans="1:12" x14ac:dyDescent="0.25">
      <c r="A62" s="396" t="s">
        <v>454</v>
      </c>
      <c r="B62" s="262">
        <v>1</v>
      </c>
      <c r="C62" s="262">
        <v>1</v>
      </c>
      <c r="D62" s="262">
        <v>1</v>
      </c>
      <c r="E62" s="262">
        <v>1</v>
      </c>
      <c r="F62" s="262">
        <v>1</v>
      </c>
      <c r="G62" s="262">
        <v>1</v>
      </c>
      <c r="H62" s="262">
        <v>1</v>
      </c>
      <c r="I62" s="459">
        <v>1</v>
      </c>
      <c r="J62" s="262">
        <v>1</v>
      </c>
      <c r="K62" s="262">
        <v>1</v>
      </c>
      <c r="L62" s="265">
        <v>1</v>
      </c>
    </row>
    <row r="63" spans="1:12" x14ac:dyDescent="0.25">
      <c r="A63" s="397" t="s">
        <v>455</v>
      </c>
      <c r="B63" s="266">
        <v>1</v>
      </c>
      <c r="C63" s="266">
        <v>1</v>
      </c>
      <c r="D63" s="266">
        <v>1</v>
      </c>
      <c r="E63" s="266">
        <v>1</v>
      </c>
      <c r="F63" s="266">
        <v>1</v>
      </c>
      <c r="G63" s="266">
        <v>1</v>
      </c>
      <c r="H63" s="266">
        <v>1</v>
      </c>
      <c r="I63" s="460">
        <v>1</v>
      </c>
      <c r="J63" s="266">
        <v>1</v>
      </c>
      <c r="K63" s="266">
        <v>1</v>
      </c>
      <c r="L63" s="267">
        <v>1</v>
      </c>
    </row>
    <row r="64" spans="1:12" x14ac:dyDescent="0.25">
      <c r="B64" s="257"/>
      <c r="C64" s="257"/>
      <c r="D64" s="257"/>
      <c r="E64" s="257"/>
      <c r="F64" s="257"/>
      <c r="G64" s="257"/>
      <c r="H64" s="257"/>
      <c r="I64" s="257"/>
      <c r="J64" s="257"/>
      <c r="K64" s="257"/>
      <c r="L64" s="257"/>
    </row>
    <row r="65" spans="2:14" x14ac:dyDescent="0.25">
      <c r="B65" s="257"/>
      <c r="C65" s="257"/>
      <c r="D65" s="257"/>
      <c r="E65" s="257"/>
      <c r="F65" s="257"/>
      <c r="G65" s="257"/>
      <c r="H65" s="257"/>
      <c r="I65" s="257"/>
      <c r="J65" s="257"/>
      <c r="K65" s="257"/>
      <c r="L65" s="257"/>
    </row>
    <row r="66" spans="2:14" x14ac:dyDescent="0.25">
      <c r="B66" s="383"/>
      <c r="C66" s="383"/>
      <c r="D66" s="383"/>
      <c r="E66" s="383"/>
      <c r="F66" s="383"/>
      <c r="G66" s="383"/>
      <c r="H66" s="383"/>
      <c r="I66" s="383"/>
      <c r="J66" s="383"/>
      <c r="K66" s="383"/>
      <c r="L66" s="383"/>
      <c r="M66" s="383"/>
      <c r="N66" s="383"/>
    </row>
    <row r="67" spans="2:14" x14ac:dyDescent="0.25">
      <c r="B67" s="384"/>
      <c r="C67" s="384"/>
      <c r="D67" s="384"/>
      <c r="E67" s="384"/>
      <c r="F67" s="384"/>
      <c r="G67" s="384"/>
      <c r="H67" s="384"/>
      <c r="I67" s="384"/>
      <c r="J67" s="384"/>
      <c r="K67" s="384"/>
      <c r="L67" s="384"/>
      <c r="M67" s="384"/>
      <c r="N67" s="384"/>
    </row>
    <row r="68" spans="2:14" x14ac:dyDescent="0.25">
      <c r="B68" s="384"/>
      <c r="C68" s="384"/>
      <c r="D68" s="384"/>
      <c r="E68" s="384"/>
      <c r="F68" s="384"/>
      <c r="G68" s="384"/>
      <c r="H68" s="384"/>
      <c r="I68" s="384"/>
      <c r="J68" s="384"/>
      <c r="K68" s="384"/>
      <c r="L68" s="384"/>
      <c r="M68" s="384"/>
      <c r="N68" s="384"/>
    </row>
    <row r="69" spans="2:14" x14ac:dyDescent="0.25">
      <c r="B69" s="384"/>
      <c r="C69" s="384"/>
      <c r="D69" s="384"/>
      <c r="E69" s="384"/>
      <c r="F69" s="384"/>
      <c r="G69" s="384"/>
      <c r="H69" s="384"/>
      <c r="I69" s="384"/>
      <c r="J69" s="384"/>
      <c r="K69" s="384"/>
      <c r="L69" s="384"/>
      <c r="M69" s="384"/>
      <c r="N69" s="384"/>
    </row>
    <row r="70" spans="2:14" x14ac:dyDescent="0.25">
      <c r="B70" s="384"/>
      <c r="C70" s="384"/>
      <c r="D70" s="384"/>
      <c r="E70" s="384"/>
      <c r="F70" s="384"/>
      <c r="G70" s="384"/>
      <c r="H70" s="384"/>
      <c r="I70" s="384"/>
      <c r="J70" s="384"/>
      <c r="K70" s="384"/>
      <c r="L70" s="384"/>
      <c r="M70" s="384"/>
      <c r="N70" s="384"/>
    </row>
    <row r="71" spans="2:14" x14ac:dyDescent="0.25">
      <c r="B71" s="384"/>
      <c r="C71" s="384"/>
      <c r="D71" s="384"/>
      <c r="E71" s="384"/>
      <c r="F71" s="384"/>
      <c r="G71" s="384"/>
      <c r="H71" s="384"/>
      <c r="I71" s="384"/>
      <c r="J71" s="384"/>
      <c r="K71" s="384"/>
      <c r="L71" s="384"/>
      <c r="M71" s="384"/>
      <c r="N71" s="384"/>
    </row>
    <row r="72" spans="2:14" x14ac:dyDescent="0.25">
      <c r="B72" s="384"/>
      <c r="C72" s="384"/>
      <c r="D72" s="384"/>
      <c r="E72" s="384"/>
      <c r="F72" s="384"/>
      <c r="G72" s="384"/>
      <c r="H72" s="384"/>
      <c r="I72" s="384"/>
      <c r="J72" s="384"/>
      <c r="K72" s="384"/>
      <c r="L72" s="384"/>
      <c r="M72" s="384"/>
      <c r="N72" s="384"/>
    </row>
    <row r="73" spans="2:14" x14ac:dyDescent="0.25">
      <c r="B73" s="384"/>
      <c r="C73" s="384"/>
      <c r="D73" s="384"/>
      <c r="E73" s="384"/>
      <c r="F73" s="384"/>
      <c r="G73" s="384"/>
      <c r="H73" s="384"/>
      <c r="I73" s="384"/>
      <c r="J73" s="384"/>
      <c r="K73" s="384"/>
      <c r="L73" s="384"/>
      <c r="M73" s="384"/>
      <c r="N73" s="384"/>
    </row>
    <row r="74" spans="2:14" x14ac:dyDescent="0.25">
      <c r="B74" s="384"/>
      <c r="C74" s="384"/>
      <c r="D74" s="384"/>
      <c r="E74" s="384"/>
      <c r="F74" s="384"/>
      <c r="G74" s="384"/>
      <c r="H74" s="384"/>
      <c r="I74" s="384"/>
      <c r="J74" s="384"/>
      <c r="K74" s="384"/>
      <c r="L74" s="384"/>
      <c r="M74" s="384"/>
      <c r="N74" s="384"/>
    </row>
    <row r="75" spans="2:14" x14ac:dyDescent="0.25">
      <c r="B75" s="384"/>
      <c r="C75" s="384"/>
      <c r="D75" s="384"/>
      <c r="E75" s="384"/>
      <c r="F75" s="384"/>
      <c r="G75" s="384"/>
      <c r="H75" s="384"/>
      <c r="I75" s="384"/>
      <c r="J75" s="384"/>
      <c r="K75" s="384"/>
      <c r="L75" s="384"/>
      <c r="M75" s="384"/>
      <c r="N75" s="384"/>
    </row>
    <row r="76" spans="2:14" x14ac:dyDescent="0.25">
      <c r="B76" s="384"/>
      <c r="C76" s="384"/>
      <c r="D76" s="384"/>
      <c r="E76" s="384"/>
      <c r="F76" s="384"/>
      <c r="G76" s="384"/>
      <c r="H76" s="384"/>
      <c r="I76" s="384"/>
      <c r="J76" s="384"/>
      <c r="K76" s="384"/>
      <c r="L76" s="384"/>
      <c r="M76" s="384"/>
      <c r="N76" s="384"/>
    </row>
    <row r="77" spans="2:14" x14ac:dyDescent="0.25">
      <c r="B77" s="384"/>
      <c r="C77" s="384"/>
      <c r="D77" s="384"/>
      <c r="E77" s="384"/>
      <c r="F77" s="384"/>
      <c r="G77" s="384"/>
      <c r="H77" s="384"/>
      <c r="I77" s="384"/>
      <c r="J77" s="384"/>
      <c r="K77" s="384"/>
      <c r="L77" s="384"/>
      <c r="M77" s="384"/>
      <c r="N77" s="384"/>
    </row>
    <row r="78" spans="2:14" x14ac:dyDescent="0.25">
      <c r="B78" s="384"/>
      <c r="C78" s="384"/>
      <c r="D78" s="384"/>
      <c r="E78" s="384"/>
      <c r="F78" s="384"/>
      <c r="G78" s="384"/>
      <c r="H78" s="384"/>
      <c r="I78" s="384"/>
      <c r="J78" s="384"/>
      <c r="K78" s="384"/>
      <c r="L78" s="384"/>
      <c r="M78" s="384"/>
      <c r="N78" s="384"/>
    </row>
    <row r="79" spans="2:14" x14ac:dyDescent="0.25">
      <c r="B79" s="384"/>
      <c r="C79" s="384"/>
      <c r="D79" s="384"/>
      <c r="E79" s="384"/>
      <c r="F79" s="384"/>
      <c r="G79" s="384"/>
      <c r="H79" s="384"/>
      <c r="I79" s="384"/>
      <c r="J79" s="384"/>
      <c r="K79" s="384"/>
      <c r="L79" s="384"/>
      <c r="M79" s="384"/>
      <c r="N79" s="384"/>
    </row>
    <row r="80" spans="2:14" x14ac:dyDescent="0.25">
      <c r="B80" s="384"/>
      <c r="C80" s="384"/>
      <c r="D80" s="384"/>
      <c r="E80" s="384"/>
      <c r="F80" s="384"/>
      <c r="G80" s="384"/>
      <c r="H80" s="384"/>
      <c r="I80" s="384"/>
      <c r="J80" s="384"/>
      <c r="K80" s="384"/>
      <c r="L80" s="384"/>
      <c r="M80" s="384"/>
      <c r="N80" s="384"/>
    </row>
    <row r="81" spans="2:12" x14ac:dyDescent="0.25">
      <c r="B81" s="257"/>
      <c r="C81" s="257"/>
      <c r="D81" s="257"/>
      <c r="E81" s="257"/>
      <c r="F81" s="257"/>
      <c r="G81" s="257"/>
      <c r="H81" s="257"/>
      <c r="I81" s="257"/>
      <c r="J81" s="257"/>
      <c r="K81" s="257"/>
      <c r="L81" s="257"/>
    </row>
    <row r="82" spans="2:12" x14ac:dyDescent="0.25">
      <c r="B82" s="257"/>
      <c r="C82" s="257"/>
      <c r="D82" s="257"/>
      <c r="E82" s="257"/>
      <c r="F82" s="257"/>
      <c r="G82" s="257"/>
      <c r="H82" s="257"/>
      <c r="I82" s="257"/>
      <c r="J82" s="257"/>
      <c r="K82" s="257"/>
      <c r="L82" s="257"/>
    </row>
    <row r="83" spans="2:12" x14ac:dyDescent="0.25">
      <c r="B83" s="257"/>
      <c r="C83" s="257"/>
      <c r="D83" s="257"/>
      <c r="E83" s="257"/>
      <c r="F83" s="257"/>
      <c r="G83" s="257"/>
      <c r="H83" s="257"/>
      <c r="I83" s="257"/>
      <c r="J83" s="257"/>
      <c r="K83" s="257"/>
      <c r="L83" s="257"/>
    </row>
    <row r="84" spans="2:12" x14ac:dyDescent="0.25">
      <c r="B84" s="257"/>
      <c r="C84" s="257"/>
      <c r="D84" s="257"/>
      <c r="E84" s="257"/>
      <c r="F84" s="257"/>
      <c r="G84" s="257"/>
      <c r="H84" s="257"/>
      <c r="I84" s="257"/>
      <c r="J84" s="257"/>
      <c r="K84" s="257"/>
      <c r="L84" s="257"/>
    </row>
    <row r="85" spans="2:12" x14ac:dyDescent="0.25">
      <c r="B85" s="257"/>
      <c r="C85" s="257"/>
      <c r="D85" s="257"/>
      <c r="E85" s="257"/>
      <c r="F85" s="257"/>
      <c r="G85" s="257"/>
      <c r="H85" s="257"/>
      <c r="I85" s="257"/>
      <c r="J85" s="257"/>
      <c r="K85" s="257"/>
      <c r="L85" s="257"/>
    </row>
    <row r="86" spans="2:12" x14ac:dyDescent="0.25">
      <c r="B86" s="257"/>
      <c r="C86" s="257"/>
      <c r="D86" s="257"/>
      <c r="E86" s="257"/>
      <c r="F86" s="257"/>
      <c r="G86" s="257"/>
      <c r="H86" s="257"/>
      <c r="I86" s="257"/>
      <c r="J86" s="257"/>
      <c r="K86" s="257"/>
      <c r="L86" s="257"/>
    </row>
    <row r="87" spans="2:12" x14ac:dyDescent="0.25">
      <c r="B87" s="257"/>
      <c r="C87" s="257"/>
      <c r="D87" s="257"/>
      <c r="E87" s="257"/>
      <c r="F87" s="257"/>
      <c r="G87" s="257"/>
      <c r="H87" s="257"/>
      <c r="I87" s="257"/>
      <c r="J87" s="257"/>
      <c r="K87" s="257"/>
      <c r="L87" s="257"/>
    </row>
    <row r="88" spans="2:12" x14ac:dyDescent="0.25">
      <c r="B88" s="257"/>
      <c r="C88" s="257"/>
      <c r="D88" s="257"/>
      <c r="E88" s="257"/>
      <c r="F88" s="257"/>
      <c r="G88" s="257"/>
      <c r="H88" s="257"/>
      <c r="I88" s="257"/>
      <c r="J88" s="257"/>
      <c r="K88" s="257"/>
      <c r="L88" s="257"/>
    </row>
    <row r="89" spans="2:12" x14ac:dyDescent="0.25">
      <c r="B89" s="257"/>
      <c r="C89" s="257"/>
      <c r="D89" s="257"/>
      <c r="E89" s="257"/>
      <c r="F89" s="257"/>
      <c r="G89" s="257"/>
      <c r="H89" s="257"/>
      <c r="I89" s="257"/>
      <c r="J89" s="257"/>
      <c r="K89" s="257"/>
      <c r="L89" s="257"/>
    </row>
    <row r="90" spans="2:12" x14ac:dyDescent="0.25">
      <c r="B90" s="257"/>
      <c r="C90" s="257"/>
      <c r="D90" s="257"/>
      <c r="E90" s="257"/>
      <c r="F90" s="257"/>
      <c r="G90" s="257"/>
      <c r="H90" s="257"/>
      <c r="I90" s="257"/>
      <c r="J90" s="257"/>
      <c r="K90" s="257"/>
      <c r="L90" s="257"/>
    </row>
    <row r="91" spans="2:12" x14ac:dyDescent="0.25">
      <c r="B91" s="257"/>
      <c r="C91" s="257"/>
      <c r="D91" s="257"/>
      <c r="E91" s="257"/>
      <c r="F91" s="257"/>
      <c r="G91" s="257"/>
      <c r="H91" s="257"/>
      <c r="I91" s="257"/>
      <c r="J91" s="257"/>
      <c r="K91" s="257"/>
      <c r="L91" s="257"/>
    </row>
    <row r="92" spans="2:12" x14ac:dyDescent="0.25">
      <c r="B92" s="257"/>
      <c r="C92" s="257"/>
      <c r="D92" s="257"/>
      <c r="E92" s="257"/>
      <c r="F92" s="257"/>
      <c r="G92" s="257"/>
      <c r="H92" s="257"/>
      <c r="I92" s="257"/>
      <c r="J92" s="257"/>
      <c r="K92" s="257"/>
      <c r="L92" s="257"/>
    </row>
    <row r="93" spans="2:12" x14ac:dyDescent="0.25">
      <c r="B93" s="257"/>
      <c r="C93" s="257"/>
      <c r="D93" s="257"/>
      <c r="E93" s="257"/>
      <c r="F93" s="257"/>
      <c r="G93" s="257"/>
      <c r="H93" s="257"/>
      <c r="I93" s="257"/>
      <c r="J93" s="257"/>
      <c r="K93" s="257"/>
      <c r="L93" s="257"/>
    </row>
    <row r="94" spans="2:12" x14ac:dyDescent="0.25">
      <c r="B94" s="257"/>
      <c r="C94" s="257"/>
      <c r="D94" s="257"/>
      <c r="E94" s="257"/>
      <c r="F94" s="257"/>
      <c r="G94" s="257"/>
      <c r="H94" s="257"/>
      <c r="I94" s="257"/>
      <c r="J94" s="257"/>
      <c r="K94" s="257"/>
      <c r="L94" s="257"/>
    </row>
    <row r="95" spans="2:12" x14ac:dyDescent="0.25">
      <c r="B95" s="257"/>
      <c r="C95" s="257"/>
      <c r="D95" s="257"/>
      <c r="E95" s="257"/>
      <c r="F95" s="257"/>
      <c r="G95" s="257"/>
      <c r="H95" s="257"/>
      <c r="I95" s="257"/>
      <c r="J95" s="257"/>
      <c r="K95" s="257"/>
      <c r="L95" s="257"/>
    </row>
    <row r="96" spans="2:12" x14ac:dyDescent="0.25">
      <c r="B96" s="257"/>
      <c r="C96" s="257"/>
      <c r="D96" s="257"/>
      <c r="E96" s="257"/>
      <c r="F96" s="257"/>
      <c r="G96" s="257"/>
      <c r="H96" s="257"/>
      <c r="I96" s="257"/>
      <c r="J96" s="257"/>
      <c r="K96" s="257"/>
      <c r="L96" s="257"/>
    </row>
    <row r="97" spans="2:12" x14ac:dyDescent="0.25">
      <c r="B97" s="257"/>
      <c r="C97" s="257"/>
      <c r="D97" s="257"/>
      <c r="E97" s="257"/>
      <c r="F97" s="257"/>
      <c r="G97" s="257"/>
      <c r="H97" s="257"/>
      <c r="I97" s="257"/>
      <c r="J97" s="257"/>
      <c r="K97" s="257"/>
      <c r="L97" s="257"/>
    </row>
    <row r="98" spans="2:12" x14ac:dyDescent="0.25">
      <c r="B98" s="257"/>
      <c r="C98" s="257"/>
      <c r="D98" s="257"/>
      <c r="E98" s="257"/>
      <c r="F98" s="257"/>
      <c r="G98" s="257"/>
      <c r="H98" s="257"/>
      <c r="I98" s="257"/>
      <c r="J98" s="257"/>
      <c r="K98" s="257"/>
      <c r="L98" s="257"/>
    </row>
    <row r="99" spans="2:12" x14ac:dyDescent="0.25">
      <c r="B99" s="257"/>
      <c r="C99" s="257"/>
      <c r="D99" s="257"/>
      <c r="E99" s="257"/>
      <c r="F99" s="257"/>
      <c r="G99" s="257"/>
      <c r="H99" s="257"/>
      <c r="I99" s="257"/>
      <c r="J99" s="257"/>
      <c r="K99" s="257"/>
      <c r="L99" s="257"/>
    </row>
    <row r="100" spans="2:12" x14ac:dyDescent="0.25">
      <c r="B100" s="257"/>
      <c r="C100" s="257"/>
      <c r="D100" s="257"/>
      <c r="E100" s="257"/>
      <c r="F100" s="257"/>
      <c r="G100" s="257"/>
      <c r="H100" s="257"/>
      <c r="I100" s="257"/>
      <c r="J100" s="257"/>
      <c r="K100" s="257"/>
      <c r="L100" s="257"/>
    </row>
    <row r="101" spans="2:12" x14ac:dyDescent="0.25">
      <c r="B101" s="257"/>
      <c r="C101" s="257"/>
      <c r="D101" s="257"/>
      <c r="E101" s="257"/>
      <c r="F101" s="257"/>
      <c r="G101" s="257"/>
      <c r="H101" s="257"/>
      <c r="I101" s="257"/>
      <c r="J101" s="257"/>
      <c r="K101" s="257"/>
      <c r="L101" s="257"/>
    </row>
    <row r="102" spans="2:12" x14ac:dyDescent="0.25">
      <c r="B102" s="257"/>
      <c r="C102" s="257"/>
      <c r="D102" s="257"/>
      <c r="E102" s="257"/>
      <c r="F102" s="257"/>
      <c r="G102" s="257"/>
      <c r="H102" s="257"/>
      <c r="I102" s="257"/>
      <c r="J102" s="257"/>
      <c r="K102" s="257"/>
      <c r="L102" s="257"/>
    </row>
    <row r="103" spans="2:12" x14ac:dyDescent="0.25">
      <c r="B103" s="257"/>
      <c r="C103" s="257"/>
      <c r="D103" s="257"/>
      <c r="E103" s="257"/>
      <c r="F103" s="257"/>
      <c r="G103" s="257"/>
      <c r="H103" s="257"/>
      <c r="I103" s="257"/>
      <c r="J103" s="257"/>
      <c r="K103" s="257"/>
      <c r="L103" s="257"/>
    </row>
    <row r="104" spans="2:12" x14ac:dyDescent="0.25">
      <c r="B104" s="257"/>
      <c r="C104" s="257"/>
      <c r="D104" s="257"/>
      <c r="E104" s="257"/>
      <c r="F104" s="257"/>
      <c r="G104" s="257"/>
      <c r="H104" s="257"/>
      <c r="I104" s="257"/>
      <c r="J104" s="257"/>
      <c r="K104" s="257"/>
      <c r="L104" s="257"/>
    </row>
    <row r="105" spans="2:12" x14ac:dyDescent="0.25">
      <c r="B105" s="257"/>
      <c r="C105" s="257"/>
      <c r="D105" s="257"/>
      <c r="E105" s="257"/>
      <c r="F105" s="257"/>
      <c r="G105" s="257"/>
      <c r="H105" s="257"/>
      <c r="I105" s="257"/>
      <c r="J105" s="257"/>
      <c r="K105" s="257"/>
      <c r="L105" s="257"/>
    </row>
    <row r="106" spans="2:12" x14ac:dyDescent="0.25">
      <c r="B106" s="257"/>
      <c r="C106" s="257"/>
      <c r="D106" s="257"/>
      <c r="E106" s="257"/>
      <c r="F106" s="257"/>
      <c r="G106" s="257"/>
      <c r="H106" s="257"/>
      <c r="I106" s="257"/>
      <c r="J106" s="257"/>
      <c r="K106" s="257"/>
      <c r="L106" s="257"/>
    </row>
    <row r="107" spans="2:12" x14ac:dyDescent="0.25">
      <c r="B107" s="257"/>
      <c r="C107" s="257"/>
      <c r="D107" s="257"/>
      <c r="E107" s="257"/>
      <c r="F107" s="257"/>
      <c r="G107" s="257"/>
      <c r="H107" s="257"/>
      <c r="I107" s="257"/>
      <c r="J107" s="257"/>
      <c r="K107" s="257"/>
      <c r="L107" s="257"/>
    </row>
    <row r="108" spans="2:12" x14ac:dyDescent="0.25">
      <c r="B108" s="257"/>
      <c r="C108" s="257"/>
      <c r="D108" s="257"/>
      <c r="E108" s="257"/>
      <c r="F108" s="257"/>
      <c r="G108" s="257"/>
      <c r="H108" s="257"/>
      <c r="I108" s="257"/>
      <c r="J108" s="257"/>
      <c r="K108" s="257"/>
      <c r="L108" s="257"/>
    </row>
    <row r="109" spans="2:12" x14ac:dyDescent="0.25">
      <c r="B109" s="257"/>
      <c r="C109" s="257"/>
      <c r="D109" s="257"/>
      <c r="E109" s="257"/>
      <c r="F109" s="257"/>
      <c r="G109" s="257"/>
      <c r="H109" s="257"/>
      <c r="I109" s="257"/>
      <c r="J109" s="257"/>
      <c r="K109" s="257"/>
      <c r="L109" s="257"/>
    </row>
    <row r="110" spans="2:12" x14ac:dyDescent="0.25">
      <c r="B110" s="257"/>
      <c r="C110" s="257"/>
      <c r="D110" s="257"/>
      <c r="E110" s="257"/>
      <c r="F110" s="257"/>
      <c r="G110" s="257"/>
      <c r="H110" s="257"/>
      <c r="I110" s="257"/>
      <c r="J110" s="257"/>
      <c r="K110" s="257"/>
      <c r="L110" s="257"/>
    </row>
    <row r="111" spans="2:12" x14ac:dyDescent="0.25">
      <c r="B111" s="257"/>
      <c r="C111" s="257"/>
      <c r="D111" s="257"/>
      <c r="E111" s="257"/>
      <c r="F111" s="257"/>
      <c r="G111" s="257"/>
      <c r="H111" s="257"/>
      <c r="I111" s="257"/>
      <c r="J111" s="257"/>
      <c r="K111" s="257"/>
      <c r="L111" s="257"/>
    </row>
    <row r="112" spans="2:12" x14ac:dyDescent="0.25">
      <c r="B112" s="257"/>
      <c r="C112" s="257"/>
      <c r="D112" s="257"/>
      <c r="E112" s="257"/>
      <c r="F112" s="257"/>
      <c r="G112" s="257"/>
      <c r="H112" s="257"/>
      <c r="I112" s="257"/>
      <c r="J112" s="257"/>
      <c r="K112" s="257"/>
      <c r="L112" s="257"/>
    </row>
    <row r="113" spans="2:12" x14ac:dyDescent="0.25">
      <c r="B113" s="257"/>
      <c r="C113" s="257"/>
      <c r="D113" s="257"/>
      <c r="E113" s="257"/>
      <c r="F113" s="257"/>
      <c r="G113" s="257"/>
      <c r="H113" s="257"/>
      <c r="I113" s="257"/>
      <c r="J113" s="257"/>
      <c r="K113" s="257"/>
      <c r="L113" s="257"/>
    </row>
    <row r="114" spans="2:12" x14ac:dyDescent="0.25">
      <c r="B114" s="257"/>
      <c r="C114" s="257"/>
      <c r="D114" s="257"/>
      <c r="E114" s="257"/>
      <c r="F114" s="257"/>
      <c r="G114" s="257"/>
      <c r="H114" s="257"/>
      <c r="I114" s="257"/>
      <c r="J114" s="257"/>
      <c r="K114" s="257"/>
      <c r="L114" s="257"/>
    </row>
    <row r="115" spans="2:12" x14ac:dyDescent="0.25">
      <c r="B115" s="257"/>
      <c r="C115" s="257"/>
      <c r="D115" s="257"/>
      <c r="E115" s="257"/>
      <c r="F115" s="257"/>
      <c r="G115" s="257"/>
      <c r="H115" s="257"/>
      <c r="I115" s="257"/>
      <c r="J115" s="257"/>
      <c r="K115" s="257"/>
      <c r="L115" s="257"/>
    </row>
    <row r="116" spans="2:12" x14ac:dyDescent="0.25">
      <c r="B116" s="257"/>
      <c r="C116" s="257"/>
      <c r="D116" s="257"/>
      <c r="E116" s="257"/>
      <c r="F116" s="257"/>
      <c r="G116" s="257"/>
      <c r="H116" s="257"/>
      <c r="I116" s="257"/>
      <c r="J116" s="257"/>
      <c r="K116" s="257"/>
      <c r="L116" s="257"/>
    </row>
    <row r="117" spans="2:12" x14ac:dyDescent="0.25">
      <c r="B117" s="257"/>
      <c r="C117" s="257"/>
      <c r="D117" s="257"/>
      <c r="E117" s="257"/>
      <c r="F117" s="257"/>
      <c r="G117" s="257"/>
      <c r="H117" s="257"/>
      <c r="I117" s="257"/>
      <c r="J117" s="257"/>
      <c r="K117" s="257"/>
      <c r="L117" s="257"/>
    </row>
    <row r="118" spans="2:12" x14ac:dyDescent="0.25">
      <c r="B118" s="257"/>
      <c r="C118" s="257"/>
      <c r="D118" s="257"/>
      <c r="E118" s="257"/>
      <c r="F118" s="257"/>
      <c r="G118" s="257"/>
      <c r="H118" s="257"/>
      <c r="I118" s="257"/>
      <c r="J118" s="257"/>
      <c r="K118" s="257"/>
      <c r="L118" s="257"/>
    </row>
    <row r="119" spans="2:12" x14ac:dyDescent="0.25">
      <c r="B119" s="257"/>
      <c r="C119" s="257"/>
      <c r="D119" s="257"/>
      <c r="E119" s="257"/>
      <c r="F119" s="257"/>
      <c r="G119" s="257"/>
      <c r="H119" s="257"/>
      <c r="I119" s="257"/>
      <c r="J119" s="257"/>
      <c r="K119" s="257"/>
      <c r="L119" s="257"/>
    </row>
    <row r="120" spans="2:12" x14ac:dyDescent="0.25">
      <c r="B120" s="257"/>
      <c r="C120" s="257"/>
      <c r="D120" s="257"/>
      <c r="E120" s="257"/>
      <c r="F120" s="257"/>
      <c r="G120" s="257"/>
      <c r="H120" s="257"/>
      <c r="I120" s="257"/>
      <c r="J120" s="257"/>
      <c r="K120" s="257"/>
      <c r="L120" s="257"/>
    </row>
    <row r="121" spans="2:12" x14ac:dyDescent="0.25">
      <c r="B121" s="257"/>
      <c r="C121" s="257"/>
      <c r="D121" s="257"/>
      <c r="E121" s="257"/>
      <c r="F121" s="257"/>
      <c r="G121" s="257"/>
      <c r="H121" s="257"/>
      <c r="I121" s="257"/>
      <c r="J121" s="257"/>
      <c r="K121" s="257"/>
      <c r="L121" s="257"/>
    </row>
    <row r="122" spans="2:12" x14ac:dyDescent="0.25">
      <c r="B122" s="257"/>
      <c r="C122" s="257"/>
      <c r="D122" s="257"/>
      <c r="E122" s="257"/>
      <c r="F122" s="257"/>
      <c r="G122" s="257"/>
      <c r="H122" s="257"/>
      <c r="I122" s="257"/>
      <c r="J122" s="257"/>
      <c r="K122" s="257"/>
      <c r="L122" s="257"/>
    </row>
    <row r="123" spans="2:12" x14ac:dyDescent="0.25">
      <c r="B123" s="257"/>
      <c r="C123" s="257"/>
      <c r="D123" s="257"/>
      <c r="E123" s="257"/>
      <c r="F123" s="257"/>
      <c r="G123" s="257"/>
      <c r="H123" s="257"/>
      <c r="I123" s="257"/>
      <c r="J123" s="257"/>
      <c r="K123" s="257"/>
      <c r="L123" s="257"/>
    </row>
    <row r="124" spans="2:12" x14ac:dyDescent="0.25">
      <c r="B124" s="257"/>
      <c r="C124" s="257"/>
      <c r="D124" s="257"/>
      <c r="E124" s="257"/>
      <c r="F124" s="257"/>
      <c r="G124" s="257"/>
      <c r="H124" s="257"/>
      <c r="I124" s="257"/>
      <c r="J124" s="257"/>
      <c r="K124" s="257"/>
      <c r="L124" s="257"/>
    </row>
    <row r="125" spans="2:12" x14ac:dyDescent="0.25">
      <c r="B125" s="257"/>
      <c r="C125" s="257"/>
      <c r="D125" s="257"/>
      <c r="E125" s="257"/>
      <c r="F125" s="257"/>
      <c r="G125" s="257"/>
      <c r="H125" s="257"/>
      <c r="I125" s="257"/>
      <c r="J125" s="257"/>
      <c r="K125" s="257"/>
      <c r="L125" s="257"/>
    </row>
    <row r="126" spans="2:12" x14ac:dyDescent="0.25">
      <c r="B126" s="257"/>
      <c r="C126" s="257"/>
      <c r="D126" s="257"/>
      <c r="E126" s="257"/>
      <c r="F126" s="257"/>
      <c r="G126" s="257"/>
      <c r="H126" s="257"/>
      <c r="I126" s="257"/>
      <c r="J126" s="257"/>
      <c r="K126" s="257"/>
      <c r="L126" s="257"/>
    </row>
    <row r="127" spans="2:12" x14ac:dyDescent="0.25">
      <c r="B127" s="257"/>
      <c r="C127" s="257"/>
      <c r="D127" s="257"/>
      <c r="E127" s="257"/>
      <c r="F127" s="257"/>
      <c r="G127" s="257"/>
      <c r="H127" s="257"/>
      <c r="I127" s="257"/>
      <c r="J127" s="257"/>
      <c r="K127" s="257"/>
      <c r="L127" s="257"/>
    </row>
    <row r="128" spans="2:12" x14ac:dyDescent="0.25">
      <c r="B128" s="257"/>
      <c r="C128" s="257"/>
      <c r="D128" s="257"/>
      <c r="E128" s="257"/>
      <c r="F128" s="257"/>
      <c r="G128" s="257"/>
      <c r="H128" s="257"/>
      <c r="I128" s="257"/>
      <c r="J128" s="257"/>
      <c r="K128" s="257"/>
      <c r="L128" s="257"/>
    </row>
    <row r="129" spans="2:12" x14ac:dyDescent="0.25">
      <c r="B129" s="257"/>
      <c r="C129" s="257"/>
      <c r="D129" s="257"/>
      <c r="E129" s="257"/>
      <c r="F129" s="257"/>
      <c r="G129" s="257"/>
      <c r="H129" s="257"/>
      <c r="I129" s="257"/>
      <c r="J129" s="257"/>
      <c r="K129" s="257"/>
      <c r="L129" s="257"/>
    </row>
    <row r="130" spans="2:12" x14ac:dyDescent="0.25">
      <c r="B130" s="257"/>
      <c r="C130" s="257"/>
      <c r="D130" s="257"/>
      <c r="E130" s="257"/>
      <c r="F130" s="257"/>
      <c r="G130" s="257"/>
      <c r="H130" s="257"/>
      <c r="I130" s="257"/>
      <c r="J130" s="257"/>
      <c r="K130" s="257"/>
      <c r="L130" s="257"/>
    </row>
    <row r="131" spans="2:12" x14ac:dyDescent="0.25">
      <c r="B131" s="257"/>
      <c r="C131" s="257"/>
      <c r="D131" s="257"/>
      <c r="E131" s="257"/>
      <c r="F131" s="257"/>
      <c r="G131" s="257"/>
      <c r="H131" s="257"/>
      <c r="I131" s="257"/>
      <c r="J131" s="257"/>
      <c r="K131" s="257"/>
      <c r="L131" s="257"/>
    </row>
    <row r="132" spans="2:12" x14ac:dyDescent="0.25">
      <c r="B132" s="257"/>
      <c r="C132" s="257"/>
      <c r="D132" s="257"/>
      <c r="E132" s="257"/>
      <c r="F132" s="257"/>
      <c r="G132" s="257"/>
      <c r="H132" s="257"/>
      <c r="I132" s="257"/>
      <c r="J132" s="257"/>
      <c r="K132" s="257"/>
      <c r="L132" s="257"/>
    </row>
    <row r="133" spans="2:12" x14ac:dyDescent="0.25">
      <c r="B133" s="257"/>
      <c r="C133" s="257"/>
      <c r="D133" s="257"/>
      <c r="E133" s="257"/>
      <c r="F133" s="257"/>
      <c r="G133" s="257"/>
      <c r="H133" s="257"/>
      <c r="I133" s="257"/>
      <c r="J133" s="257"/>
      <c r="K133" s="257"/>
      <c r="L133" s="257"/>
    </row>
    <row r="134" spans="2:12" x14ac:dyDescent="0.25">
      <c r="B134" s="257"/>
      <c r="C134" s="257"/>
      <c r="D134" s="257"/>
      <c r="E134" s="257"/>
      <c r="F134" s="257"/>
      <c r="G134" s="257"/>
      <c r="H134" s="257"/>
      <c r="I134" s="257"/>
      <c r="J134" s="257"/>
      <c r="K134" s="257"/>
      <c r="L134" s="257"/>
    </row>
    <row r="135" spans="2:12" x14ac:dyDescent="0.25">
      <c r="B135" s="257"/>
      <c r="C135" s="257"/>
      <c r="D135" s="257"/>
      <c r="E135" s="257"/>
      <c r="F135" s="257"/>
      <c r="G135" s="257"/>
      <c r="H135" s="257"/>
      <c r="I135" s="257"/>
      <c r="J135" s="257"/>
      <c r="K135" s="257"/>
      <c r="L135" s="257"/>
    </row>
    <row r="136" spans="2:12" x14ac:dyDescent="0.25">
      <c r="B136" s="257"/>
      <c r="C136" s="257"/>
      <c r="D136" s="257"/>
      <c r="E136" s="257"/>
      <c r="F136" s="257"/>
      <c r="G136" s="257"/>
      <c r="H136" s="257"/>
      <c r="I136" s="257"/>
      <c r="J136" s="257"/>
      <c r="K136" s="257"/>
      <c r="L136" s="257"/>
    </row>
    <row r="137" spans="2:12" x14ac:dyDescent="0.25">
      <c r="B137" s="257"/>
      <c r="C137" s="257"/>
      <c r="D137" s="257"/>
      <c r="E137" s="257"/>
      <c r="F137" s="257"/>
      <c r="G137" s="257"/>
      <c r="H137" s="257"/>
      <c r="I137" s="257"/>
      <c r="J137" s="257"/>
      <c r="K137" s="257"/>
      <c r="L137" s="257"/>
    </row>
    <row r="138" spans="2:12" x14ac:dyDescent="0.25">
      <c r="B138" s="257"/>
      <c r="C138" s="257"/>
      <c r="D138" s="257"/>
      <c r="E138" s="257"/>
      <c r="F138" s="257"/>
      <c r="G138" s="257"/>
      <c r="H138" s="257"/>
      <c r="I138" s="257"/>
      <c r="J138" s="257"/>
      <c r="K138" s="257"/>
      <c r="L138" s="257"/>
    </row>
    <row r="139" spans="2:12" x14ac:dyDescent="0.25">
      <c r="B139" s="257"/>
      <c r="C139" s="257"/>
      <c r="D139" s="257"/>
      <c r="E139" s="257"/>
      <c r="F139" s="257"/>
      <c r="G139" s="257"/>
      <c r="H139" s="257"/>
      <c r="I139" s="257"/>
      <c r="J139" s="257"/>
      <c r="K139" s="257"/>
      <c r="L139" s="257"/>
    </row>
    <row r="140" spans="2:12" x14ac:dyDescent="0.25">
      <c r="B140" s="257"/>
      <c r="C140" s="257"/>
      <c r="D140" s="257"/>
      <c r="E140" s="257"/>
      <c r="F140" s="257"/>
      <c r="G140" s="257"/>
      <c r="H140" s="257"/>
      <c r="I140" s="257"/>
      <c r="J140" s="257"/>
      <c r="K140" s="257"/>
      <c r="L140" s="257"/>
    </row>
    <row r="141" spans="2:12" x14ac:dyDescent="0.25">
      <c r="B141" s="257"/>
      <c r="C141" s="257"/>
      <c r="D141" s="257"/>
      <c r="E141" s="257"/>
      <c r="F141" s="257"/>
      <c r="G141" s="257"/>
      <c r="H141" s="257"/>
      <c r="I141" s="257"/>
      <c r="J141" s="257"/>
      <c r="K141" s="257"/>
      <c r="L141" s="257"/>
    </row>
    <row r="142" spans="2:12" x14ac:dyDescent="0.25">
      <c r="B142" s="257"/>
      <c r="C142" s="257"/>
      <c r="D142" s="257"/>
      <c r="E142" s="257"/>
      <c r="F142" s="257"/>
      <c r="G142" s="257"/>
      <c r="H142" s="257"/>
      <c r="I142" s="257"/>
      <c r="J142" s="257"/>
      <c r="K142" s="257"/>
      <c r="L142" s="257"/>
    </row>
    <row r="143" spans="2:12" x14ac:dyDescent="0.25">
      <c r="B143" s="257"/>
      <c r="C143" s="257"/>
      <c r="D143" s="257"/>
      <c r="E143" s="257"/>
      <c r="F143" s="257"/>
      <c r="G143" s="257"/>
      <c r="H143" s="257"/>
      <c r="I143" s="257"/>
      <c r="J143" s="257"/>
      <c r="K143" s="257"/>
      <c r="L143" s="257"/>
    </row>
    <row r="144" spans="2:12" x14ac:dyDescent="0.25">
      <c r="B144" s="257"/>
      <c r="C144" s="257"/>
      <c r="D144" s="257"/>
      <c r="E144" s="257"/>
      <c r="F144" s="257"/>
      <c r="G144" s="257"/>
      <c r="H144" s="257"/>
      <c r="I144" s="257"/>
      <c r="J144" s="257"/>
      <c r="K144" s="257"/>
      <c r="L144" s="257"/>
    </row>
    <row r="145" spans="2:12" x14ac:dyDescent="0.25">
      <c r="B145" s="257"/>
      <c r="C145" s="257"/>
      <c r="D145" s="257"/>
      <c r="E145" s="257"/>
      <c r="F145" s="257"/>
      <c r="G145" s="257"/>
      <c r="H145" s="257"/>
      <c r="I145" s="257"/>
      <c r="J145" s="257"/>
      <c r="K145" s="257"/>
      <c r="L145" s="257"/>
    </row>
    <row r="146" spans="2:12" x14ac:dyDescent="0.25">
      <c r="B146" s="257"/>
      <c r="C146" s="257"/>
      <c r="D146" s="257"/>
      <c r="E146" s="257"/>
      <c r="F146" s="257"/>
      <c r="G146" s="257"/>
      <c r="H146" s="257"/>
      <c r="I146" s="257"/>
      <c r="J146" s="257"/>
      <c r="K146" s="257"/>
      <c r="L146" s="257"/>
    </row>
    <row r="147" spans="2:12" x14ac:dyDescent="0.25">
      <c r="B147" s="257"/>
      <c r="C147" s="257"/>
      <c r="D147" s="257"/>
      <c r="E147" s="257"/>
      <c r="F147" s="257"/>
      <c r="G147" s="257"/>
      <c r="H147" s="257"/>
      <c r="I147" s="257"/>
      <c r="J147" s="257"/>
      <c r="K147" s="257"/>
      <c r="L147" s="257"/>
    </row>
    <row r="148" spans="2:12" x14ac:dyDescent="0.25">
      <c r="B148" s="257"/>
      <c r="C148" s="257"/>
      <c r="D148" s="257"/>
      <c r="E148" s="257"/>
      <c r="F148" s="257"/>
      <c r="G148" s="257"/>
      <c r="H148" s="257"/>
      <c r="I148" s="257"/>
      <c r="J148" s="257"/>
      <c r="K148" s="257"/>
      <c r="L148" s="257"/>
    </row>
    <row r="149" spans="2:12" x14ac:dyDescent="0.25">
      <c r="B149" s="257"/>
      <c r="C149" s="257"/>
      <c r="D149" s="257"/>
      <c r="E149" s="257"/>
      <c r="F149" s="257"/>
      <c r="G149" s="257"/>
      <c r="H149" s="257"/>
      <c r="I149" s="257"/>
      <c r="J149" s="257"/>
      <c r="K149" s="257"/>
      <c r="L149" s="257"/>
    </row>
    <row r="150" spans="2:12" x14ac:dyDescent="0.25">
      <c r="B150" s="257"/>
      <c r="C150" s="257"/>
      <c r="D150" s="257"/>
      <c r="E150" s="257"/>
      <c r="F150" s="257"/>
      <c r="G150" s="257"/>
      <c r="H150" s="257"/>
      <c r="I150" s="257"/>
      <c r="J150" s="257"/>
      <c r="K150" s="257"/>
      <c r="L150" s="257"/>
    </row>
    <row r="151" spans="2:12" x14ac:dyDescent="0.25">
      <c r="B151" s="257"/>
      <c r="C151" s="257"/>
      <c r="D151" s="257"/>
      <c r="E151" s="257"/>
      <c r="F151" s="257"/>
      <c r="G151" s="257"/>
      <c r="H151" s="257"/>
      <c r="I151" s="257"/>
      <c r="J151" s="257"/>
      <c r="K151" s="257"/>
      <c r="L151" s="257"/>
    </row>
    <row r="152" spans="2:12" x14ac:dyDescent="0.25">
      <c r="B152" s="257"/>
      <c r="C152" s="257"/>
      <c r="D152" s="257"/>
      <c r="E152" s="257"/>
      <c r="F152" s="257"/>
      <c r="G152" s="257"/>
      <c r="H152" s="257"/>
      <c r="I152" s="257"/>
      <c r="J152" s="257"/>
      <c r="K152" s="257"/>
      <c r="L152" s="257"/>
    </row>
    <row r="153" spans="2:12" x14ac:dyDescent="0.25">
      <c r="B153" s="257"/>
      <c r="C153" s="257"/>
      <c r="D153" s="257"/>
      <c r="E153" s="257"/>
      <c r="F153" s="257"/>
      <c r="G153" s="257"/>
      <c r="H153" s="257"/>
      <c r="I153" s="257"/>
      <c r="J153" s="257"/>
      <c r="K153" s="257"/>
      <c r="L153" s="257"/>
    </row>
    <row r="154" spans="2:12" x14ac:dyDescent="0.25">
      <c r="B154" s="257"/>
      <c r="C154" s="257"/>
      <c r="D154" s="257"/>
      <c r="E154" s="257"/>
      <c r="F154" s="257"/>
      <c r="G154" s="257"/>
      <c r="H154" s="257"/>
      <c r="I154" s="257"/>
      <c r="J154" s="257"/>
      <c r="K154" s="257"/>
      <c r="L154" s="257"/>
    </row>
    <row r="155" spans="2:12" x14ac:dyDescent="0.25">
      <c r="B155" s="257"/>
      <c r="C155" s="257"/>
      <c r="D155" s="257"/>
      <c r="E155" s="257"/>
      <c r="F155" s="257"/>
      <c r="G155" s="257"/>
      <c r="H155" s="257"/>
      <c r="I155" s="257"/>
      <c r="J155" s="257"/>
      <c r="K155" s="257"/>
      <c r="L155" s="257"/>
    </row>
    <row r="156" spans="2:12" x14ac:dyDescent="0.25">
      <c r="B156" s="257"/>
      <c r="C156" s="257"/>
      <c r="D156" s="257"/>
      <c r="E156" s="257"/>
      <c r="F156" s="257"/>
      <c r="G156" s="257"/>
      <c r="H156" s="257"/>
      <c r="I156" s="257"/>
      <c r="J156" s="257"/>
      <c r="K156" s="257"/>
      <c r="L156" s="257"/>
    </row>
    <row r="157" spans="2:12" x14ac:dyDescent="0.25">
      <c r="B157" s="257"/>
      <c r="C157" s="257"/>
      <c r="D157" s="257"/>
      <c r="E157" s="257"/>
      <c r="F157" s="257"/>
      <c r="G157" s="257"/>
      <c r="H157" s="257"/>
      <c r="I157" s="257"/>
      <c r="J157" s="257"/>
      <c r="K157" s="257"/>
      <c r="L157" s="257"/>
    </row>
    <row r="158" spans="2:12" x14ac:dyDescent="0.25">
      <c r="B158" s="257"/>
      <c r="C158" s="257"/>
      <c r="D158" s="257"/>
      <c r="E158" s="257"/>
      <c r="F158" s="257"/>
      <c r="G158" s="257"/>
      <c r="H158" s="257"/>
      <c r="I158" s="257"/>
      <c r="J158" s="257"/>
      <c r="K158" s="257"/>
      <c r="L158" s="257"/>
    </row>
    <row r="159" spans="2:12" x14ac:dyDescent="0.25">
      <c r="B159" s="257"/>
      <c r="C159" s="257"/>
      <c r="D159" s="257"/>
      <c r="E159" s="257"/>
      <c r="F159" s="257"/>
      <c r="G159" s="257"/>
      <c r="H159" s="257"/>
      <c r="I159" s="257"/>
      <c r="J159" s="257"/>
      <c r="K159" s="257"/>
      <c r="L159" s="257"/>
    </row>
    <row r="160" spans="2:12" x14ac:dyDescent="0.25">
      <c r="B160" s="257"/>
      <c r="C160" s="257"/>
      <c r="D160" s="257"/>
      <c r="E160" s="257"/>
      <c r="F160" s="257"/>
      <c r="G160" s="257"/>
      <c r="H160" s="257"/>
      <c r="I160" s="257"/>
      <c r="J160" s="257"/>
      <c r="K160" s="257"/>
      <c r="L160" s="257"/>
    </row>
    <row r="161" spans="2:12" x14ac:dyDescent="0.25">
      <c r="B161" s="257"/>
      <c r="C161" s="257"/>
      <c r="D161" s="257"/>
      <c r="E161" s="257"/>
      <c r="F161" s="257"/>
      <c r="G161" s="257"/>
      <c r="H161" s="257"/>
      <c r="I161" s="257"/>
      <c r="J161" s="257"/>
      <c r="K161" s="257"/>
      <c r="L161" s="257"/>
    </row>
    <row r="162" spans="2:12" x14ac:dyDescent="0.25">
      <c r="B162" s="257"/>
      <c r="C162" s="257"/>
      <c r="D162" s="257"/>
      <c r="E162" s="257"/>
      <c r="F162" s="257"/>
      <c r="G162" s="257"/>
      <c r="H162" s="257"/>
      <c r="I162" s="257"/>
      <c r="J162" s="257"/>
      <c r="K162" s="257"/>
      <c r="L162" s="257"/>
    </row>
    <row r="163" spans="2:12" x14ac:dyDescent="0.25">
      <c r="B163" s="257"/>
      <c r="C163" s="257"/>
      <c r="D163" s="257"/>
      <c r="E163" s="257"/>
      <c r="F163" s="257"/>
      <c r="G163" s="257"/>
      <c r="H163" s="257"/>
      <c r="I163" s="257"/>
      <c r="J163" s="257"/>
      <c r="K163" s="257"/>
      <c r="L163" s="257"/>
    </row>
    <row r="164" spans="2:12" x14ac:dyDescent="0.25">
      <c r="B164" s="257"/>
      <c r="C164" s="257"/>
      <c r="D164" s="257"/>
      <c r="E164" s="257"/>
      <c r="F164" s="257"/>
      <c r="G164" s="257"/>
      <c r="H164" s="257"/>
      <c r="I164" s="257"/>
      <c r="J164" s="257"/>
      <c r="K164" s="257"/>
      <c r="L164" s="257"/>
    </row>
    <row r="165" spans="2:12" x14ac:dyDescent="0.25">
      <c r="B165" s="257"/>
      <c r="C165" s="257"/>
      <c r="D165" s="257"/>
      <c r="E165" s="257"/>
      <c r="F165" s="257"/>
      <c r="G165" s="257"/>
      <c r="H165" s="257"/>
      <c r="I165" s="257"/>
      <c r="J165" s="257"/>
      <c r="K165" s="257"/>
      <c r="L165" s="257"/>
    </row>
    <row r="166" spans="2:12" x14ac:dyDescent="0.25">
      <c r="B166" s="257"/>
      <c r="C166" s="257"/>
      <c r="D166" s="257"/>
      <c r="E166" s="257"/>
      <c r="F166" s="257"/>
      <c r="G166" s="257"/>
      <c r="H166" s="257"/>
      <c r="I166" s="257"/>
      <c r="J166" s="257"/>
      <c r="K166" s="257"/>
      <c r="L166" s="257"/>
    </row>
    <row r="167" spans="2:12" x14ac:dyDescent="0.25">
      <c r="B167" s="257"/>
      <c r="C167" s="257"/>
      <c r="D167" s="257"/>
      <c r="E167" s="257"/>
      <c r="F167" s="257"/>
      <c r="G167" s="257"/>
      <c r="H167" s="257"/>
      <c r="I167" s="257"/>
      <c r="J167" s="257"/>
      <c r="K167" s="257"/>
      <c r="L167" s="257"/>
    </row>
    <row r="168" spans="2:12" x14ac:dyDescent="0.25">
      <c r="B168" s="257"/>
      <c r="C168" s="257"/>
      <c r="D168" s="257"/>
      <c r="E168" s="257"/>
      <c r="F168" s="257"/>
      <c r="G168" s="257"/>
      <c r="H168" s="257"/>
      <c r="I168" s="257"/>
      <c r="J168" s="257"/>
      <c r="K168" s="257"/>
      <c r="L168" s="257"/>
    </row>
    <row r="169" spans="2:12" x14ac:dyDescent="0.25">
      <c r="B169" s="257"/>
      <c r="C169" s="257"/>
      <c r="D169" s="257"/>
      <c r="E169" s="257"/>
      <c r="F169" s="257"/>
      <c r="G169" s="257"/>
      <c r="H169" s="257"/>
      <c r="I169" s="257"/>
      <c r="J169" s="257"/>
      <c r="K169" s="257"/>
      <c r="L169" s="257"/>
    </row>
    <row r="170" spans="2:12" x14ac:dyDescent="0.25">
      <c r="B170" s="257"/>
      <c r="C170" s="257"/>
      <c r="D170" s="257"/>
      <c r="E170" s="257"/>
      <c r="F170" s="257"/>
      <c r="G170" s="257"/>
      <c r="H170" s="257"/>
      <c r="I170" s="257"/>
      <c r="J170" s="257"/>
      <c r="K170" s="257"/>
      <c r="L170" s="257"/>
    </row>
    <row r="171" spans="2:12" x14ac:dyDescent="0.25">
      <c r="B171" s="257"/>
      <c r="C171" s="257"/>
      <c r="D171" s="257"/>
      <c r="E171" s="257"/>
      <c r="F171" s="257"/>
      <c r="G171" s="257"/>
      <c r="H171" s="257"/>
      <c r="I171" s="257"/>
      <c r="J171" s="257"/>
      <c r="K171" s="257"/>
      <c r="L171" s="257"/>
    </row>
    <row r="172" spans="2:12" x14ac:dyDescent="0.25">
      <c r="B172" s="257"/>
      <c r="C172" s="257"/>
      <c r="D172" s="257"/>
      <c r="E172" s="257"/>
      <c r="F172" s="257"/>
      <c r="G172" s="257"/>
      <c r="H172" s="257"/>
      <c r="I172" s="257"/>
      <c r="J172" s="257"/>
      <c r="K172" s="257"/>
      <c r="L172" s="257"/>
    </row>
    <row r="173" spans="2:12" x14ac:dyDescent="0.25">
      <c r="B173" s="257"/>
      <c r="C173" s="257"/>
      <c r="D173" s="257"/>
      <c r="E173" s="257"/>
      <c r="F173" s="257"/>
      <c r="G173" s="257"/>
      <c r="H173" s="257"/>
      <c r="I173" s="257"/>
      <c r="J173" s="257"/>
      <c r="K173" s="257"/>
      <c r="L173" s="257"/>
    </row>
    <row r="174" spans="2:12" x14ac:dyDescent="0.25">
      <c r="B174" s="257"/>
      <c r="C174" s="257"/>
      <c r="D174" s="257"/>
      <c r="E174" s="257"/>
      <c r="F174" s="257"/>
      <c r="G174" s="257"/>
      <c r="H174" s="257"/>
      <c r="I174" s="257"/>
      <c r="J174" s="257"/>
      <c r="K174" s="257"/>
      <c r="L174" s="257"/>
    </row>
    <row r="175" spans="2:12" x14ac:dyDescent="0.25">
      <c r="B175" s="257"/>
      <c r="C175" s="257"/>
      <c r="D175" s="257"/>
      <c r="E175" s="257"/>
      <c r="F175" s="257"/>
      <c r="G175" s="257"/>
      <c r="H175" s="257"/>
      <c r="I175" s="257"/>
      <c r="J175" s="257"/>
      <c r="K175" s="257"/>
      <c r="L175" s="257"/>
    </row>
    <row r="176" spans="2:12" x14ac:dyDescent="0.25">
      <c r="B176" s="257"/>
      <c r="C176" s="257"/>
      <c r="D176" s="257"/>
      <c r="E176" s="257"/>
      <c r="F176" s="257"/>
      <c r="G176" s="257"/>
      <c r="H176" s="257"/>
      <c r="I176" s="257"/>
      <c r="J176" s="257"/>
      <c r="K176" s="257"/>
      <c r="L176" s="257"/>
    </row>
    <row r="177" spans="2:12" x14ac:dyDescent="0.25">
      <c r="B177" s="257"/>
      <c r="C177" s="257"/>
      <c r="D177" s="257"/>
      <c r="E177" s="257"/>
      <c r="F177" s="257"/>
      <c r="G177" s="257"/>
      <c r="H177" s="257"/>
      <c r="I177" s="257"/>
      <c r="J177" s="257"/>
      <c r="K177" s="257"/>
      <c r="L177" s="257"/>
    </row>
    <row r="178" spans="2:12" x14ac:dyDescent="0.25">
      <c r="B178" s="257"/>
      <c r="C178" s="257"/>
      <c r="D178" s="257"/>
      <c r="E178" s="257"/>
      <c r="F178" s="257"/>
      <c r="G178" s="257"/>
      <c r="H178" s="257"/>
      <c r="I178" s="257"/>
      <c r="J178" s="257"/>
      <c r="K178" s="257"/>
      <c r="L178" s="257"/>
    </row>
    <row r="179" spans="2:12" x14ac:dyDescent="0.25">
      <c r="B179" s="257"/>
      <c r="C179" s="257"/>
      <c r="D179" s="257"/>
      <c r="E179" s="257"/>
      <c r="F179" s="257"/>
      <c r="G179" s="257"/>
      <c r="H179" s="257"/>
      <c r="I179" s="257"/>
      <c r="J179" s="257"/>
      <c r="K179" s="257"/>
      <c r="L179" s="257"/>
    </row>
    <row r="180" spans="2:12" x14ac:dyDescent="0.25">
      <c r="B180" s="257"/>
      <c r="C180" s="257"/>
      <c r="D180" s="257"/>
      <c r="E180" s="257"/>
      <c r="F180" s="257"/>
      <c r="G180" s="257"/>
      <c r="H180" s="257"/>
      <c r="I180" s="257"/>
      <c r="J180" s="257"/>
      <c r="K180" s="257"/>
      <c r="L180" s="257"/>
    </row>
    <row r="181" spans="2:12" x14ac:dyDescent="0.25">
      <c r="B181" s="257"/>
      <c r="C181" s="257"/>
      <c r="D181" s="257"/>
      <c r="E181" s="257"/>
      <c r="F181" s="257"/>
      <c r="G181" s="257"/>
      <c r="H181" s="257"/>
      <c r="I181" s="257"/>
      <c r="J181" s="257"/>
      <c r="K181" s="257"/>
      <c r="L181" s="257"/>
    </row>
    <row r="182" spans="2:12" x14ac:dyDescent="0.25">
      <c r="B182" s="257"/>
      <c r="C182" s="257"/>
      <c r="D182" s="257"/>
      <c r="E182" s="257"/>
      <c r="F182" s="257"/>
      <c r="G182" s="257"/>
      <c r="H182" s="257"/>
      <c r="I182" s="257"/>
      <c r="J182" s="257"/>
      <c r="K182" s="257"/>
      <c r="L182" s="257"/>
    </row>
    <row r="183" spans="2:12" x14ac:dyDescent="0.25">
      <c r="B183" s="257"/>
      <c r="C183" s="257"/>
      <c r="D183" s="257"/>
      <c r="E183" s="257"/>
      <c r="F183" s="257"/>
      <c r="G183" s="257"/>
      <c r="H183" s="257"/>
      <c r="I183" s="257"/>
      <c r="J183" s="257"/>
      <c r="K183" s="257"/>
      <c r="L183" s="257"/>
    </row>
    <row r="184" spans="2:12" x14ac:dyDescent="0.25">
      <c r="B184" s="257"/>
      <c r="C184" s="257"/>
      <c r="D184" s="257"/>
      <c r="E184" s="257"/>
      <c r="F184" s="257"/>
      <c r="G184" s="257"/>
      <c r="H184" s="257"/>
      <c r="I184" s="257"/>
      <c r="J184" s="257"/>
      <c r="K184" s="257"/>
      <c r="L184" s="257"/>
    </row>
    <row r="185" spans="2:12" x14ac:dyDescent="0.25">
      <c r="B185" s="257"/>
      <c r="C185" s="257"/>
      <c r="D185" s="257"/>
      <c r="E185" s="257"/>
      <c r="F185" s="257"/>
      <c r="G185" s="257"/>
      <c r="H185" s="257"/>
      <c r="I185" s="257"/>
      <c r="J185" s="257"/>
      <c r="K185" s="257"/>
      <c r="L185" s="257"/>
    </row>
    <row r="186" spans="2:12" x14ac:dyDescent="0.25">
      <c r="B186" s="257"/>
      <c r="C186" s="257"/>
      <c r="D186" s="257"/>
      <c r="E186" s="257"/>
      <c r="F186" s="257"/>
      <c r="G186" s="257"/>
      <c r="H186" s="257"/>
      <c r="I186" s="257"/>
      <c r="J186" s="257"/>
      <c r="K186" s="257"/>
      <c r="L186" s="257"/>
    </row>
    <row r="187" spans="2:12" x14ac:dyDescent="0.25">
      <c r="B187" s="257"/>
      <c r="C187" s="257"/>
      <c r="D187" s="257"/>
      <c r="E187" s="257"/>
      <c r="F187" s="257"/>
      <c r="G187" s="257"/>
      <c r="H187" s="257"/>
      <c r="I187" s="257"/>
      <c r="J187" s="257"/>
      <c r="K187" s="257"/>
      <c r="L187" s="257"/>
    </row>
    <row r="188" spans="2:12" x14ac:dyDescent="0.25">
      <c r="B188" s="257"/>
      <c r="C188" s="257"/>
      <c r="D188" s="257"/>
      <c r="E188" s="257"/>
      <c r="F188" s="257"/>
      <c r="G188" s="257"/>
      <c r="H188" s="257"/>
      <c r="I188" s="257"/>
      <c r="J188" s="257"/>
      <c r="K188" s="257"/>
      <c r="L188" s="257"/>
    </row>
    <row r="189" spans="2:12" x14ac:dyDescent="0.25">
      <c r="B189" s="257"/>
      <c r="C189" s="257"/>
      <c r="D189" s="257"/>
      <c r="E189" s="257"/>
      <c r="F189" s="257"/>
      <c r="G189" s="257"/>
      <c r="H189" s="257"/>
      <c r="I189" s="257"/>
      <c r="J189" s="257"/>
      <c r="K189" s="257"/>
      <c r="L189" s="257"/>
    </row>
    <row r="190" spans="2:12" x14ac:dyDescent="0.25">
      <c r="B190" s="257"/>
      <c r="C190" s="257"/>
      <c r="D190" s="257"/>
      <c r="E190" s="257"/>
      <c r="F190" s="257"/>
      <c r="G190" s="257"/>
      <c r="H190" s="257"/>
      <c r="I190" s="257"/>
      <c r="J190" s="257"/>
      <c r="K190" s="257"/>
      <c r="L190" s="257"/>
    </row>
    <row r="191" spans="2:12" x14ac:dyDescent="0.25">
      <c r="B191" s="257"/>
      <c r="C191" s="257"/>
      <c r="D191" s="257"/>
      <c r="E191" s="257"/>
      <c r="F191" s="257"/>
      <c r="G191" s="257"/>
      <c r="H191" s="257"/>
      <c r="I191" s="257"/>
      <c r="J191" s="257"/>
      <c r="K191" s="257"/>
      <c r="L191" s="257"/>
    </row>
    <row r="192" spans="2:12" x14ac:dyDescent="0.25">
      <c r="B192" s="257"/>
      <c r="C192" s="257"/>
      <c r="D192" s="257"/>
      <c r="E192" s="257"/>
      <c r="F192" s="257"/>
      <c r="G192" s="257"/>
      <c r="H192" s="257"/>
      <c r="I192" s="257"/>
      <c r="J192" s="257"/>
      <c r="K192" s="257"/>
      <c r="L192" s="257"/>
    </row>
    <row r="193" spans="2:12" x14ac:dyDescent="0.25">
      <c r="B193" s="257"/>
      <c r="C193" s="257"/>
      <c r="D193" s="257"/>
      <c r="E193" s="257"/>
      <c r="F193" s="257"/>
      <c r="G193" s="257"/>
      <c r="H193" s="257"/>
      <c r="I193" s="257"/>
      <c r="J193" s="257"/>
      <c r="K193" s="257"/>
      <c r="L193" s="257"/>
    </row>
    <row r="194" spans="2:12" x14ac:dyDescent="0.25">
      <c r="B194" s="257"/>
      <c r="C194" s="257"/>
      <c r="D194" s="257"/>
      <c r="E194" s="257"/>
      <c r="F194" s="257"/>
      <c r="G194" s="257"/>
      <c r="H194" s="257"/>
      <c r="I194" s="257"/>
      <c r="J194" s="257"/>
      <c r="K194" s="257"/>
      <c r="L194" s="257"/>
    </row>
    <row r="195" spans="2:12" x14ac:dyDescent="0.25">
      <c r="B195" s="257"/>
      <c r="C195" s="257"/>
      <c r="D195" s="257"/>
      <c r="E195" s="257"/>
      <c r="F195" s="257"/>
      <c r="G195" s="257"/>
      <c r="H195" s="257"/>
      <c r="I195" s="257"/>
      <c r="J195" s="257"/>
      <c r="K195" s="257"/>
      <c r="L195" s="257"/>
    </row>
    <row r="196" spans="2:12" x14ac:dyDescent="0.25">
      <c r="B196" s="257"/>
      <c r="C196" s="257"/>
      <c r="D196" s="257"/>
      <c r="E196" s="257"/>
      <c r="F196" s="257"/>
      <c r="G196" s="257"/>
      <c r="H196" s="257"/>
      <c r="I196" s="257"/>
      <c r="J196" s="257"/>
      <c r="K196" s="257"/>
      <c r="L196" s="257"/>
    </row>
    <row r="197" spans="2:12" x14ac:dyDescent="0.25">
      <c r="B197" s="257"/>
      <c r="C197" s="257"/>
      <c r="D197" s="257"/>
      <c r="E197" s="257"/>
      <c r="F197" s="257"/>
      <c r="G197" s="257"/>
      <c r="H197" s="257"/>
      <c r="I197" s="257"/>
      <c r="J197" s="257"/>
      <c r="K197" s="257"/>
      <c r="L197" s="257"/>
    </row>
    <row r="198" spans="2:12" x14ac:dyDescent="0.25">
      <c r="B198" s="257"/>
      <c r="C198" s="257"/>
      <c r="D198" s="257"/>
      <c r="E198" s="257"/>
      <c r="F198" s="257"/>
      <c r="G198" s="257"/>
      <c r="H198" s="257"/>
      <c r="I198" s="257"/>
      <c r="J198" s="257"/>
      <c r="K198" s="257"/>
      <c r="L198" s="257"/>
    </row>
    <row r="199" spans="2:12" x14ac:dyDescent="0.25">
      <c r="B199" s="257"/>
      <c r="C199" s="257"/>
      <c r="D199" s="257"/>
      <c r="E199" s="257"/>
      <c r="F199" s="257"/>
      <c r="G199" s="257"/>
      <c r="H199" s="257"/>
      <c r="I199" s="257"/>
      <c r="J199" s="257"/>
      <c r="K199" s="257"/>
      <c r="L199" s="257"/>
    </row>
    <row r="200" spans="2:12" x14ac:dyDescent="0.25">
      <c r="B200" s="257"/>
      <c r="C200" s="257"/>
      <c r="D200" s="257"/>
      <c r="E200" s="257"/>
      <c r="F200" s="257"/>
      <c r="G200" s="257"/>
      <c r="H200" s="257"/>
      <c r="I200" s="257"/>
      <c r="J200" s="257"/>
      <c r="K200" s="257"/>
      <c r="L200" s="257"/>
    </row>
    <row r="201" spans="2:12" x14ac:dyDescent="0.25">
      <c r="B201" s="257"/>
      <c r="C201" s="257"/>
      <c r="D201" s="257"/>
      <c r="E201" s="257"/>
      <c r="F201" s="257"/>
      <c r="G201" s="257"/>
      <c r="H201" s="257"/>
      <c r="I201" s="257"/>
      <c r="J201" s="257"/>
      <c r="K201" s="257"/>
      <c r="L201" s="257"/>
    </row>
    <row r="202" spans="2:12" x14ac:dyDescent="0.25">
      <c r="B202" s="257"/>
      <c r="C202" s="257"/>
      <c r="D202" s="257"/>
      <c r="E202" s="257"/>
      <c r="F202" s="257"/>
      <c r="G202" s="257"/>
      <c r="H202" s="257"/>
      <c r="I202" s="257"/>
      <c r="J202" s="257"/>
      <c r="K202" s="257"/>
      <c r="L202" s="257"/>
    </row>
    <row r="203" spans="2:12" x14ac:dyDescent="0.25">
      <c r="B203" s="257"/>
      <c r="C203" s="257"/>
      <c r="D203" s="257"/>
      <c r="E203" s="257"/>
      <c r="F203" s="257"/>
      <c r="G203" s="257"/>
      <c r="H203" s="257"/>
      <c r="I203" s="257"/>
      <c r="J203" s="257"/>
      <c r="K203" s="257"/>
      <c r="L203" s="257"/>
    </row>
    <row r="204" spans="2:12" x14ac:dyDescent="0.25">
      <c r="B204" s="257"/>
      <c r="C204" s="257"/>
      <c r="D204" s="257"/>
      <c r="E204" s="257"/>
      <c r="F204" s="257"/>
      <c r="G204" s="257"/>
      <c r="H204" s="257"/>
      <c r="I204" s="257"/>
      <c r="J204" s="257"/>
      <c r="K204" s="257"/>
      <c r="L204" s="257"/>
    </row>
    <row r="205" spans="2:12" x14ac:dyDescent="0.25">
      <c r="B205" s="257"/>
      <c r="C205" s="257"/>
      <c r="D205" s="257"/>
      <c r="E205" s="257"/>
      <c r="F205" s="257"/>
      <c r="G205" s="257"/>
      <c r="H205" s="257"/>
      <c r="I205" s="257"/>
      <c r="J205" s="257"/>
      <c r="K205" s="257"/>
      <c r="L205" s="257"/>
    </row>
    <row r="206" spans="2:12" x14ac:dyDescent="0.25">
      <c r="B206" s="257"/>
      <c r="C206" s="257"/>
      <c r="D206" s="257"/>
      <c r="E206" s="257"/>
      <c r="F206" s="257"/>
      <c r="G206" s="257"/>
      <c r="H206" s="257"/>
      <c r="I206" s="257"/>
      <c r="J206" s="257"/>
      <c r="K206" s="257"/>
      <c r="L206" s="257"/>
    </row>
    <row r="207" spans="2:12" x14ac:dyDescent="0.25">
      <c r="B207" s="257"/>
      <c r="C207" s="257"/>
      <c r="D207" s="257"/>
      <c r="E207" s="257"/>
      <c r="F207" s="257"/>
      <c r="G207" s="257"/>
      <c r="H207" s="257"/>
      <c r="I207" s="257"/>
      <c r="J207" s="257"/>
      <c r="K207" s="257"/>
      <c r="L207" s="257"/>
    </row>
    <row r="208" spans="2:12" x14ac:dyDescent="0.25">
      <c r="B208" s="257"/>
      <c r="C208" s="257"/>
      <c r="D208" s="257"/>
      <c r="E208" s="257"/>
      <c r="F208" s="257"/>
      <c r="G208" s="257"/>
      <c r="H208" s="257"/>
      <c r="I208" s="257"/>
      <c r="J208" s="257"/>
      <c r="K208" s="257"/>
      <c r="L208" s="257"/>
    </row>
    <row r="209" spans="2:12" x14ac:dyDescent="0.25">
      <c r="B209" s="257"/>
      <c r="C209" s="257"/>
      <c r="D209" s="257"/>
      <c r="E209" s="257"/>
      <c r="F209" s="257"/>
      <c r="G209" s="257"/>
      <c r="H209" s="257"/>
      <c r="I209" s="257"/>
      <c r="J209" s="257"/>
      <c r="K209" s="257"/>
      <c r="L209" s="257"/>
    </row>
    <row r="210" spans="2:12" x14ac:dyDescent="0.25">
      <c r="B210" s="257"/>
      <c r="C210" s="257"/>
      <c r="D210" s="257"/>
      <c r="E210" s="257"/>
      <c r="F210" s="257"/>
      <c r="G210" s="257"/>
      <c r="H210" s="257"/>
      <c r="I210" s="257"/>
      <c r="J210" s="257"/>
      <c r="K210" s="257"/>
      <c r="L210" s="257"/>
    </row>
    <row r="211" spans="2:12" x14ac:dyDescent="0.25">
      <c r="B211" s="257"/>
      <c r="C211" s="257"/>
      <c r="D211" s="257"/>
      <c r="E211" s="257"/>
      <c r="F211" s="257"/>
      <c r="G211" s="257"/>
      <c r="H211" s="257"/>
      <c r="I211" s="257"/>
      <c r="J211" s="257"/>
      <c r="K211" s="257"/>
      <c r="L211" s="257"/>
    </row>
    <row r="212" spans="2:12" x14ac:dyDescent="0.25">
      <c r="B212" s="257"/>
      <c r="C212" s="257"/>
      <c r="D212" s="257"/>
      <c r="E212" s="257"/>
      <c r="F212" s="257"/>
      <c r="G212" s="257"/>
      <c r="H212" s="257"/>
      <c r="I212" s="257"/>
      <c r="J212" s="257"/>
      <c r="K212" s="257"/>
      <c r="L212" s="257"/>
    </row>
    <row r="213" spans="2:12" x14ac:dyDescent="0.25">
      <c r="B213" s="257"/>
      <c r="C213" s="257"/>
      <c r="D213" s="257"/>
      <c r="E213" s="257"/>
      <c r="F213" s="257"/>
      <c r="G213" s="257"/>
      <c r="H213" s="257"/>
      <c r="I213" s="257"/>
      <c r="J213" s="257"/>
      <c r="K213" s="257"/>
      <c r="L213" s="257"/>
    </row>
    <row r="214" spans="2:12" x14ac:dyDescent="0.25">
      <c r="B214" s="257"/>
      <c r="C214" s="257"/>
      <c r="D214" s="257"/>
      <c r="E214" s="257"/>
      <c r="F214" s="257"/>
      <c r="G214" s="257"/>
      <c r="H214" s="257"/>
      <c r="I214" s="257"/>
      <c r="J214" s="257"/>
      <c r="K214" s="257"/>
      <c r="L214" s="257"/>
    </row>
    <row r="215" spans="2:12" x14ac:dyDescent="0.25">
      <c r="B215" s="257"/>
      <c r="C215" s="257"/>
      <c r="D215" s="257"/>
      <c r="E215" s="257"/>
      <c r="F215" s="257"/>
      <c r="G215" s="257"/>
      <c r="H215" s="257"/>
      <c r="I215" s="257"/>
      <c r="J215" s="257"/>
      <c r="K215" s="257"/>
      <c r="L215" s="257"/>
    </row>
    <row r="216" spans="2:12" x14ac:dyDescent="0.25">
      <c r="B216" s="257"/>
      <c r="C216" s="257"/>
      <c r="D216" s="257"/>
      <c r="E216" s="257"/>
      <c r="F216" s="257"/>
      <c r="G216" s="257"/>
      <c r="H216" s="257"/>
      <c r="I216" s="257"/>
      <c r="J216" s="257"/>
      <c r="K216" s="257"/>
      <c r="L216" s="257"/>
    </row>
    <row r="217" spans="2:12" x14ac:dyDescent="0.25">
      <c r="B217" s="257"/>
      <c r="C217" s="257"/>
      <c r="D217" s="257"/>
      <c r="E217" s="257"/>
      <c r="F217" s="257"/>
      <c r="G217" s="257"/>
      <c r="H217" s="257"/>
      <c r="I217" s="257"/>
      <c r="J217" s="257"/>
      <c r="K217" s="257"/>
      <c r="L217" s="257"/>
    </row>
    <row r="218" spans="2:12" x14ac:dyDescent="0.25">
      <c r="B218" s="257"/>
      <c r="C218" s="257"/>
      <c r="D218" s="257"/>
      <c r="E218" s="257"/>
      <c r="F218" s="257"/>
      <c r="G218" s="257"/>
      <c r="H218" s="257"/>
      <c r="I218" s="257"/>
      <c r="J218" s="257"/>
      <c r="K218" s="257"/>
      <c r="L218" s="257"/>
    </row>
    <row r="219" spans="2:12" x14ac:dyDescent="0.25">
      <c r="B219" s="257"/>
      <c r="C219" s="257"/>
      <c r="D219" s="257"/>
      <c r="E219" s="257"/>
      <c r="F219" s="257"/>
      <c r="G219" s="257"/>
      <c r="H219" s="257"/>
      <c r="I219" s="257"/>
      <c r="J219" s="257"/>
      <c r="K219" s="257"/>
      <c r="L219" s="257"/>
    </row>
    <row r="220" spans="2:12" x14ac:dyDescent="0.25">
      <c r="B220" s="257"/>
      <c r="C220" s="257"/>
      <c r="D220" s="257"/>
      <c r="E220" s="257"/>
      <c r="F220" s="257"/>
      <c r="G220" s="257"/>
      <c r="H220" s="257"/>
      <c r="I220" s="257"/>
      <c r="J220" s="257"/>
      <c r="K220" s="257"/>
      <c r="L220" s="257"/>
    </row>
    <row r="221" spans="2:12" x14ac:dyDescent="0.25">
      <c r="B221" s="257"/>
      <c r="C221" s="257"/>
      <c r="D221" s="257"/>
      <c r="E221" s="257"/>
      <c r="F221" s="257"/>
      <c r="G221" s="257"/>
      <c r="H221" s="257"/>
      <c r="I221" s="257"/>
      <c r="J221" s="257"/>
      <c r="K221" s="257"/>
      <c r="L221" s="257"/>
    </row>
    <row r="222" spans="2:12" x14ac:dyDescent="0.25">
      <c r="B222" s="257"/>
      <c r="C222" s="257"/>
      <c r="D222" s="257"/>
      <c r="E222" s="257"/>
      <c r="F222" s="257"/>
      <c r="G222" s="257"/>
      <c r="H222" s="257"/>
      <c r="I222" s="257"/>
      <c r="J222" s="257"/>
      <c r="K222" s="257"/>
      <c r="L222" s="257"/>
    </row>
    <row r="223" spans="2:12" x14ac:dyDescent="0.25">
      <c r="B223" s="257"/>
      <c r="C223" s="257"/>
      <c r="D223" s="257"/>
      <c r="E223" s="257"/>
      <c r="F223" s="257"/>
      <c r="G223" s="257"/>
      <c r="H223" s="257"/>
      <c r="I223" s="257"/>
      <c r="J223" s="257"/>
      <c r="K223" s="257"/>
      <c r="L223" s="257"/>
    </row>
    <row r="224" spans="2:12" x14ac:dyDescent="0.25">
      <c r="B224" s="257"/>
      <c r="C224" s="257"/>
      <c r="D224" s="257"/>
      <c r="E224" s="257"/>
      <c r="F224" s="257"/>
      <c r="G224" s="257"/>
      <c r="H224" s="257"/>
      <c r="I224" s="257"/>
      <c r="J224" s="257"/>
      <c r="K224" s="257"/>
      <c r="L224" s="257"/>
    </row>
    <row r="225" spans="2:12" x14ac:dyDescent="0.25">
      <c r="B225" s="257"/>
      <c r="C225" s="257"/>
      <c r="D225" s="257"/>
      <c r="E225" s="257"/>
      <c r="F225" s="257"/>
      <c r="G225" s="257"/>
      <c r="H225" s="257"/>
      <c r="I225" s="257"/>
      <c r="J225" s="257"/>
      <c r="K225" s="257"/>
      <c r="L225" s="257"/>
    </row>
    <row r="226" spans="2:12" x14ac:dyDescent="0.25">
      <c r="B226" s="257"/>
      <c r="C226" s="257"/>
      <c r="D226" s="257"/>
      <c r="E226" s="257"/>
      <c r="F226" s="257"/>
      <c r="G226" s="257"/>
      <c r="H226" s="257"/>
      <c r="I226" s="257"/>
      <c r="J226" s="257"/>
      <c r="K226" s="257"/>
      <c r="L226" s="257"/>
    </row>
    <row r="227" spans="2:12" x14ac:dyDescent="0.25">
      <c r="B227" s="257"/>
      <c r="C227" s="257"/>
      <c r="D227" s="257"/>
      <c r="E227" s="257"/>
      <c r="F227" s="257"/>
      <c r="G227" s="257"/>
      <c r="H227" s="257"/>
      <c r="I227" s="257"/>
      <c r="J227" s="257"/>
      <c r="K227" s="257"/>
      <c r="L227" s="257"/>
    </row>
    <row r="228" spans="2:12" x14ac:dyDescent="0.25">
      <c r="B228" s="257"/>
      <c r="C228" s="257"/>
      <c r="D228" s="257"/>
      <c r="E228" s="257"/>
      <c r="F228" s="257"/>
      <c r="G228" s="257"/>
      <c r="H228" s="257"/>
      <c r="I228" s="257"/>
      <c r="J228" s="257"/>
      <c r="K228" s="257"/>
      <c r="L228" s="257"/>
    </row>
    <row r="229" spans="2:12" x14ac:dyDescent="0.25">
      <c r="B229" s="257"/>
      <c r="C229" s="257"/>
      <c r="D229" s="257"/>
      <c r="E229" s="257"/>
      <c r="F229" s="257"/>
      <c r="G229" s="257"/>
      <c r="H229" s="257"/>
      <c r="I229" s="257"/>
      <c r="J229" s="257"/>
      <c r="K229" s="257"/>
      <c r="L229" s="257"/>
    </row>
    <row r="230" spans="2:12" x14ac:dyDescent="0.25">
      <c r="B230" s="257"/>
      <c r="C230" s="257"/>
      <c r="D230" s="257"/>
      <c r="E230" s="257"/>
      <c r="F230" s="257"/>
      <c r="G230" s="257"/>
      <c r="H230" s="257"/>
      <c r="I230" s="257"/>
      <c r="J230" s="257"/>
      <c r="K230" s="257"/>
      <c r="L230" s="257"/>
    </row>
    <row r="231" spans="2:12" x14ac:dyDescent="0.25">
      <c r="B231" s="257"/>
      <c r="C231" s="257"/>
      <c r="D231" s="257"/>
      <c r="E231" s="257"/>
      <c r="F231" s="257"/>
      <c r="G231" s="257"/>
      <c r="H231" s="257"/>
      <c r="I231" s="257"/>
      <c r="J231" s="257"/>
      <c r="K231" s="257"/>
      <c r="L231" s="257"/>
    </row>
    <row r="232" spans="2:12" x14ac:dyDescent="0.25">
      <c r="B232" s="257"/>
      <c r="C232" s="257"/>
      <c r="D232" s="257"/>
      <c r="E232" s="257"/>
      <c r="F232" s="257"/>
      <c r="G232" s="257"/>
      <c r="H232" s="257"/>
      <c r="I232" s="257"/>
      <c r="J232" s="257"/>
      <c r="K232" s="257"/>
      <c r="L232" s="257"/>
    </row>
    <row r="233" spans="2:12" x14ac:dyDescent="0.25">
      <c r="B233" s="257"/>
      <c r="C233" s="257"/>
      <c r="D233" s="257"/>
      <c r="E233" s="257"/>
      <c r="F233" s="257"/>
      <c r="G233" s="257"/>
      <c r="H233" s="257"/>
      <c r="I233" s="257"/>
      <c r="J233" s="257"/>
      <c r="K233" s="257"/>
      <c r="L233" s="257"/>
    </row>
    <row r="234" spans="2:12" x14ac:dyDescent="0.25">
      <c r="B234" s="257"/>
      <c r="C234" s="257"/>
      <c r="D234" s="257"/>
      <c r="E234" s="257"/>
      <c r="F234" s="257"/>
      <c r="G234" s="257"/>
      <c r="H234" s="257"/>
      <c r="I234" s="257"/>
      <c r="J234" s="257"/>
      <c r="K234" s="257"/>
      <c r="L234" s="257"/>
    </row>
    <row r="235" spans="2:12" x14ac:dyDescent="0.25">
      <c r="B235" s="257"/>
      <c r="C235" s="257"/>
      <c r="D235" s="257"/>
      <c r="E235" s="257"/>
      <c r="F235" s="257"/>
      <c r="G235" s="257"/>
      <c r="H235" s="257"/>
      <c r="I235" s="257"/>
      <c r="J235" s="257"/>
      <c r="K235" s="257"/>
      <c r="L235" s="257"/>
    </row>
    <row r="236" spans="2:12" x14ac:dyDescent="0.25">
      <c r="B236" s="257"/>
      <c r="C236" s="257"/>
      <c r="D236" s="257"/>
      <c r="E236" s="257"/>
      <c r="F236" s="257"/>
      <c r="G236" s="257"/>
      <c r="H236" s="257"/>
      <c r="I236" s="257"/>
      <c r="J236" s="257"/>
      <c r="K236" s="257"/>
      <c r="L236" s="257"/>
    </row>
    <row r="237" spans="2:12" x14ac:dyDescent="0.25">
      <c r="B237" s="257"/>
      <c r="C237" s="257"/>
      <c r="D237" s="257"/>
      <c r="E237" s="257"/>
      <c r="F237" s="257"/>
      <c r="G237" s="257"/>
      <c r="H237" s="257"/>
      <c r="I237" s="257"/>
      <c r="J237" s="257"/>
      <c r="K237" s="257"/>
      <c r="L237" s="257"/>
    </row>
    <row r="238" spans="2:12" x14ac:dyDescent="0.25">
      <c r="B238" s="257"/>
      <c r="C238" s="257"/>
      <c r="D238" s="257"/>
      <c r="E238" s="257"/>
      <c r="F238" s="257"/>
      <c r="G238" s="257"/>
      <c r="H238" s="257"/>
      <c r="I238" s="257"/>
      <c r="J238" s="257"/>
      <c r="K238" s="257"/>
      <c r="L238" s="257"/>
    </row>
    <row r="239" spans="2:12" x14ac:dyDescent="0.25">
      <c r="B239" s="257"/>
      <c r="C239" s="257"/>
      <c r="D239" s="257"/>
      <c r="E239" s="257"/>
      <c r="F239" s="257"/>
      <c r="G239" s="257"/>
      <c r="H239" s="257"/>
      <c r="I239" s="257"/>
      <c r="J239" s="257"/>
      <c r="K239" s="257"/>
      <c r="L239" s="257"/>
    </row>
    <row r="240" spans="2:12" x14ac:dyDescent="0.25">
      <c r="B240" s="257"/>
      <c r="C240" s="257"/>
      <c r="D240" s="257"/>
      <c r="E240" s="257"/>
      <c r="F240" s="257"/>
      <c r="G240" s="257"/>
      <c r="H240" s="257"/>
      <c r="I240" s="257"/>
      <c r="J240" s="257"/>
      <c r="K240" s="257"/>
      <c r="L240" s="257"/>
    </row>
    <row r="241" spans="2:12" x14ac:dyDescent="0.25">
      <c r="B241" s="257"/>
      <c r="C241" s="257"/>
      <c r="D241" s="257"/>
      <c r="E241" s="257"/>
      <c r="F241" s="257"/>
      <c r="G241" s="257"/>
      <c r="H241" s="257"/>
      <c r="I241" s="257"/>
      <c r="J241" s="257"/>
      <c r="K241" s="257"/>
      <c r="L241" s="257"/>
    </row>
    <row r="242" spans="2:12" x14ac:dyDescent="0.25">
      <c r="B242" s="257"/>
      <c r="C242" s="257"/>
      <c r="D242" s="257"/>
      <c r="E242" s="257"/>
      <c r="F242" s="257"/>
      <c r="G242" s="257"/>
      <c r="H242" s="257"/>
      <c r="I242" s="257"/>
      <c r="J242" s="257"/>
      <c r="K242" s="257"/>
      <c r="L242" s="257"/>
    </row>
    <row r="243" spans="2:12" x14ac:dyDescent="0.25">
      <c r="B243" s="257"/>
      <c r="C243" s="257"/>
      <c r="D243" s="257"/>
      <c r="E243" s="257"/>
      <c r="F243" s="257"/>
      <c r="G243" s="257"/>
      <c r="H243" s="257"/>
      <c r="I243" s="257"/>
      <c r="J243" s="257"/>
      <c r="K243" s="257"/>
      <c r="L243" s="257"/>
    </row>
    <row r="244" spans="2:12" x14ac:dyDescent="0.25">
      <c r="B244" s="257"/>
      <c r="C244" s="257"/>
      <c r="D244" s="257"/>
      <c r="E244" s="257"/>
      <c r="F244" s="257"/>
      <c r="G244" s="257"/>
      <c r="H244" s="257"/>
      <c r="I244" s="257"/>
      <c r="J244" s="257"/>
      <c r="K244" s="257"/>
      <c r="L244" s="257"/>
    </row>
    <row r="245" spans="2:12" x14ac:dyDescent="0.25">
      <c r="B245" s="257"/>
      <c r="C245" s="257"/>
      <c r="D245" s="257"/>
      <c r="E245" s="257"/>
      <c r="F245" s="257"/>
      <c r="G245" s="257"/>
      <c r="H245" s="257"/>
      <c r="I245" s="257"/>
      <c r="J245" s="257"/>
      <c r="K245" s="257"/>
      <c r="L245" s="257"/>
    </row>
    <row r="246" spans="2:12" x14ac:dyDescent="0.25">
      <c r="B246" s="257"/>
      <c r="C246" s="257"/>
      <c r="D246" s="257"/>
      <c r="E246" s="257"/>
      <c r="F246" s="257"/>
      <c r="G246" s="257"/>
      <c r="H246" s="257"/>
      <c r="I246" s="257"/>
      <c r="J246" s="257"/>
      <c r="K246" s="257"/>
      <c r="L246" s="257"/>
    </row>
    <row r="247" spans="2:12" x14ac:dyDescent="0.25">
      <c r="B247" s="257"/>
      <c r="C247" s="257"/>
      <c r="D247" s="257"/>
      <c r="E247" s="257"/>
      <c r="F247" s="257"/>
      <c r="G247" s="257"/>
      <c r="H247" s="257"/>
      <c r="I247" s="257"/>
      <c r="J247" s="257"/>
      <c r="K247" s="257"/>
      <c r="L247" s="257"/>
    </row>
    <row r="248" spans="2:12" x14ac:dyDescent="0.25">
      <c r="B248" s="257"/>
      <c r="C248" s="257"/>
      <c r="D248" s="257"/>
      <c r="E248" s="257"/>
      <c r="F248" s="257"/>
      <c r="G248" s="257"/>
      <c r="H248" s="257"/>
      <c r="I248" s="257"/>
      <c r="J248" s="257"/>
      <c r="K248" s="257"/>
      <c r="L248" s="257"/>
    </row>
    <row r="249" spans="2:12" x14ac:dyDescent="0.25">
      <c r="B249" s="257"/>
      <c r="C249" s="257"/>
      <c r="D249" s="257"/>
      <c r="E249" s="257"/>
      <c r="F249" s="257"/>
      <c r="G249" s="257"/>
      <c r="H249" s="257"/>
      <c r="I249" s="257"/>
      <c r="J249" s="257"/>
      <c r="K249" s="257"/>
      <c r="L249" s="257"/>
    </row>
    <row r="250" spans="2:12" x14ac:dyDescent="0.25">
      <c r="B250" s="257"/>
      <c r="C250" s="257"/>
      <c r="D250" s="257"/>
      <c r="E250" s="257"/>
      <c r="F250" s="257"/>
      <c r="G250" s="257"/>
      <c r="H250" s="257"/>
      <c r="I250" s="257"/>
      <c r="J250" s="257"/>
      <c r="K250" s="257"/>
      <c r="L250" s="257"/>
    </row>
    <row r="251" spans="2:12" x14ac:dyDescent="0.25">
      <c r="B251" s="257"/>
      <c r="C251" s="257"/>
      <c r="D251" s="257"/>
      <c r="E251" s="257"/>
      <c r="F251" s="257"/>
      <c r="G251" s="257"/>
      <c r="H251" s="257"/>
      <c r="I251" s="257"/>
      <c r="J251" s="257"/>
      <c r="K251" s="257"/>
      <c r="L251" s="257"/>
    </row>
    <row r="252" spans="2:12" x14ac:dyDescent="0.25">
      <c r="B252" s="257"/>
      <c r="C252" s="257"/>
      <c r="D252" s="257"/>
      <c r="E252" s="257"/>
      <c r="F252" s="257"/>
      <c r="G252" s="257"/>
      <c r="H252" s="257"/>
      <c r="I252" s="257"/>
      <c r="J252" s="257"/>
      <c r="K252" s="257"/>
      <c r="L252" s="257"/>
    </row>
    <row r="253" spans="2:12" x14ac:dyDescent="0.25">
      <c r="B253" s="257"/>
      <c r="C253" s="257"/>
      <c r="D253" s="257"/>
      <c r="E253" s="257"/>
      <c r="F253" s="257"/>
      <c r="G253" s="257"/>
      <c r="H253" s="257"/>
      <c r="I253" s="257"/>
      <c r="J253" s="257"/>
      <c r="K253" s="257"/>
      <c r="L253" s="257"/>
    </row>
  </sheetData>
  <conditionalFormatting sqref="E7:L8 E12:L12 E14:L19 E21:L30 B37:D37 B38:L39 B42:L63 B31:L34">
    <cfRule type="colorScale" priority="67">
      <colorScale>
        <cfvo type="num" val="0.5"/>
        <cfvo type="num" val="1"/>
        <cfvo type="num" val="1.5"/>
        <color rgb="FFF8696B"/>
        <color rgb="FFFFEB84"/>
        <color rgb="FF63BE7B"/>
      </colorScale>
    </cfRule>
    <cfRule type="colorScale" priority="68">
      <colorScale>
        <cfvo type="min"/>
        <cfvo type="percentile" val="50"/>
        <cfvo type="max"/>
        <color rgb="FFF8696B"/>
        <color rgb="FFFFEB84"/>
        <color rgb="FF63BE7B"/>
      </colorScale>
    </cfRule>
  </conditionalFormatting>
  <conditionalFormatting sqref="B19:D30">
    <cfRule type="colorScale" priority="65">
      <colorScale>
        <cfvo type="num" val="0.5"/>
        <cfvo type="num" val="1"/>
        <cfvo type="num" val="1.5"/>
        <color rgb="FFF8696B"/>
        <color rgb="FFFFEB84"/>
        <color rgb="FF63BE7B"/>
      </colorScale>
    </cfRule>
    <cfRule type="colorScale" priority="66">
      <colorScale>
        <cfvo type="min"/>
        <cfvo type="percentile" val="50"/>
        <cfvo type="max"/>
        <color rgb="FFF8696B"/>
        <color rgb="FFFFEB84"/>
        <color rgb="FF63BE7B"/>
      </colorScale>
    </cfRule>
  </conditionalFormatting>
  <conditionalFormatting sqref="B6:D9 B11:D18">
    <cfRule type="colorScale" priority="63">
      <colorScale>
        <cfvo type="num" val="0.5"/>
        <cfvo type="num" val="1"/>
        <cfvo type="num" val="1.5"/>
        <color rgb="FFF8696B"/>
        <color rgb="FFFFEB84"/>
        <color rgb="FF63BE7B"/>
      </colorScale>
    </cfRule>
    <cfRule type="colorScale" priority="64">
      <colorScale>
        <cfvo type="min"/>
        <cfvo type="percentile" val="50"/>
        <cfvo type="max"/>
        <color rgb="FFF8696B"/>
        <color rgb="FFFFEB84"/>
        <color rgb="FF63BE7B"/>
      </colorScale>
    </cfRule>
  </conditionalFormatting>
  <conditionalFormatting sqref="B10:D10">
    <cfRule type="colorScale" priority="41">
      <colorScale>
        <cfvo type="num" val="0.5"/>
        <cfvo type="num" val="1"/>
        <cfvo type="num" val="1.5"/>
        <color rgb="FFF8696B"/>
        <color rgb="FFFFEB84"/>
        <color rgb="FF63BE7B"/>
      </colorScale>
    </cfRule>
    <cfRule type="colorScale" priority="42">
      <colorScale>
        <cfvo type="min"/>
        <cfvo type="percentile" val="50"/>
        <cfvo type="max"/>
        <color rgb="FFF8696B"/>
        <color rgb="FFFFEB84"/>
        <color rgb="FF63BE7B"/>
      </colorScale>
    </cfRule>
  </conditionalFormatting>
  <conditionalFormatting sqref="E4:L5">
    <cfRule type="colorScale" priority="35">
      <colorScale>
        <cfvo type="num" val="0.5"/>
        <cfvo type="num" val="1"/>
        <cfvo type="num" val="1.5"/>
        <color rgb="FFF8696B"/>
        <color rgb="FFFFEB84"/>
        <color rgb="FF63BE7B"/>
      </colorScale>
    </cfRule>
    <cfRule type="colorScale" priority="36">
      <colorScale>
        <cfvo type="min"/>
        <cfvo type="percentile" val="50"/>
        <cfvo type="max"/>
        <color rgb="FFF8696B"/>
        <color rgb="FFFFEB84"/>
        <color rgb="FF63BE7B"/>
      </colorScale>
    </cfRule>
  </conditionalFormatting>
  <conditionalFormatting sqref="B4:D5">
    <cfRule type="colorScale" priority="33">
      <colorScale>
        <cfvo type="num" val="0.5"/>
        <cfvo type="num" val="1"/>
        <cfvo type="num" val="1.5"/>
        <color rgb="FFF8696B"/>
        <color rgb="FFFFEB84"/>
        <color rgb="FF63BE7B"/>
      </colorScale>
    </cfRule>
    <cfRule type="colorScale" priority="34">
      <colorScale>
        <cfvo type="min"/>
        <cfvo type="percentile" val="50"/>
        <cfvo type="max"/>
        <color rgb="FFF8696B"/>
        <color rgb="FFFFEB84"/>
        <color rgb="FF63BE7B"/>
      </colorScale>
    </cfRule>
  </conditionalFormatting>
  <conditionalFormatting sqref="E36:L36">
    <cfRule type="colorScale" priority="31">
      <colorScale>
        <cfvo type="num" val="0.5"/>
        <cfvo type="num" val="1"/>
        <cfvo type="num" val="1.5"/>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B35:D36">
    <cfRule type="colorScale" priority="29">
      <colorScale>
        <cfvo type="num" val="0.5"/>
        <cfvo type="num" val="1"/>
        <cfvo type="num" val="1.5"/>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B41:L41">
    <cfRule type="colorScale" priority="27">
      <colorScale>
        <cfvo type="num" val="0.5"/>
        <cfvo type="num" val="1"/>
        <cfvo type="num" val="1.5"/>
        <color rgb="FFF8696B"/>
        <color rgb="FFFFEB84"/>
        <color rgb="FF63BE7B"/>
      </colorScale>
    </cfRule>
    <cfRule type="colorScale" priority="28">
      <colorScale>
        <cfvo type="min"/>
        <cfvo type="percentile" val="50"/>
        <cfvo type="max"/>
        <color rgb="FFF8696B"/>
        <color rgb="FFFFEB84"/>
        <color rgb="FF63BE7B"/>
      </colorScale>
    </cfRule>
  </conditionalFormatting>
  <conditionalFormatting sqref="B40:D41">
    <cfRule type="colorScale" priority="25">
      <colorScale>
        <cfvo type="num" val="0.5"/>
        <cfvo type="num" val="1"/>
        <cfvo type="num" val="1.5"/>
        <color rgb="FFF8696B"/>
        <color rgb="FFFFEB84"/>
        <color rgb="FF63BE7B"/>
      </colorScale>
    </cfRule>
    <cfRule type="colorScale" priority="26">
      <colorScale>
        <cfvo type="min"/>
        <cfvo type="percentile" val="50"/>
        <cfvo type="max"/>
        <color rgb="FFF8696B"/>
        <color rgb="FFFFEB84"/>
        <color rgb="FF63BE7B"/>
      </colorScale>
    </cfRule>
  </conditionalFormatting>
  <conditionalFormatting sqref="E6:L6">
    <cfRule type="colorScale" priority="19">
      <colorScale>
        <cfvo type="num" val="0.5"/>
        <cfvo type="num" val="1"/>
        <cfvo type="num" val="1.5"/>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9:L9">
    <cfRule type="colorScale" priority="15">
      <colorScale>
        <cfvo type="num" val="0.5"/>
        <cfvo type="num" val="1"/>
        <cfvo type="num" val="1.5"/>
        <color rgb="FFF8696B"/>
        <color rgb="FFFFEB84"/>
        <color rgb="FF63BE7B"/>
      </colorScale>
    </cfRule>
    <cfRule type="colorScale" priority="16">
      <colorScale>
        <cfvo type="min"/>
        <cfvo type="percentile" val="50"/>
        <cfvo type="max"/>
        <color rgb="FFF8696B"/>
        <color rgb="FFFFEB84"/>
        <color rgb="FF63BE7B"/>
      </colorScale>
    </cfRule>
  </conditionalFormatting>
  <conditionalFormatting sqref="E10:L10">
    <cfRule type="colorScale" priority="13">
      <colorScale>
        <cfvo type="num" val="0.5"/>
        <cfvo type="num" val="1"/>
        <cfvo type="num" val="1.5"/>
        <color rgb="FFF8696B"/>
        <color rgb="FFFFEB84"/>
        <color rgb="FF63BE7B"/>
      </colorScale>
    </cfRule>
    <cfRule type="colorScale" priority="14">
      <colorScale>
        <cfvo type="min"/>
        <cfvo type="percentile" val="50"/>
        <cfvo type="max"/>
        <color rgb="FFF8696B"/>
        <color rgb="FFFFEB84"/>
        <color rgb="FF63BE7B"/>
      </colorScale>
    </cfRule>
  </conditionalFormatting>
  <conditionalFormatting sqref="E11:L11">
    <cfRule type="colorScale" priority="11">
      <colorScale>
        <cfvo type="num" val="0.5"/>
        <cfvo type="num" val="1"/>
        <cfvo type="num" val="1.5"/>
        <color rgb="FFF8696B"/>
        <color rgb="FFFFEB84"/>
        <color rgb="FF63BE7B"/>
      </colorScale>
    </cfRule>
    <cfRule type="colorScale" priority="12">
      <colorScale>
        <cfvo type="min"/>
        <cfvo type="percentile" val="50"/>
        <cfvo type="max"/>
        <color rgb="FFF8696B"/>
        <color rgb="FFFFEB84"/>
        <color rgb="FF63BE7B"/>
      </colorScale>
    </cfRule>
  </conditionalFormatting>
  <conditionalFormatting sqref="E13:L13">
    <cfRule type="colorScale" priority="9">
      <colorScale>
        <cfvo type="num" val="0.5"/>
        <cfvo type="num" val="1"/>
        <cfvo type="num" val="1.5"/>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E20:L20">
    <cfRule type="colorScale" priority="7">
      <colorScale>
        <cfvo type="num" val="0.5"/>
        <cfvo type="num" val="1"/>
        <cfvo type="num" val="1.5"/>
        <color rgb="FFF8696B"/>
        <color rgb="FFFFEB84"/>
        <color rgb="FF63BE7B"/>
      </colorScale>
    </cfRule>
    <cfRule type="colorScale" priority="8">
      <colorScale>
        <cfvo type="min"/>
        <cfvo type="percentile" val="50"/>
        <cfvo type="max"/>
        <color rgb="FFF8696B"/>
        <color rgb="FFFFEB84"/>
        <color rgb="FF63BE7B"/>
      </colorScale>
    </cfRule>
  </conditionalFormatting>
  <conditionalFormatting sqref="E37:L37">
    <cfRule type="colorScale" priority="5">
      <colorScale>
        <cfvo type="num" val="0.5"/>
        <cfvo type="num" val="1"/>
        <cfvo type="num" val="1.5"/>
        <color rgb="FFF8696B"/>
        <color rgb="FFFFEB84"/>
        <color rgb="FF63BE7B"/>
      </colorScale>
    </cfRule>
    <cfRule type="colorScale" priority="6">
      <colorScale>
        <cfvo type="min"/>
        <cfvo type="percentile" val="50"/>
        <cfvo type="max"/>
        <color rgb="FFF8696B"/>
        <color rgb="FFFFEB84"/>
        <color rgb="FF63BE7B"/>
      </colorScale>
    </cfRule>
  </conditionalFormatting>
  <conditionalFormatting sqref="E40:L40">
    <cfRule type="colorScale" priority="3">
      <colorScale>
        <cfvo type="num" val="0.5"/>
        <cfvo type="num" val="1"/>
        <cfvo type="num" val="1.5"/>
        <color rgb="FFF8696B"/>
        <color rgb="FFFFEB84"/>
        <color rgb="FF63BE7B"/>
      </colorScale>
    </cfRule>
    <cfRule type="colorScale" priority="4">
      <colorScale>
        <cfvo type="min"/>
        <cfvo type="percentile" val="50"/>
        <cfvo type="max"/>
        <color rgb="FFF8696B"/>
        <color rgb="FFFFEB84"/>
        <color rgb="FF63BE7B"/>
      </colorScale>
    </cfRule>
  </conditionalFormatting>
  <conditionalFormatting sqref="E35:L35">
    <cfRule type="colorScale" priority="1">
      <colorScale>
        <cfvo type="num" val="0.5"/>
        <cfvo type="num" val="1"/>
        <cfvo type="num" val="1.5"/>
        <color rgb="FFF8696B"/>
        <color rgb="FFFFEB84"/>
        <color rgb="FF63BE7B"/>
      </colorScale>
    </cfRule>
    <cfRule type="colorScale" priority="2">
      <colorScale>
        <cfvo type="min"/>
        <cfvo type="percentile" val="50"/>
        <cfvo type="max"/>
        <color rgb="FFF8696B"/>
        <color rgb="FFFFEB84"/>
        <color rgb="FF63BE7B"/>
      </colorScale>
    </cfRule>
  </conditionalFormatting>
  <hyperlinks>
    <hyperlink ref="A1" location="'Main Menu'!A1" display="Return to Main Menu"/>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Z80"/>
  <sheetViews>
    <sheetView tabSelected="1" zoomScale="90" zoomScaleNormal="90" workbookViewId="0">
      <pane xSplit="1" ySplit="3" topLeftCell="L4" activePane="bottomRight" state="frozen"/>
      <selection pane="topRight" activeCell="B1" sqref="B1"/>
      <selection pane="bottomLeft" activeCell="A4" sqref="A4"/>
      <selection pane="bottomRight" activeCell="P13" sqref="P13"/>
    </sheetView>
  </sheetViews>
  <sheetFormatPr defaultRowHeight="15" x14ac:dyDescent="0.25"/>
  <cols>
    <col min="1" max="1" width="36" style="367" customWidth="1"/>
    <col min="2" max="12" width="5.7109375" style="277" customWidth="1"/>
    <col min="13" max="13" width="4.85546875" style="277" bestFit="1" customWidth="1"/>
    <col min="14" max="14" width="7.7109375" style="277" bestFit="1" customWidth="1"/>
    <col min="15" max="15" width="84.7109375" style="277" customWidth="1"/>
    <col min="16" max="25" width="9.140625" style="277"/>
    <col min="26" max="26" width="6.5703125" style="277" customWidth="1"/>
    <col min="27" max="16384" width="9.140625" style="277"/>
  </cols>
  <sheetData>
    <row r="1" spans="1:26" ht="24.75" customHeight="1" x14ac:dyDescent="0.25">
      <c r="A1" s="392" t="s">
        <v>34</v>
      </c>
      <c r="B1" s="376" t="s">
        <v>348</v>
      </c>
      <c r="P1" s="478" t="s">
        <v>349</v>
      </c>
      <c r="Q1" s="478"/>
      <c r="R1" s="478"/>
      <c r="S1" s="478"/>
      <c r="T1" s="478"/>
      <c r="U1" s="478"/>
      <c r="V1" s="478"/>
      <c r="W1" s="478"/>
      <c r="X1" s="478"/>
      <c r="Y1" s="478"/>
    </row>
    <row r="2" spans="1:26" x14ac:dyDescent="0.25">
      <c r="A2" s="393" t="s">
        <v>391</v>
      </c>
      <c r="B2" s="377">
        <v>2015</v>
      </c>
      <c r="C2" s="377">
        <v>2020</v>
      </c>
      <c r="D2" s="377">
        <v>2025</v>
      </c>
      <c r="E2" s="377">
        <v>2030</v>
      </c>
      <c r="F2" s="377">
        <v>2035</v>
      </c>
      <c r="G2" s="377">
        <v>2040</v>
      </c>
      <c r="H2" s="377">
        <v>2045</v>
      </c>
      <c r="I2" s="377">
        <v>2050</v>
      </c>
      <c r="J2" s="377">
        <v>2055</v>
      </c>
      <c r="K2" s="377">
        <v>2060</v>
      </c>
      <c r="L2" s="378">
        <v>2065</v>
      </c>
      <c r="M2" s="337"/>
      <c r="N2" s="337"/>
      <c r="O2" s="334" t="s">
        <v>361</v>
      </c>
      <c r="P2" s="334" t="s">
        <v>350</v>
      </c>
      <c r="Q2" s="334" t="s">
        <v>351</v>
      </c>
      <c r="R2" s="334" t="s">
        <v>352</v>
      </c>
      <c r="S2" s="334" t="s">
        <v>353</v>
      </c>
      <c r="T2" s="334" t="s">
        <v>354</v>
      </c>
      <c r="U2" s="334" t="s">
        <v>355</v>
      </c>
      <c r="V2" s="334" t="s">
        <v>356</v>
      </c>
      <c r="W2" s="334" t="s">
        <v>357</v>
      </c>
      <c r="X2" s="334" t="s">
        <v>358</v>
      </c>
      <c r="Y2" s="334" t="s">
        <v>359</v>
      </c>
      <c r="Z2" s="334" t="s">
        <v>360</v>
      </c>
    </row>
    <row r="3" spans="1:26" s="337" customFormat="1" x14ac:dyDescent="0.25">
      <c r="A3" s="394" t="s">
        <v>337</v>
      </c>
      <c r="B3" s="379"/>
      <c r="C3" s="379"/>
      <c r="D3" s="379"/>
      <c r="E3" s="379"/>
      <c r="F3" s="379"/>
      <c r="G3" s="379"/>
      <c r="H3" s="379"/>
      <c r="I3" s="379"/>
      <c r="J3" s="379"/>
      <c r="K3" s="379"/>
      <c r="L3" s="380"/>
    </row>
    <row r="4" spans="1:26" x14ac:dyDescent="0.25">
      <c r="A4" s="395" t="s">
        <v>385</v>
      </c>
      <c r="B4" s="262">
        <v>1</v>
      </c>
      <c r="C4" s="262">
        <v>1</v>
      </c>
      <c r="D4" s="262">
        <v>1</v>
      </c>
      <c r="E4" s="263">
        <v>0.95</v>
      </c>
      <c r="F4" s="263">
        <v>0.9</v>
      </c>
      <c r="G4" s="263">
        <v>0.85</v>
      </c>
      <c r="H4" s="263">
        <v>0.8</v>
      </c>
      <c r="I4" s="459">
        <v>0.75</v>
      </c>
      <c r="J4" s="263">
        <v>0.7</v>
      </c>
      <c r="K4" s="263">
        <v>0.65</v>
      </c>
      <c r="L4" s="264">
        <v>0.6</v>
      </c>
      <c r="M4" s="461">
        <v>0.75</v>
      </c>
      <c r="N4" s="459">
        <f>I4/M4</f>
        <v>1</v>
      </c>
      <c r="O4" s="277" t="s">
        <v>546</v>
      </c>
      <c r="P4" s="387"/>
      <c r="Q4" s="387"/>
      <c r="R4" s="387"/>
      <c r="S4" s="387"/>
      <c r="T4" s="387" t="s">
        <v>362</v>
      </c>
      <c r="U4" s="387"/>
      <c r="V4" s="387"/>
      <c r="W4" s="387"/>
      <c r="X4" s="387"/>
      <c r="Y4" s="387"/>
      <c r="Z4" s="277" t="s">
        <v>362</v>
      </c>
    </row>
    <row r="5" spans="1:26" x14ac:dyDescent="0.25">
      <c r="A5" s="396" t="s">
        <v>386</v>
      </c>
      <c r="B5" s="262">
        <v>1</v>
      </c>
      <c r="C5" s="262">
        <v>1</v>
      </c>
      <c r="D5" s="262">
        <v>1</v>
      </c>
      <c r="E5" s="262">
        <v>0.66666666666666663</v>
      </c>
      <c r="F5" s="262">
        <v>0.66666666666666663</v>
      </c>
      <c r="G5" s="262">
        <v>0.75</v>
      </c>
      <c r="H5" s="262">
        <v>0.75</v>
      </c>
      <c r="I5" s="459">
        <v>0.75</v>
      </c>
      <c r="J5" s="262">
        <v>0.75</v>
      </c>
      <c r="K5" s="262">
        <v>0.75</v>
      </c>
      <c r="L5" s="265">
        <v>0.75</v>
      </c>
      <c r="M5" s="459">
        <v>0.9</v>
      </c>
      <c r="N5" s="459">
        <f t="shared" ref="N5:N63" si="0">I5/M5</f>
        <v>0.83333333333333326</v>
      </c>
      <c r="O5" s="277" t="s">
        <v>364</v>
      </c>
      <c r="P5" s="387" t="s">
        <v>363</v>
      </c>
      <c r="Q5" s="387" t="s">
        <v>363</v>
      </c>
      <c r="R5" s="387"/>
      <c r="S5" s="387"/>
      <c r="T5" s="387"/>
      <c r="U5" s="387"/>
      <c r="V5" s="387"/>
      <c r="W5" s="387"/>
      <c r="X5" s="387"/>
      <c r="Y5" s="387"/>
      <c r="Z5" s="277" t="s">
        <v>363</v>
      </c>
    </row>
    <row r="6" spans="1:26" x14ac:dyDescent="0.25">
      <c r="A6" s="396" t="s">
        <v>383</v>
      </c>
      <c r="B6" s="262">
        <v>1</v>
      </c>
      <c r="C6" s="262">
        <v>1</v>
      </c>
      <c r="D6" s="262">
        <v>1</v>
      </c>
      <c r="E6" s="262">
        <v>0.79166666666666652</v>
      </c>
      <c r="F6" s="262">
        <v>0.75</v>
      </c>
      <c r="G6" s="262">
        <v>0.75</v>
      </c>
      <c r="H6" s="262">
        <v>0.75</v>
      </c>
      <c r="I6" s="459">
        <v>0.75</v>
      </c>
      <c r="J6" s="262">
        <v>0.75</v>
      </c>
      <c r="K6" s="262">
        <v>0.75</v>
      </c>
      <c r="L6" s="265">
        <v>0.75</v>
      </c>
      <c r="M6" s="459">
        <v>0.9</v>
      </c>
      <c r="N6" s="459">
        <f t="shared" si="0"/>
        <v>0.83333333333333326</v>
      </c>
      <c r="O6" s="277" t="s">
        <v>365</v>
      </c>
      <c r="P6" s="387"/>
      <c r="Q6" s="387" t="s">
        <v>362</v>
      </c>
      <c r="R6" s="387"/>
      <c r="S6" s="387"/>
      <c r="T6" s="387"/>
      <c r="U6" s="387"/>
      <c r="V6" s="387"/>
      <c r="W6" s="387"/>
      <c r="X6" s="387"/>
      <c r="Y6" s="387"/>
      <c r="Z6" s="277" t="s">
        <v>362</v>
      </c>
    </row>
    <row r="7" spans="1:26" x14ac:dyDescent="0.25">
      <c r="A7" s="396" t="s">
        <v>384</v>
      </c>
      <c r="B7" s="262">
        <v>1</v>
      </c>
      <c r="C7" s="262">
        <v>1</v>
      </c>
      <c r="D7" s="262">
        <v>1</v>
      </c>
      <c r="E7" s="262">
        <v>0.95454545454545459</v>
      </c>
      <c r="F7" s="262">
        <v>1</v>
      </c>
      <c r="G7" s="262">
        <v>1</v>
      </c>
      <c r="H7" s="262">
        <v>1</v>
      </c>
      <c r="I7" s="459">
        <v>1</v>
      </c>
      <c r="J7" s="262">
        <v>1</v>
      </c>
      <c r="K7" s="262">
        <v>1</v>
      </c>
      <c r="L7" s="265">
        <v>1</v>
      </c>
      <c r="M7" s="459">
        <v>1.1000000000000001</v>
      </c>
      <c r="N7" s="459">
        <f t="shared" si="0"/>
        <v>0.90909090909090906</v>
      </c>
      <c r="O7" s="277" t="s">
        <v>366</v>
      </c>
      <c r="P7" s="387"/>
      <c r="Q7" s="387" t="s">
        <v>363</v>
      </c>
      <c r="R7" s="387"/>
      <c r="S7" s="387"/>
      <c r="T7" s="387"/>
      <c r="U7" s="387"/>
      <c r="V7" s="387"/>
      <c r="W7" s="387"/>
      <c r="X7" s="387"/>
      <c r="Y7" s="387"/>
      <c r="Z7" s="277" t="s">
        <v>363</v>
      </c>
    </row>
    <row r="8" spans="1:26" x14ac:dyDescent="0.25">
      <c r="A8" s="396" t="s">
        <v>387</v>
      </c>
      <c r="B8" s="262">
        <v>1</v>
      </c>
      <c r="C8" s="262">
        <v>1</v>
      </c>
      <c r="D8" s="262">
        <v>1</v>
      </c>
      <c r="E8" s="262">
        <v>1.0937500000000002</v>
      </c>
      <c r="F8" s="262">
        <v>1.1458333333333335</v>
      </c>
      <c r="G8" s="262">
        <v>1.1979166666666667</v>
      </c>
      <c r="H8" s="262">
        <v>1.25</v>
      </c>
      <c r="I8" s="459">
        <v>1.25</v>
      </c>
      <c r="J8" s="262">
        <v>1.25</v>
      </c>
      <c r="K8" s="262">
        <v>1.25</v>
      </c>
      <c r="L8" s="265">
        <v>1.25</v>
      </c>
      <c r="M8" s="459">
        <v>1.2</v>
      </c>
      <c r="N8" s="459">
        <f t="shared" si="0"/>
        <v>1.0416666666666667</v>
      </c>
      <c r="O8" s="277" t="s">
        <v>367</v>
      </c>
      <c r="P8" s="387"/>
      <c r="Q8" s="387" t="s">
        <v>363</v>
      </c>
      <c r="R8" s="387"/>
      <c r="S8" s="387"/>
      <c r="T8" s="387"/>
      <c r="U8" s="387"/>
      <c r="V8" s="387"/>
      <c r="W8" s="387"/>
      <c r="X8" s="387"/>
      <c r="Y8" s="387"/>
      <c r="Z8" s="277" t="s">
        <v>363</v>
      </c>
    </row>
    <row r="9" spans="1:26" x14ac:dyDescent="0.25">
      <c r="A9" s="396" t="s">
        <v>483</v>
      </c>
      <c r="B9" s="262">
        <v>1</v>
      </c>
      <c r="C9" s="262">
        <v>1</v>
      </c>
      <c r="D9" s="262">
        <v>1</v>
      </c>
      <c r="E9" s="262">
        <v>0.875</v>
      </c>
      <c r="F9" s="262">
        <v>0.875</v>
      </c>
      <c r="G9" s="262">
        <v>0.8125</v>
      </c>
      <c r="H9" s="262">
        <v>0.75</v>
      </c>
      <c r="I9" s="459">
        <v>0.75</v>
      </c>
      <c r="J9" s="262">
        <v>0.6875</v>
      </c>
      <c r="K9" s="262">
        <v>0.6875</v>
      </c>
      <c r="L9" s="265">
        <v>0.625</v>
      </c>
      <c r="M9" s="459">
        <v>0.6</v>
      </c>
      <c r="N9" s="459">
        <f t="shared" si="0"/>
        <v>1.25</v>
      </c>
      <c r="O9" s="277" t="s">
        <v>368</v>
      </c>
      <c r="P9" s="387"/>
      <c r="Q9" s="387"/>
      <c r="R9" s="387"/>
      <c r="S9" s="387" t="s">
        <v>362</v>
      </c>
      <c r="T9" s="387"/>
      <c r="U9" s="387"/>
      <c r="V9" s="387"/>
      <c r="W9" s="387"/>
      <c r="X9" s="387"/>
      <c r="Y9" s="387"/>
      <c r="Z9" s="277" t="s">
        <v>362</v>
      </c>
    </row>
    <row r="10" spans="1:26" x14ac:dyDescent="0.25">
      <c r="A10" s="396" t="s">
        <v>484</v>
      </c>
      <c r="B10" s="262">
        <v>1</v>
      </c>
      <c r="C10" s="262">
        <v>1</v>
      </c>
      <c r="D10" s="262">
        <v>1</v>
      </c>
      <c r="E10" s="262">
        <v>1.25</v>
      </c>
      <c r="F10" s="262">
        <v>1.25</v>
      </c>
      <c r="G10" s="262">
        <v>1.25</v>
      </c>
      <c r="H10" s="262">
        <v>1.25</v>
      </c>
      <c r="I10" s="459">
        <v>1.25</v>
      </c>
      <c r="J10" s="262">
        <v>1.25</v>
      </c>
      <c r="K10" s="262">
        <v>1.25</v>
      </c>
      <c r="L10" s="265">
        <v>1.25</v>
      </c>
      <c r="M10" s="459">
        <v>1</v>
      </c>
      <c r="N10" s="459">
        <f t="shared" si="0"/>
        <v>1.25</v>
      </c>
      <c r="P10" s="387"/>
      <c r="Q10" s="387"/>
      <c r="R10" s="387"/>
      <c r="S10" s="387" t="s">
        <v>371</v>
      </c>
      <c r="T10" s="387"/>
      <c r="U10" s="387"/>
      <c r="V10" s="387"/>
      <c r="W10" s="387"/>
      <c r="X10" s="387"/>
      <c r="Y10" s="387"/>
      <c r="Z10" s="277" t="s">
        <v>371</v>
      </c>
    </row>
    <row r="11" spans="1:26" x14ac:dyDescent="0.25">
      <c r="A11" s="396" t="s">
        <v>486</v>
      </c>
      <c r="B11" s="262">
        <v>1</v>
      </c>
      <c r="C11" s="262">
        <v>1</v>
      </c>
      <c r="D11" s="262">
        <v>1</v>
      </c>
      <c r="E11" s="262">
        <v>1.5</v>
      </c>
      <c r="F11" s="262">
        <v>1.5</v>
      </c>
      <c r="G11" s="262">
        <v>1.5</v>
      </c>
      <c r="H11" s="262">
        <v>1.5</v>
      </c>
      <c r="I11" s="459">
        <v>1.5</v>
      </c>
      <c r="J11" s="262">
        <v>1.5</v>
      </c>
      <c r="K11" s="262">
        <v>1.5</v>
      </c>
      <c r="L11" s="265">
        <v>1.5</v>
      </c>
      <c r="M11" s="459">
        <v>1</v>
      </c>
      <c r="N11" s="459">
        <f t="shared" si="0"/>
        <v>1.5</v>
      </c>
      <c r="P11" s="387"/>
      <c r="Q11" s="387"/>
      <c r="R11" s="387"/>
      <c r="S11" s="387"/>
      <c r="T11" s="387"/>
      <c r="U11" s="387"/>
      <c r="V11" s="387"/>
      <c r="W11" s="387"/>
      <c r="X11" s="387" t="s">
        <v>371</v>
      </c>
      <c r="Y11" s="387"/>
      <c r="Z11" s="277" t="s">
        <v>371</v>
      </c>
    </row>
    <row r="12" spans="1:26" x14ac:dyDescent="0.25">
      <c r="A12" s="396" t="s">
        <v>487</v>
      </c>
      <c r="B12" s="262">
        <v>1</v>
      </c>
      <c r="C12" s="262">
        <v>1</v>
      </c>
      <c r="D12" s="262">
        <v>1</v>
      </c>
      <c r="E12" s="262">
        <v>1.484375</v>
      </c>
      <c r="F12" s="262">
        <v>1.40625</v>
      </c>
      <c r="G12" s="262">
        <v>1.328125</v>
      </c>
      <c r="H12" s="262">
        <v>1.25</v>
      </c>
      <c r="I12" s="459">
        <v>1.25</v>
      </c>
      <c r="J12" s="262">
        <v>1.25</v>
      </c>
      <c r="K12" s="262">
        <v>1.25</v>
      </c>
      <c r="L12" s="265">
        <v>1.25</v>
      </c>
      <c r="M12" s="459">
        <v>0.8</v>
      </c>
      <c r="N12" s="459">
        <f t="shared" si="0"/>
        <v>1.5625</v>
      </c>
      <c r="O12" s="277" t="s">
        <v>369</v>
      </c>
      <c r="P12" s="387"/>
      <c r="Q12" s="387"/>
      <c r="R12" s="387"/>
      <c r="S12" s="387"/>
      <c r="T12" s="387"/>
      <c r="U12" s="387"/>
      <c r="V12" s="387"/>
      <c r="W12" s="387"/>
      <c r="X12" s="387" t="s">
        <v>363</v>
      </c>
      <c r="Y12" s="387"/>
      <c r="Z12" s="277" t="s">
        <v>363</v>
      </c>
    </row>
    <row r="13" spans="1:26" x14ac:dyDescent="0.25">
      <c r="A13" s="396" t="s">
        <v>488</v>
      </c>
      <c r="B13" s="262">
        <v>1</v>
      </c>
      <c r="C13" s="262">
        <v>1</v>
      </c>
      <c r="D13" s="262">
        <v>1</v>
      </c>
      <c r="E13" s="262">
        <v>0.8</v>
      </c>
      <c r="F13" s="262">
        <v>0.7</v>
      </c>
      <c r="G13" s="262">
        <v>0.65</v>
      </c>
      <c r="H13" s="262">
        <v>0.6</v>
      </c>
      <c r="I13" s="459">
        <v>0.5</v>
      </c>
      <c r="J13" s="262">
        <v>0.5</v>
      </c>
      <c r="K13" s="262">
        <v>0.5</v>
      </c>
      <c r="L13" s="265">
        <v>0.5</v>
      </c>
      <c r="M13" s="459">
        <v>1</v>
      </c>
      <c r="N13" s="459">
        <f t="shared" si="0"/>
        <v>0.5</v>
      </c>
      <c r="P13" s="387"/>
      <c r="Q13" s="387"/>
      <c r="R13" s="387"/>
      <c r="S13" s="387"/>
      <c r="T13" s="387"/>
      <c r="U13" s="387"/>
      <c r="V13" s="387"/>
      <c r="W13" s="387"/>
      <c r="X13" s="387" t="s">
        <v>371</v>
      </c>
      <c r="Y13" s="387"/>
      <c r="Z13" s="277" t="s">
        <v>371</v>
      </c>
    </row>
    <row r="14" spans="1:26" x14ac:dyDescent="0.25">
      <c r="A14" s="396" t="s">
        <v>489</v>
      </c>
      <c r="B14" s="262">
        <v>1</v>
      </c>
      <c r="C14" s="262">
        <v>1</v>
      </c>
      <c r="D14" s="262">
        <v>1</v>
      </c>
      <c r="E14" s="262">
        <v>1.26</v>
      </c>
      <c r="F14" s="262">
        <v>1.32</v>
      </c>
      <c r="G14" s="262">
        <v>1.38</v>
      </c>
      <c r="H14" s="262">
        <v>1.44</v>
      </c>
      <c r="I14" s="459">
        <v>1.5</v>
      </c>
      <c r="J14" s="262">
        <v>1.56</v>
      </c>
      <c r="K14" s="262">
        <v>1.62</v>
      </c>
      <c r="L14" s="265">
        <v>1.68</v>
      </c>
      <c r="M14" s="459">
        <v>1.25</v>
      </c>
      <c r="N14" s="459">
        <f t="shared" si="0"/>
        <v>1.2</v>
      </c>
      <c r="O14" s="277" t="s">
        <v>370</v>
      </c>
      <c r="P14" s="387"/>
      <c r="Q14" s="387"/>
      <c r="R14" s="387"/>
      <c r="S14" s="387"/>
      <c r="T14" s="387"/>
      <c r="U14" s="387"/>
      <c r="V14" s="387"/>
      <c r="W14" s="387"/>
      <c r="X14" s="387" t="s">
        <v>363</v>
      </c>
      <c r="Y14" s="387"/>
      <c r="Z14" s="277" t="s">
        <v>363</v>
      </c>
    </row>
    <row r="15" spans="1:26" x14ac:dyDescent="0.25">
      <c r="A15" s="396" t="s">
        <v>398</v>
      </c>
      <c r="B15" s="262">
        <v>1</v>
      </c>
      <c r="C15" s="262">
        <v>1</v>
      </c>
      <c r="D15" s="262">
        <v>1</v>
      </c>
      <c r="E15" s="262">
        <v>1.484375</v>
      </c>
      <c r="F15" s="262">
        <v>1.40625</v>
      </c>
      <c r="G15" s="262">
        <v>1.328125</v>
      </c>
      <c r="H15" s="262">
        <v>1.25</v>
      </c>
      <c r="I15" s="459">
        <v>1.25</v>
      </c>
      <c r="J15" s="262">
        <v>1.25</v>
      </c>
      <c r="K15" s="262">
        <v>1.25</v>
      </c>
      <c r="L15" s="265">
        <v>1.25</v>
      </c>
      <c r="M15" s="459">
        <v>0.8</v>
      </c>
      <c r="N15" s="459">
        <f t="shared" si="0"/>
        <v>1.5625</v>
      </c>
      <c r="O15" s="277" t="s">
        <v>376</v>
      </c>
      <c r="P15" s="387"/>
      <c r="Q15" s="387"/>
      <c r="R15" s="387"/>
      <c r="S15" s="387"/>
      <c r="T15" s="387"/>
      <c r="U15" s="387" t="s">
        <v>362</v>
      </c>
      <c r="V15" s="387"/>
      <c r="W15" s="387"/>
      <c r="X15" s="387"/>
      <c r="Y15" s="387"/>
      <c r="Z15" s="277" t="s">
        <v>362</v>
      </c>
    </row>
    <row r="16" spans="1:26" x14ac:dyDescent="0.25">
      <c r="A16" s="396" t="s">
        <v>399</v>
      </c>
      <c r="B16" s="262">
        <v>1</v>
      </c>
      <c r="C16" s="262">
        <v>1</v>
      </c>
      <c r="D16" s="262">
        <v>1</v>
      </c>
      <c r="E16" s="262">
        <v>1.0937500000000002</v>
      </c>
      <c r="F16" s="262">
        <v>1.1458333333333335</v>
      </c>
      <c r="G16" s="262">
        <v>1.1979166666666667</v>
      </c>
      <c r="H16" s="262">
        <v>1.25</v>
      </c>
      <c r="I16" s="459">
        <v>1.25</v>
      </c>
      <c r="J16" s="262">
        <v>1.25</v>
      </c>
      <c r="K16" s="262">
        <v>1.25</v>
      </c>
      <c r="L16" s="265">
        <v>1.25</v>
      </c>
      <c r="M16" s="459">
        <v>1.2</v>
      </c>
      <c r="N16" s="459">
        <f t="shared" si="0"/>
        <v>1.0416666666666667</v>
      </c>
      <c r="O16" s="277" t="s">
        <v>377</v>
      </c>
      <c r="P16" s="387"/>
      <c r="Q16" s="387"/>
      <c r="R16" s="387"/>
      <c r="S16" s="387"/>
      <c r="T16" s="387"/>
      <c r="U16" s="387" t="s">
        <v>363</v>
      </c>
      <c r="V16" s="387"/>
      <c r="W16" s="387"/>
      <c r="X16" s="387"/>
      <c r="Y16" s="387"/>
      <c r="Z16" s="277" t="s">
        <v>363</v>
      </c>
    </row>
    <row r="17" spans="1:26" x14ac:dyDescent="0.25">
      <c r="A17" s="396" t="s">
        <v>400</v>
      </c>
      <c r="B17" s="262">
        <v>1</v>
      </c>
      <c r="C17" s="262">
        <v>1</v>
      </c>
      <c r="D17" s="262">
        <v>1</v>
      </c>
      <c r="E17" s="262">
        <v>1.484375</v>
      </c>
      <c r="F17" s="262">
        <v>1.40625</v>
      </c>
      <c r="G17" s="262">
        <v>1.328125</v>
      </c>
      <c r="H17" s="262">
        <v>1.25</v>
      </c>
      <c r="I17" s="459">
        <v>1.25</v>
      </c>
      <c r="J17" s="262">
        <v>1.25</v>
      </c>
      <c r="K17" s="262">
        <v>1.25</v>
      </c>
      <c r="L17" s="265">
        <v>1.25</v>
      </c>
      <c r="M17" s="459">
        <v>0.8</v>
      </c>
      <c r="N17" s="459">
        <f t="shared" si="0"/>
        <v>1.5625</v>
      </c>
      <c r="O17" s="277" t="s">
        <v>375</v>
      </c>
      <c r="P17" s="387"/>
      <c r="Q17" s="387"/>
      <c r="R17" s="387"/>
      <c r="S17" s="387"/>
      <c r="T17" s="387"/>
      <c r="U17" s="387"/>
      <c r="V17" s="387" t="s">
        <v>362</v>
      </c>
      <c r="W17" s="387"/>
      <c r="X17" s="387"/>
      <c r="Y17" s="387"/>
      <c r="Z17" s="277" t="s">
        <v>362</v>
      </c>
    </row>
    <row r="18" spans="1:26" x14ac:dyDescent="0.25">
      <c r="A18" s="397" t="s">
        <v>401</v>
      </c>
      <c r="B18" s="262">
        <v>1</v>
      </c>
      <c r="C18" s="262">
        <v>1</v>
      </c>
      <c r="D18" s="262">
        <v>1</v>
      </c>
      <c r="E18" s="266">
        <v>1.78125</v>
      </c>
      <c r="F18" s="266">
        <v>1.6875</v>
      </c>
      <c r="G18" s="266">
        <v>1.59375</v>
      </c>
      <c r="H18" s="266">
        <v>1.5</v>
      </c>
      <c r="I18" s="460">
        <v>1.5</v>
      </c>
      <c r="J18" s="266">
        <v>1.5</v>
      </c>
      <c r="K18" s="266">
        <v>1.5</v>
      </c>
      <c r="L18" s="267">
        <v>1.5</v>
      </c>
      <c r="M18" s="460">
        <v>0.8</v>
      </c>
      <c r="N18" s="459">
        <f t="shared" si="0"/>
        <v>1.875</v>
      </c>
      <c r="O18" s="277" t="s">
        <v>375</v>
      </c>
      <c r="P18" s="387"/>
      <c r="Q18" s="387"/>
      <c r="R18" s="387" t="s">
        <v>362</v>
      </c>
      <c r="S18" s="387"/>
      <c r="T18" s="387"/>
      <c r="U18" s="387"/>
      <c r="V18" s="387"/>
      <c r="W18" s="387"/>
      <c r="X18" s="387"/>
      <c r="Y18" s="387"/>
      <c r="Z18" s="277" t="s">
        <v>362</v>
      </c>
    </row>
    <row r="19" spans="1:26" x14ac:dyDescent="0.25">
      <c r="A19" s="395" t="s">
        <v>414</v>
      </c>
      <c r="B19" s="263">
        <v>1</v>
      </c>
      <c r="C19" s="263">
        <v>1</v>
      </c>
      <c r="D19" s="263">
        <v>1</v>
      </c>
      <c r="E19" s="263">
        <v>1</v>
      </c>
      <c r="F19" s="263">
        <v>1</v>
      </c>
      <c r="G19" s="263">
        <v>1</v>
      </c>
      <c r="H19" s="263">
        <v>1</v>
      </c>
      <c r="I19" s="461">
        <v>1</v>
      </c>
      <c r="J19" s="263">
        <v>1</v>
      </c>
      <c r="K19" s="263">
        <v>1</v>
      </c>
      <c r="L19" s="264">
        <v>1</v>
      </c>
      <c r="M19" s="461">
        <v>1</v>
      </c>
      <c r="N19" s="459">
        <f t="shared" si="0"/>
        <v>1</v>
      </c>
      <c r="O19" s="277" t="s">
        <v>380</v>
      </c>
      <c r="P19" s="387"/>
      <c r="Q19" s="387"/>
      <c r="R19" s="387"/>
      <c r="S19" s="387"/>
      <c r="T19" s="387" t="s">
        <v>371</v>
      </c>
      <c r="U19" s="387"/>
      <c r="V19" s="387"/>
      <c r="W19" s="387"/>
      <c r="X19" s="387"/>
      <c r="Y19" s="387"/>
      <c r="Z19" s="277" t="s">
        <v>371</v>
      </c>
    </row>
    <row r="20" spans="1:26" x14ac:dyDescent="0.25">
      <c r="A20" s="396" t="s">
        <v>415</v>
      </c>
      <c r="B20" s="262">
        <v>1</v>
      </c>
      <c r="C20" s="262">
        <v>1</v>
      </c>
      <c r="D20" s="262">
        <v>1</v>
      </c>
      <c r="E20" s="262">
        <v>1</v>
      </c>
      <c r="F20" s="262">
        <v>1</v>
      </c>
      <c r="G20" s="262">
        <v>1</v>
      </c>
      <c r="H20" s="262">
        <v>1</v>
      </c>
      <c r="I20" s="459">
        <v>1</v>
      </c>
      <c r="J20" s="262">
        <v>1</v>
      </c>
      <c r="K20" s="262">
        <v>1</v>
      </c>
      <c r="L20" s="265">
        <v>1</v>
      </c>
      <c r="M20" s="459">
        <v>1</v>
      </c>
      <c r="N20" s="459">
        <f t="shared" si="0"/>
        <v>1</v>
      </c>
      <c r="O20" s="277" t="s">
        <v>381</v>
      </c>
      <c r="P20" s="387"/>
      <c r="Q20" s="387"/>
      <c r="R20" s="387"/>
      <c r="S20" s="387"/>
      <c r="T20" s="387" t="s">
        <v>363</v>
      </c>
      <c r="U20" s="387"/>
      <c r="V20" s="387"/>
      <c r="W20" s="387"/>
      <c r="X20" s="387"/>
      <c r="Y20" s="387"/>
      <c r="Z20" s="277" t="s">
        <v>363</v>
      </c>
    </row>
    <row r="21" spans="1:26" x14ac:dyDescent="0.25">
      <c r="A21" s="396" t="s">
        <v>416</v>
      </c>
      <c r="B21" s="262">
        <v>1</v>
      </c>
      <c r="C21" s="262">
        <v>1</v>
      </c>
      <c r="D21" s="262">
        <v>1</v>
      </c>
      <c r="E21" s="262">
        <v>1</v>
      </c>
      <c r="F21" s="262">
        <v>1</v>
      </c>
      <c r="G21" s="262">
        <v>1</v>
      </c>
      <c r="H21" s="262">
        <v>1</v>
      </c>
      <c r="I21" s="459">
        <v>1</v>
      </c>
      <c r="J21" s="262">
        <v>1</v>
      </c>
      <c r="K21" s="262">
        <v>1</v>
      </c>
      <c r="L21" s="265">
        <v>1</v>
      </c>
      <c r="M21" s="459">
        <v>1</v>
      </c>
      <c r="N21" s="459">
        <f t="shared" si="0"/>
        <v>1</v>
      </c>
      <c r="O21" s="277" t="s">
        <v>382</v>
      </c>
      <c r="P21" s="387" t="s">
        <v>363</v>
      </c>
      <c r="Q21" s="387" t="s">
        <v>363</v>
      </c>
      <c r="R21" s="387"/>
      <c r="S21" s="387"/>
      <c r="T21" s="387"/>
      <c r="U21" s="387"/>
      <c r="V21" s="387"/>
      <c r="W21" s="387"/>
      <c r="X21" s="387"/>
      <c r="Y21" s="387"/>
      <c r="Z21" s="277" t="s">
        <v>363</v>
      </c>
    </row>
    <row r="22" spans="1:26" x14ac:dyDescent="0.25">
      <c r="A22" s="396" t="s">
        <v>417</v>
      </c>
      <c r="B22" s="262">
        <v>1</v>
      </c>
      <c r="C22" s="262">
        <v>1</v>
      </c>
      <c r="D22" s="262">
        <v>1</v>
      </c>
      <c r="E22" s="262">
        <v>1</v>
      </c>
      <c r="F22" s="262">
        <v>1</v>
      </c>
      <c r="G22" s="262">
        <v>1</v>
      </c>
      <c r="H22" s="262">
        <v>1</v>
      </c>
      <c r="I22" s="459">
        <v>1</v>
      </c>
      <c r="J22" s="262">
        <v>1</v>
      </c>
      <c r="K22" s="262">
        <v>1</v>
      </c>
      <c r="L22" s="265">
        <v>1</v>
      </c>
      <c r="M22" s="459">
        <v>1</v>
      </c>
      <c r="N22" s="459">
        <f t="shared" si="0"/>
        <v>1</v>
      </c>
      <c r="O22" s="277" t="s">
        <v>382</v>
      </c>
      <c r="P22" s="387" t="s">
        <v>363</v>
      </c>
      <c r="Q22" s="387" t="s">
        <v>363</v>
      </c>
      <c r="R22" s="387"/>
      <c r="S22" s="387"/>
      <c r="T22" s="387"/>
      <c r="U22" s="387"/>
      <c r="V22" s="387"/>
      <c r="W22" s="387"/>
      <c r="X22" s="387"/>
      <c r="Y22" s="387"/>
      <c r="Z22" s="277" t="s">
        <v>363</v>
      </c>
    </row>
    <row r="23" spans="1:26" x14ac:dyDescent="0.25">
      <c r="A23" s="396" t="s">
        <v>410</v>
      </c>
      <c r="B23" s="262">
        <v>1</v>
      </c>
      <c r="C23" s="262">
        <v>1</v>
      </c>
      <c r="D23" s="262">
        <v>1</v>
      </c>
      <c r="E23" s="262">
        <v>1</v>
      </c>
      <c r="F23" s="262">
        <v>1</v>
      </c>
      <c r="G23" s="262">
        <v>1</v>
      </c>
      <c r="H23" s="262">
        <v>1</v>
      </c>
      <c r="I23" s="459">
        <v>1</v>
      </c>
      <c r="J23" s="262">
        <v>1</v>
      </c>
      <c r="K23" s="262">
        <v>1</v>
      </c>
      <c r="L23" s="265">
        <v>1</v>
      </c>
      <c r="M23" s="459">
        <v>1</v>
      </c>
      <c r="N23" s="459">
        <f t="shared" si="0"/>
        <v>1</v>
      </c>
      <c r="O23" s="277" t="s">
        <v>382</v>
      </c>
      <c r="P23" s="387"/>
      <c r="Q23" s="387" t="s">
        <v>363</v>
      </c>
      <c r="R23" s="387"/>
      <c r="S23" s="387"/>
      <c r="T23" s="387"/>
      <c r="U23" s="387"/>
      <c r="V23" s="387"/>
      <c r="W23" s="387"/>
      <c r="X23" s="387"/>
      <c r="Y23" s="387"/>
      <c r="Z23" s="387" t="s">
        <v>363</v>
      </c>
    </row>
    <row r="24" spans="1:26" x14ac:dyDescent="0.25">
      <c r="A24" s="396" t="s">
        <v>411</v>
      </c>
      <c r="B24" s="262">
        <v>1</v>
      </c>
      <c r="C24" s="262">
        <v>1</v>
      </c>
      <c r="D24" s="262">
        <v>1</v>
      </c>
      <c r="E24" s="262">
        <v>1</v>
      </c>
      <c r="F24" s="262">
        <v>1</v>
      </c>
      <c r="G24" s="262">
        <v>1</v>
      </c>
      <c r="H24" s="262">
        <v>1</v>
      </c>
      <c r="I24" s="459">
        <v>1</v>
      </c>
      <c r="J24" s="262">
        <v>1</v>
      </c>
      <c r="K24" s="262">
        <v>1</v>
      </c>
      <c r="L24" s="265">
        <v>1</v>
      </c>
      <c r="M24" s="459">
        <v>1</v>
      </c>
      <c r="N24" s="459">
        <f t="shared" si="0"/>
        <v>1</v>
      </c>
      <c r="O24" s="277" t="s">
        <v>382</v>
      </c>
      <c r="P24" s="387"/>
      <c r="Q24" s="387" t="s">
        <v>363</v>
      </c>
      <c r="R24" s="387"/>
      <c r="S24" s="387"/>
      <c r="T24" s="387"/>
      <c r="U24" s="387"/>
      <c r="V24" s="387"/>
      <c r="W24" s="387"/>
      <c r="X24" s="387"/>
      <c r="Y24" s="387"/>
      <c r="Z24" s="387" t="s">
        <v>363</v>
      </c>
    </row>
    <row r="25" spans="1:26" x14ac:dyDescent="0.25">
      <c r="A25" s="396" t="s">
        <v>412</v>
      </c>
      <c r="B25" s="262">
        <v>1</v>
      </c>
      <c r="C25" s="262">
        <v>1</v>
      </c>
      <c r="D25" s="262">
        <v>1</v>
      </c>
      <c r="E25" s="262">
        <v>1</v>
      </c>
      <c r="F25" s="262">
        <v>1</v>
      </c>
      <c r="G25" s="262">
        <v>1</v>
      </c>
      <c r="H25" s="262">
        <v>1</v>
      </c>
      <c r="I25" s="459">
        <v>1</v>
      </c>
      <c r="J25" s="262">
        <v>1</v>
      </c>
      <c r="K25" s="262">
        <v>1</v>
      </c>
      <c r="L25" s="265">
        <v>1</v>
      </c>
      <c r="M25" s="459">
        <v>1</v>
      </c>
      <c r="N25" s="459">
        <f t="shared" si="0"/>
        <v>1</v>
      </c>
      <c r="O25" s="277" t="s">
        <v>382</v>
      </c>
      <c r="P25" s="387"/>
      <c r="Q25" s="387" t="s">
        <v>363</v>
      </c>
      <c r="R25" s="387"/>
      <c r="S25" s="387"/>
      <c r="T25" s="387"/>
      <c r="U25" s="387"/>
      <c r="V25" s="387"/>
      <c r="W25" s="387"/>
      <c r="X25" s="387"/>
      <c r="Y25" s="387"/>
      <c r="Z25" s="387" t="s">
        <v>363</v>
      </c>
    </row>
    <row r="26" spans="1:26" x14ac:dyDescent="0.25">
      <c r="A26" s="396" t="s">
        <v>413</v>
      </c>
      <c r="B26" s="262">
        <v>1</v>
      </c>
      <c r="C26" s="262">
        <v>1</v>
      </c>
      <c r="D26" s="262">
        <v>1</v>
      </c>
      <c r="E26" s="262">
        <v>1</v>
      </c>
      <c r="F26" s="262">
        <v>1</v>
      </c>
      <c r="G26" s="262">
        <v>1</v>
      </c>
      <c r="H26" s="262">
        <v>1</v>
      </c>
      <c r="I26" s="459">
        <v>1</v>
      </c>
      <c r="J26" s="262">
        <v>1</v>
      </c>
      <c r="K26" s="262">
        <v>1</v>
      </c>
      <c r="L26" s="265">
        <v>1</v>
      </c>
      <c r="M26" s="459">
        <v>1</v>
      </c>
      <c r="N26" s="459">
        <f t="shared" si="0"/>
        <v>1</v>
      </c>
      <c r="O26" s="277" t="s">
        <v>382</v>
      </c>
      <c r="P26" s="387"/>
      <c r="Q26" s="387" t="s">
        <v>363</v>
      </c>
      <c r="R26" s="387"/>
      <c r="S26" s="387"/>
      <c r="T26" s="387"/>
      <c r="U26" s="387"/>
      <c r="V26" s="387"/>
      <c r="W26" s="387"/>
      <c r="X26" s="387"/>
      <c r="Y26" s="387"/>
      <c r="Z26" s="387" t="s">
        <v>363</v>
      </c>
    </row>
    <row r="27" spans="1:26" x14ac:dyDescent="0.25">
      <c r="A27" s="396" t="s">
        <v>418</v>
      </c>
      <c r="B27" s="262">
        <v>1</v>
      </c>
      <c r="C27" s="262">
        <v>1</v>
      </c>
      <c r="D27" s="262">
        <v>1</v>
      </c>
      <c r="E27" s="262">
        <v>1</v>
      </c>
      <c r="F27" s="262">
        <v>1</v>
      </c>
      <c r="G27" s="262">
        <v>1</v>
      </c>
      <c r="H27" s="262">
        <v>1</v>
      </c>
      <c r="I27" s="459">
        <v>1</v>
      </c>
      <c r="J27" s="262">
        <v>1</v>
      </c>
      <c r="K27" s="262">
        <v>1</v>
      </c>
      <c r="L27" s="265">
        <v>1</v>
      </c>
      <c r="M27" s="459">
        <v>1</v>
      </c>
      <c r="N27" s="459">
        <f t="shared" si="0"/>
        <v>1</v>
      </c>
      <c r="O27" s="277" t="s">
        <v>382</v>
      </c>
      <c r="P27" s="387"/>
      <c r="Q27" s="387" t="s">
        <v>363</v>
      </c>
      <c r="R27" s="387"/>
      <c r="S27" s="387"/>
      <c r="T27" s="387"/>
      <c r="U27" s="387"/>
      <c r="V27" s="387"/>
      <c r="W27" s="387"/>
      <c r="X27" s="387"/>
      <c r="Y27" s="387"/>
      <c r="Z27" s="387" t="s">
        <v>363</v>
      </c>
    </row>
    <row r="28" spans="1:26" x14ac:dyDescent="0.25">
      <c r="A28" s="396" t="s">
        <v>419</v>
      </c>
      <c r="B28" s="262">
        <v>1</v>
      </c>
      <c r="C28" s="262">
        <v>1</v>
      </c>
      <c r="D28" s="262">
        <v>1</v>
      </c>
      <c r="E28" s="262">
        <v>1</v>
      </c>
      <c r="F28" s="262">
        <v>1</v>
      </c>
      <c r="G28" s="262">
        <v>1</v>
      </c>
      <c r="H28" s="262">
        <v>1</v>
      </c>
      <c r="I28" s="459">
        <v>1</v>
      </c>
      <c r="J28" s="262">
        <v>1</v>
      </c>
      <c r="K28" s="262">
        <v>1</v>
      </c>
      <c r="L28" s="265">
        <v>1</v>
      </c>
      <c r="M28" s="459">
        <v>1</v>
      </c>
      <c r="N28" s="459">
        <f t="shared" si="0"/>
        <v>1</v>
      </c>
      <c r="O28" s="277" t="s">
        <v>382</v>
      </c>
      <c r="P28" s="387"/>
      <c r="Q28" s="387" t="s">
        <v>363</v>
      </c>
      <c r="R28" s="387"/>
      <c r="S28" s="387"/>
      <c r="T28" s="387"/>
      <c r="U28" s="387"/>
      <c r="V28" s="387"/>
      <c r="W28" s="387"/>
      <c r="X28" s="387"/>
      <c r="Y28" s="387"/>
      <c r="Z28" s="387" t="s">
        <v>363</v>
      </c>
    </row>
    <row r="29" spans="1:26" x14ac:dyDescent="0.25">
      <c r="A29" s="396" t="s">
        <v>420</v>
      </c>
      <c r="B29" s="262">
        <v>1</v>
      </c>
      <c r="C29" s="262">
        <v>1</v>
      </c>
      <c r="D29" s="262">
        <v>1</v>
      </c>
      <c r="E29" s="262">
        <v>1</v>
      </c>
      <c r="F29" s="262">
        <v>1</v>
      </c>
      <c r="G29" s="262">
        <v>1</v>
      </c>
      <c r="H29" s="262">
        <v>1</v>
      </c>
      <c r="I29" s="459">
        <v>1</v>
      </c>
      <c r="J29" s="262">
        <v>1</v>
      </c>
      <c r="K29" s="262">
        <v>1</v>
      </c>
      <c r="L29" s="265">
        <v>1</v>
      </c>
      <c r="M29" s="459">
        <v>1</v>
      </c>
      <c r="N29" s="459">
        <f t="shared" si="0"/>
        <v>1</v>
      </c>
      <c r="O29" s="277" t="s">
        <v>382</v>
      </c>
      <c r="P29" s="387"/>
      <c r="Q29" s="387" t="s">
        <v>363</v>
      </c>
      <c r="R29" s="387" t="s">
        <v>363</v>
      </c>
      <c r="S29" s="387"/>
      <c r="T29" s="387"/>
      <c r="U29" s="387"/>
      <c r="V29" s="387"/>
      <c r="W29" s="387"/>
      <c r="X29" s="387"/>
      <c r="Y29" s="387"/>
      <c r="Z29" s="387" t="s">
        <v>363</v>
      </c>
    </row>
    <row r="30" spans="1:26" x14ac:dyDescent="0.25">
      <c r="A30" s="397" t="s">
        <v>421</v>
      </c>
      <c r="B30" s="266">
        <v>1</v>
      </c>
      <c r="C30" s="266">
        <v>1</v>
      </c>
      <c r="D30" s="266">
        <v>1</v>
      </c>
      <c r="E30" s="266">
        <v>1</v>
      </c>
      <c r="F30" s="266">
        <v>1</v>
      </c>
      <c r="G30" s="266">
        <v>1</v>
      </c>
      <c r="H30" s="266">
        <v>1</v>
      </c>
      <c r="I30" s="460">
        <v>1</v>
      </c>
      <c r="J30" s="266">
        <v>1</v>
      </c>
      <c r="K30" s="266">
        <v>1</v>
      </c>
      <c r="L30" s="267">
        <v>1</v>
      </c>
      <c r="M30" s="460">
        <v>1</v>
      </c>
      <c r="N30" s="459">
        <f t="shared" si="0"/>
        <v>1</v>
      </c>
      <c r="O30" s="277" t="s">
        <v>382</v>
      </c>
      <c r="P30" s="387"/>
      <c r="Q30" s="387" t="s">
        <v>363</v>
      </c>
      <c r="R30" s="387" t="s">
        <v>363</v>
      </c>
      <c r="S30" s="387"/>
      <c r="T30" s="387"/>
      <c r="U30" s="387"/>
      <c r="V30" s="387"/>
      <c r="W30" s="387"/>
      <c r="X30" s="387"/>
      <c r="Y30" s="387"/>
      <c r="Z30" s="387" t="s">
        <v>363</v>
      </c>
    </row>
    <row r="31" spans="1:26" x14ac:dyDescent="0.25">
      <c r="A31" s="396"/>
      <c r="B31" s="381"/>
      <c r="C31" s="381"/>
      <c r="D31" s="381"/>
      <c r="E31" s="381"/>
      <c r="F31" s="381"/>
      <c r="G31" s="381"/>
      <c r="H31" s="381"/>
      <c r="I31" s="462"/>
      <c r="J31" s="381"/>
      <c r="K31" s="381"/>
      <c r="L31" s="381"/>
      <c r="M31" s="462"/>
      <c r="N31" s="459"/>
    </row>
    <row r="32" spans="1:26" x14ac:dyDescent="0.25">
      <c r="A32" s="398" t="s">
        <v>339</v>
      </c>
      <c r="B32" s="382"/>
      <c r="C32" s="382"/>
      <c r="D32" s="382"/>
      <c r="E32" s="382"/>
      <c r="F32" s="382"/>
      <c r="G32" s="382"/>
      <c r="H32" s="382"/>
      <c r="I32" s="463"/>
      <c r="J32" s="382"/>
      <c r="K32" s="382"/>
      <c r="L32" s="382"/>
      <c r="M32" s="463"/>
      <c r="N32" s="459"/>
    </row>
    <row r="33" spans="1:26" x14ac:dyDescent="0.25">
      <c r="A33" s="395" t="s">
        <v>389</v>
      </c>
      <c r="B33" s="263">
        <v>1</v>
      </c>
      <c r="C33" s="263">
        <v>1</v>
      </c>
      <c r="D33" s="263">
        <v>1</v>
      </c>
      <c r="E33" s="263">
        <v>1</v>
      </c>
      <c r="F33" s="263">
        <v>1</v>
      </c>
      <c r="G33" s="263">
        <v>1</v>
      </c>
      <c r="H33" s="263">
        <v>1</v>
      </c>
      <c r="I33" s="461">
        <v>1</v>
      </c>
      <c r="J33" s="263">
        <v>1</v>
      </c>
      <c r="K33" s="263">
        <v>1</v>
      </c>
      <c r="L33" s="264">
        <v>1</v>
      </c>
      <c r="M33" s="461">
        <v>0.8</v>
      </c>
      <c r="N33" s="459">
        <f t="shared" si="0"/>
        <v>1.25</v>
      </c>
      <c r="P33" s="387"/>
      <c r="Q33" s="387"/>
      <c r="R33" s="387"/>
      <c r="S33" s="387"/>
      <c r="T33" s="387"/>
      <c r="U33" s="387"/>
      <c r="V33" s="387"/>
      <c r="W33" s="387"/>
      <c r="X33" s="387"/>
      <c r="Y33" s="387" t="s">
        <v>371</v>
      </c>
      <c r="Z33" s="277" t="s">
        <v>371</v>
      </c>
    </row>
    <row r="34" spans="1:26" x14ac:dyDescent="0.25">
      <c r="A34" s="396" t="s">
        <v>402</v>
      </c>
      <c r="B34" s="262">
        <v>1</v>
      </c>
      <c r="C34" s="262">
        <v>1</v>
      </c>
      <c r="D34" s="262">
        <v>1</v>
      </c>
      <c r="E34" s="262">
        <v>1</v>
      </c>
      <c r="F34" s="262">
        <v>1</v>
      </c>
      <c r="G34" s="262">
        <v>1</v>
      </c>
      <c r="H34" s="262">
        <v>1</v>
      </c>
      <c r="I34" s="459">
        <v>1</v>
      </c>
      <c r="J34" s="262">
        <v>1</v>
      </c>
      <c r="K34" s="262">
        <v>1</v>
      </c>
      <c r="L34" s="265">
        <v>1</v>
      </c>
      <c r="M34" s="459">
        <v>0.8</v>
      </c>
      <c r="N34" s="459">
        <f t="shared" si="0"/>
        <v>1.25</v>
      </c>
      <c r="O34" s="387" t="s">
        <v>378</v>
      </c>
      <c r="P34" s="387"/>
      <c r="Q34" s="387"/>
      <c r="R34" s="387" t="s">
        <v>362</v>
      </c>
      <c r="S34" s="387"/>
      <c r="T34" s="387"/>
      <c r="U34" s="387"/>
      <c r="V34" s="387"/>
      <c r="W34" s="387" t="s">
        <v>371</v>
      </c>
      <c r="X34" s="387" t="s">
        <v>362</v>
      </c>
      <c r="Y34" s="387"/>
      <c r="Z34" s="277" t="s">
        <v>362</v>
      </c>
    </row>
    <row r="35" spans="1:26" x14ac:dyDescent="0.25">
      <c r="A35" s="396" t="s">
        <v>403</v>
      </c>
      <c r="B35" s="262">
        <v>1</v>
      </c>
      <c r="C35" s="262">
        <v>1</v>
      </c>
      <c r="D35" s="262">
        <v>1</v>
      </c>
      <c r="E35" s="262">
        <v>1</v>
      </c>
      <c r="F35" s="262">
        <v>1</v>
      </c>
      <c r="G35" s="262">
        <v>1</v>
      </c>
      <c r="H35" s="262">
        <v>1</v>
      </c>
      <c r="I35" s="459">
        <v>1</v>
      </c>
      <c r="J35" s="262">
        <v>1</v>
      </c>
      <c r="K35" s="262">
        <v>1</v>
      </c>
      <c r="L35" s="265">
        <v>1</v>
      </c>
      <c r="M35" s="459">
        <v>0.8</v>
      </c>
      <c r="N35" s="459">
        <f t="shared" si="0"/>
        <v>1.25</v>
      </c>
      <c r="O35" s="387" t="s">
        <v>379</v>
      </c>
      <c r="P35" s="387"/>
      <c r="Q35" s="387"/>
      <c r="R35" s="387" t="s">
        <v>371</v>
      </c>
      <c r="S35" s="387"/>
      <c r="T35" s="387"/>
      <c r="U35" s="387"/>
      <c r="V35" s="387"/>
      <c r="W35" s="387" t="s">
        <v>371</v>
      </c>
      <c r="X35" s="387" t="s">
        <v>362</v>
      </c>
      <c r="Y35" s="387"/>
      <c r="Z35" s="277" t="s">
        <v>362</v>
      </c>
    </row>
    <row r="36" spans="1:26" x14ac:dyDescent="0.25">
      <c r="A36" s="396" t="s">
        <v>404</v>
      </c>
      <c r="B36" s="262">
        <v>0.95</v>
      </c>
      <c r="C36" s="262">
        <v>0.96</v>
      </c>
      <c r="D36" s="262">
        <v>0.96</v>
      </c>
      <c r="E36" s="262">
        <v>0.98</v>
      </c>
      <c r="F36" s="262">
        <v>0.9</v>
      </c>
      <c r="G36" s="262">
        <v>0.8</v>
      </c>
      <c r="H36" s="262">
        <v>0.7</v>
      </c>
      <c r="I36" s="459">
        <v>0.75</v>
      </c>
      <c r="J36" s="262">
        <v>0.75</v>
      </c>
      <c r="K36" s="262">
        <v>0.7</v>
      </c>
      <c r="L36" s="265">
        <v>0.7</v>
      </c>
      <c r="M36" s="459">
        <v>1</v>
      </c>
      <c r="N36" s="459">
        <f t="shared" si="0"/>
        <v>0.75</v>
      </c>
      <c r="P36" s="387"/>
      <c r="Q36" s="387"/>
      <c r="R36" s="387"/>
      <c r="S36" s="387" t="s">
        <v>371</v>
      </c>
      <c r="T36" s="387"/>
      <c r="U36" s="387"/>
      <c r="V36" s="387"/>
      <c r="W36" s="387"/>
      <c r="X36" s="387" t="s">
        <v>371</v>
      </c>
      <c r="Y36" s="387"/>
      <c r="Z36" s="277" t="s">
        <v>371</v>
      </c>
    </row>
    <row r="37" spans="1:26" x14ac:dyDescent="0.25">
      <c r="A37" s="396" t="s">
        <v>405</v>
      </c>
      <c r="B37" s="262">
        <v>1</v>
      </c>
      <c r="C37" s="262">
        <v>1</v>
      </c>
      <c r="D37" s="262">
        <v>1</v>
      </c>
      <c r="E37" s="262">
        <v>1.05</v>
      </c>
      <c r="F37" s="262">
        <v>1.1000000000000001</v>
      </c>
      <c r="G37" s="262">
        <v>1.1499999999999999</v>
      </c>
      <c r="H37" s="262">
        <v>1.2</v>
      </c>
      <c r="I37" s="459">
        <v>1.25</v>
      </c>
      <c r="J37" s="262">
        <v>1.25</v>
      </c>
      <c r="K37" s="262">
        <v>1.25</v>
      </c>
      <c r="L37" s="265">
        <v>1.25</v>
      </c>
      <c r="M37" s="459">
        <v>1</v>
      </c>
      <c r="N37" s="459">
        <f t="shared" si="0"/>
        <v>1.25</v>
      </c>
      <c r="P37" s="387"/>
      <c r="Q37" s="387"/>
      <c r="R37" s="387"/>
      <c r="S37" s="387"/>
      <c r="T37" s="387"/>
      <c r="U37" s="387"/>
      <c r="V37" s="387"/>
      <c r="W37" s="387" t="s">
        <v>371</v>
      </c>
      <c r="X37" s="387"/>
      <c r="Y37" s="387"/>
      <c r="Z37" s="277" t="s">
        <v>371</v>
      </c>
    </row>
    <row r="38" spans="1:26" x14ac:dyDescent="0.25">
      <c r="A38" s="396" t="s">
        <v>407</v>
      </c>
      <c r="B38" s="262">
        <v>1</v>
      </c>
      <c r="C38" s="262">
        <v>1</v>
      </c>
      <c r="D38" s="262">
        <v>1</v>
      </c>
      <c r="E38" s="262">
        <v>1</v>
      </c>
      <c r="F38" s="262">
        <v>1</v>
      </c>
      <c r="G38" s="262">
        <v>1</v>
      </c>
      <c r="H38" s="262">
        <v>1</v>
      </c>
      <c r="I38" s="459">
        <v>1</v>
      </c>
      <c r="J38" s="262">
        <v>1</v>
      </c>
      <c r="K38" s="262">
        <v>1</v>
      </c>
      <c r="L38" s="265">
        <v>1</v>
      </c>
      <c r="M38" s="459">
        <v>1</v>
      </c>
      <c r="N38" s="459">
        <f t="shared" si="0"/>
        <v>1</v>
      </c>
      <c r="P38" s="387"/>
      <c r="Q38" s="387"/>
      <c r="R38" s="387" t="s">
        <v>371</v>
      </c>
      <c r="S38" s="387"/>
      <c r="T38" s="387"/>
      <c r="U38" s="387"/>
      <c r="V38" s="387"/>
      <c r="W38" s="387" t="s">
        <v>371</v>
      </c>
      <c r="X38" s="387"/>
      <c r="Y38" s="387"/>
      <c r="Z38" s="277" t="s">
        <v>371</v>
      </c>
    </row>
    <row r="39" spans="1:26" x14ac:dyDescent="0.25">
      <c r="A39" s="396" t="s">
        <v>406</v>
      </c>
      <c r="B39" s="262">
        <v>1</v>
      </c>
      <c r="C39" s="262">
        <v>1</v>
      </c>
      <c r="D39" s="262">
        <v>1</v>
      </c>
      <c r="E39" s="262">
        <v>1</v>
      </c>
      <c r="F39" s="262">
        <v>1</v>
      </c>
      <c r="G39" s="262">
        <v>1</v>
      </c>
      <c r="H39" s="262">
        <v>1</v>
      </c>
      <c r="I39" s="459">
        <v>1</v>
      </c>
      <c r="J39" s="262">
        <v>1</v>
      </c>
      <c r="K39" s="262">
        <v>1</v>
      </c>
      <c r="L39" s="265">
        <v>1</v>
      </c>
      <c r="M39" s="459">
        <v>1</v>
      </c>
      <c r="N39" s="459">
        <f t="shared" si="0"/>
        <v>1</v>
      </c>
      <c r="P39" s="387"/>
      <c r="Q39" s="387"/>
      <c r="R39" s="387" t="s">
        <v>371</v>
      </c>
      <c r="S39" s="387"/>
      <c r="T39" s="387"/>
      <c r="U39" s="387"/>
      <c r="V39" s="387"/>
      <c r="W39" s="387" t="s">
        <v>371</v>
      </c>
      <c r="X39" s="387"/>
      <c r="Y39" s="387"/>
      <c r="Z39" s="277" t="s">
        <v>371</v>
      </c>
    </row>
    <row r="40" spans="1:26" x14ac:dyDescent="0.25">
      <c r="A40" s="396" t="s">
        <v>408</v>
      </c>
      <c r="B40" s="262">
        <v>1</v>
      </c>
      <c r="C40" s="262">
        <v>1</v>
      </c>
      <c r="D40" s="262">
        <v>1</v>
      </c>
      <c r="E40" s="262">
        <v>1</v>
      </c>
      <c r="F40" s="262">
        <v>1</v>
      </c>
      <c r="G40" s="262">
        <v>1</v>
      </c>
      <c r="H40" s="262">
        <v>1</v>
      </c>
      <c r="I40" s="459">
        <v>1</v>
      </c>
      <c r="J40" s="262">
        <v>1</v>
      </c>
      <c r="K40" s="262">
        <v>1</v>
      </c>
      <c r="L40" s="265">
        <v>1</v>
      </c>
      <c r="M40" s="459">
        <v>1</v>
      </c>
      <c r="N40" s="459">
        <f t="shared" si="0"/>
        <v>1</v>
      </c>
      <c r="P40" s="387"/>
      <c r="Q40" s="387"/>
      <c r="R40" s="387" t="s">
        <v>371</v>
      </c>
      <c r="S40" s="387"/>
      <c r="T40" s="387"/>
      <c r="U40" s="387"/>
      <c r="V40" s="387"/>
      <c r="W40" s="387" t="s">
        <v>371</v>
      </c>
      <c r="X40" s="387"/>
      <c r="Y40" s="387"/>
      <c r="Z40" s="277" t="s">
        <v>371</v>
      </c>
    </row>
    <row r="41" spans="1:26" x14ac:dyDescent="0.25">
      <c r="A41" s="397" t="s">
        <v>409</v>
      </c>
      <c r="B41" s="262">
        <v>1</v>
      </c>
      <c r="C41" s="262">
        <v>1</v>
      </c>
      <c r="D41" s="262">
        <v>1</v>
      </c>
      <c r="E41" s="262">
        <v>1</v>
      </c>
      <c r="F41" s="262">
        <v>1</v>
      </c>
      <c r="G41" s="262">
        <v>1</v>
      </c>
      <c r="H41" s="262">
        <v>1</v>
      </c>
      <c r="I41" s="459">
        <v>1.1000000000000001</v>
      </c>
      <c r="J41" s="262">
        <v>1</v>
      </c>
      <c r="K41" s="262">
        <v>1</v>
      </c>
      <c r="L41" s="265">
        <v>1</v>
      </c>
      <c r="M41" s="460">
        <v>1</v>
      </c>
      <c r="N41" s="459">
        <f t="shared" si="0"/>
        <v>1.1000000000000001</v>
      </c>
      <c r="P41" s="387"/>
      <c r="Q41" s="387"/>
      <c r="R41" s="387" t="s">
        <v>371</v>
      </c>
      <c r="S41" s="387"/>
      <c r="T41" s="387"/>
      <c r="U41" s="387"/>
      <c r="V41" s="387"/>
      <c r="W41" s="387"/>
      <c r="X41" s="387"/>
      <c r="Y41" s="387"/>
      <c r="Z41" s="277" t="s">
        <v>371</v>
      </c>
    </row>
    <row r="42" spans="1:26" x14ac:dyDescent="0.25">
      <c r="A42" s="396"/>
      <c r="B42" s="381"/>
      <c r="C42" s="381"/>
      <c r="D42" s="381"/>
      <c r="E42" s="381"/>
      <c r="F42" s="381"/>
      <c r="G42" s="381"/>
      <c r="H42" s="381"/>
      <c r="I42" s="462"/>
      <c r="J42" s="381"/>
      <c r="K42" s="381"/>
      <c r="L42" s="381"/>
      <c r="M42" s="462"/>
      <c r="N42" s="459"/>
    </row>
    <row r="43" spans="1:26" x14ac:dyDescent="0.25">
      <c r="A43" s="398" t="s">
        <v>338</v>
      </c>
      <c r="B43" s="382"/>
      <c r="C43" s="382"/>
      <c r="D43" s="382"/>
      <c r="E43" s="382"/>
      <c r="F43" s="382"/>
      <c r="G43" s="382"/>
      <c r="H43" s="382"/>
      <c r="I43" s="463"/>
      <c r="J43" s="382"/>
      <c r="K43" s="382"/>
      <c r="L43" s="382"/>
      <c r="M43" s="463"/>
      <c r="N43" s="459"/>
    </row>
    <row r="44" spans="1:26" x14ac:dyDescent="0.25">
      <c r="A44" s="395" t="s">
        <v>393</v>
      </c>
      <c r="B44" s="263">
        <v>1</v>
      </c>
      <c r="C44" s="263">
        <v>1</v>
      </c>
      <c r="D44" s="263">
        <v>1</v>
      </c>
      <c r="E44" s="263">
        <v>1.05</v>
      </c>
      <c r="F44" s="263">
        <v>1.1000000000000001</v>
      </c>
      <c r="G44" s="263">
        <v>1.1499999999999999</v>
      </c>
      <c r="H44" s="263">
        <v>1.2</v>
      </c>
      <c r="I44" s="461">
        <v>1.25</v>
      </c>
      <c r="J44" s="263">
        <v>1.3</v>
      </c>
      <c r="K44" s="263">
        <v>1.35</v>
      </c>
      <c r="L44" s="264">
        <v>1.4</v>
      </c>
      <c r="M44" s="461">
        <v>1.25</v>
      </c>
      <c r="N44" s="459">
        <f t="shared" si="0"/>
        <v>1</v>
      </c>
      <c r="O44" s="277" t="s">
        <v>374</v>
      </c>
      <c r="P44" s="387"/>
      <c r="Q44" s="387"/>
      <c r="R44" s="387"/>
      <c r="S44" s="387"/>
      <c r="T44" s="387"/>
      <c r="U44" s="387"/>
      <c r="V44" s="387"/>
      <c r="W44" s="387"/>
      <c r="X44" s="387" t="s">
        <v>363</v>
      </c>
      <c r="Y44" s="387"/>
      <c r="Z44" s="277" t="s">
        <v>363</v>
      </c>
    </row>
    <row r="45" spans="1:26" x14ac:dyDescent="0.25">
      <c r="A45" s="397" t="s">
        <v>394</v>
      </c>
      <c r="B45" s="262">
        <v>1</v>
      </c>
      <c r="C45" s="262">
        <v>1</v>
      </c>
      <c r="D45" s="262">
        <v>1</v>
      </c>
      <c r="E45" s="262">
        <v>1.05</v>
      </c>
      <c r="F45" s="262">
        <v>1.1000000000000001</v>
      </c>
      <c r="G45" s="262">
        <v>1.1499999999999999</v>
      </c>
      <c r="H45" s="262">
        <v>1.2</v>
      </c>
      <c r="I45" s="459">
        <v>1.25</v>
      </c>
      <c r="J45" s="262">
        <v>1.3</v>
      </c>
      <c r="K45" s="262">
        <v>1.35</v>
      </c>
      <c r="L45" s="265">
        <v>1.4</v>
      </c>
      <c r="M45" s="460">
        <v>0.75</v>
      </c>
      <c r="N45" s="459">
        <f t="shared" si="0"/>
        <v>1.6666666666666667</v>
      </c>
      <c r="O45" s="277" t="s">
        <v>374</v>
      </c>
      <c r="P45" s="387"/>
      <c r="Q45" s="387"/>
      <c r="R45" s="387"/>
      <c r="S45" s="387"/>
      <c r="T45" s="387"/>
      <c r="U45" s="387"/>
      <c r="V45" s="387"/>
      <c r="W45" s="387"/>
      <c r="X45" s="387" t="s">
        <v>362</v>
      </c>
      <c r="Y45" s="387"/>
      <c r="Z45" s="277" t="s">
        <v>362</v>
      </c>
    </row>
    <row r="46" spans="1:26" x14ac:dyDescent="0.25">
      <c r="A46" s="397" t="s">
        <v>395</v>
      </c>
      <c r="B46" s="464">
        <v>1</v>
      </c>
      <c r="C46" s="266">
        <v>1</v>
      </c>
      <c r="D46" s="266">
        <v>1</v>
      </c>
      <c r="E46" s="266">
        <v>1</v>
      </c>
      <c r="F46" s="266">
        <v>1</v>
      </c>
      <c r="G46" s="266">
        <v>1</v>
      </c>
      <c r="H46" s="266">
        <v>1</v>
      </c>
      <c r="I46" s="460">
        <v>1</v>
      </c>
      <c r="J46" s="266">
        <v>1</v>
      </c>
      <c r="K46" s="266">
        <v>1</v>
      </c>
      <c r="L46" s="267">
        <v>1</v>
      </c>
      <c r="M46" s="460">
        <v>1.25</v>
      </c>
      <c r="N46" s="459">
        <f t="shared" si="0"/>
        <v>0.8</v>
      </c>
      <c r="O46" s="277" t="s">
        <v>375</v>
      </c>
      <c r="P46" s="387"/>
      <c r="Q46" s="387"/>
      <c r="R46" s="387"/>
      <c r="S46" s="387"/>
      <c r="T46" s="387"/>
      <c r="U46" s="387"/>
      <c r="V46" s="387" t="s">
        <v>363</v>
      </c>
      <c r="W46" s="387"/>
      <c r="X46" s="387"/>
      <c r="Y46" s="387"/>
      <c r="Z46" s="277" t="s">
        <v>363</v>
      </c>
    </row>
    <row r="47" spans="1:26" x14ac:dyDescent="0.25">
      <c r="B47" s="257"/>
      <c r="C47" s="257"/>
      <c r="D47" s="257"/>
      <c r="E47" s="257"/>
      <c r="F47" s="257"/>
      <c r="G47" s="257"/>
      <c r="H47" s="257"/>
      <c r="I47" s="344"/>
      <c r="J47" s="257"/>
      <c r="K47" s="257"/>
      <c r="L47" s="257"/>
      <c r="M47" s="344"/>
      <c r="N47" s="459"/>
    </row>
    <row r="48" spans="1:26" x14ac:dyDescent="0.25">
      <c r="A48" s="398" t="s">
        <v>340</v>
      </c>
      <c r="B48" s="330"/>
      <c r="C48" s="330"/>
      <c r="D48" s="330"/>
      <c r="E48" s="330"/>
      <c r="F48" s="330"/>
      <c r="G48" s="330"/>
      <c r="H48" s="330"/>
      <c r="I48" s="334"/>
      <c r="J48" s="330"/>
      <c r="K48" s="330"/>
      <c r="L48" s="330"/>
      <c r="M48" s="334"/>
      <c r="N48" s="459"/>
    </row>
    <row r="49" spans="1:26" x14ac:dyDescent="0.25">
      <c r="A49" s="395" t="s">
        <v>390</v>
      </c>
      <c r="B49" s="263">
        <v>1</v>
      </c>
      <c r="C49" s="263">
        <v>1</v>
      </c>
      <c r="D49" s="263">
        <v>1</v>
      </c>
      <c r="E49" s="263">
        <v>1</v>
      </c>
      <c r="F49" s="263">
        <v>1</v>
      </c>
      <c r="G49" s="263">
        <v>1</v>
      </c>
      <c r="H49" s="263">
        <v>1</v>
      </c>
      <c r="I49" s="461">
        <v>1</v>
      </c>
      <c r="J49" s="263">
        <v>1</v>
      </c>
      <c r="K49" s="263">
        <v>1</v>
      </c>
      <c r="L49" s="264">
        <v>1</v>
      </c>
      <c r="M49" s="461">
        <v>1.25</v>
      </c>
      <c r="N49" s="459">
        <f t="shared" si="0"/>
        <v>0.8</v>
      </c>
      <c r="P49" s="387"/>
      <c r="Q49" s="387" t="s">
        <v>371</v>
      </c>
      <c r="R49" s="387" t="s">
        <v>371</v>
      </c>
      <c r="S49" s="387"/>
      <c r="T49" s="387"/>
      <c r="U49" s="387"/>
      <c r="V49" s="387"/>
      <c r="W49" s="387"/>
      <c r="X49" s="387"/>
      <c r="Y49" s="387"/>
      <c r="Z49" s="277" t="s">
        <v>363</v>
      </c>
    </row>
    <row r="50" spans="1:26" x14ac:dyDescent="0.25">
      <c r="A50" s="396" t="s">
        <v>392</v>
      </c>
      <c r="B50" s="262">
        <v>1</v>
      </c>
      <c r="C50" s="262">
        <v>1</v>
      </c>
      <c r="D50" s="262">
        <v>1</v>
      </c>
      <c r="E50" s="262">
        <v>1</v>
      </c>
      <c r="F50" s="262">
        <v>1</v>
      </c>
      <c r="G50" s="262">
        <v>1</v>
      </c>
      <c r="H50" s="262">
        <v>1</v>
      </c>
      <c r="I50" s="459">
        <v>1</v>
      </c>
      <c r="J50" s="262">
        <v>1</v>
      </c>
      <c r="K50" s="262">
        <v>1</v>
      </c>
      <c r="L50" s="265">
        <v>1</v>
      </c>
      <c r="M50" s="459">
        <v>1</v>
      </c>
      <c r="N50" s="459">
        <f t="shared" si="0"/>
        <v>1</v>
      </c>
      <c r="P50" s="387"/>
      <c r="Q50" s="387"/>
      <c r="R50" s="387" t="s">
        <v>371</v>
      </c>
      <c r="S50" s="387"/>
      <c r="T50" s="387"/>
      <c r="U50" s="387"/>
      <c r="V50" s="387"/>
      <c r="W50" s="387"/>
      <c r="X50" s="387"/>
      <c r="Y50" s="387"/>
      <c r="Z50" s="277" t="s">
        <v>371</v>
      </c>
    </row>
    <row r="51" spans="1:26" x14ac:dyDescent="0.25">
      <c r="A51" s="397" t="s">
        <v>388</v>
      </c>
      <c r="B51" s="266">
        <v>1</v>
      </c>
      <c r="C51" s="266">
        <v>1</v>
      </c>
      <c r="D51" s="266">
        <v>1</v>
      </c>
      <c r="E51" s="266">
        <v>1</v>
      </c>
      <c r="F51" s="266">
        <v>1</v>
      </c>
      <c r="G51" s="266">
        <v>1</v>
      </c>
      <c r="H51" s="266">
        <v>1</v>
      </c>
      <c r="I51" s="460">
        <v>1</v>
      </c>
      <c r="J51" s="266">
        <v>1</v>
      </c>
      <c r="K51" s="266">
        <v>1</v>
      </c>
      <c r="L51" s="267">
        <v>1</v>
      </c>
      <c r="M51" s="460">
        <v>1</v>
      </c>
      <c r="N51" s="459">
        <f t="shared" si="0"/>
        <v>1</v>
      </c>
      <c r="P51" s="387"/>
      <c r="Q51" s="387"/>
      <c r="R51" s="387" t="s">
        <v>371</v>
      </c>
      <c r="S51" s="387"/>
      <c r="T51" s="387"/>
      <c r="U51" s="387"/>
      <c r="V51" s="387"/>
      <c r="W51" s="387"/>
      <c r="X51" s="387"/>
      <c r="Y51" s="387"/>
      <c r="Z51" s="277" t="s">
        <v>371</v>
      </c>
    </row>
    <row r="52" spans="1:26" ht="12.75" customHeight="1" x14ac:dyDescent="0.25">
      <c r="B52" s="257"/>
      <c r="C52" s="257"/>
      <c r="D52" s="257"/>
      <c r="E52" s="257"/>
      <c r="F52" s="257"/>
      <c r="G52" s="257"/>
      <c r="H52" s="257"/>
      <c r="I52" s="344"/>
      <c r="J52" s="257"/>
      <c r="K52" s="257"/>
      <c r="L52" s="257"/>
      <c r="M52" s="344"/>
      <c r="N52" s="459"/>
    </row>
    <row r="53" spans="1:26" x14ac:dyDescent="0.25">
      <c r="A53" s="398" t="s">
        <v>341</v>
      </c>
      <c r="B53" s="330"/>
      <c r="C53" s="330"/>
      <c r="D53" s="330"/>
      <c r="E53" s="330"/>
      <c r="F53" s="330"/>
      <c r="G53" s="330"/>
      <c r="H53" s="330"/>
      <c r="I53" s="334"/>
      <c r="J53" s="330"/>
      <c r="K53" s="330"/>
      <c r="L53" s="330"/>
      <c r="M53" s="334"/>
      <c r="N53" s="459"/>
    </row>
    <row r="54" spans="1:26" x14ac:dyDescent="0.25">
      <c r="A54" s="395" t="s">
        <v>396</v>
      </c>
      <c r="B54" s="263">
        <v>1</v>
      </c>
      <c r="C54" s="263">
        <v>1</v>
      </c>
      <c r="D54" s="263">
        <v>1</v>
      </c>
      <c r="E54" s="263">
        <v>0.95</v>
      </c>
      <c r="F54" s="263">
        <v>0.9</v>
      </c>
      <c r="G54" s="263">
        <v>0.85</v>
      </c>
      <c r="H54" s="263">
        <v>0.8</v>
      </c>
      <c r="I54" s="459">
        <v>0.75</v>
      </c>
      <c r="J54" s="263">
        <v>0.7</v>
      </c>
      <c r="K54" s="263">
        <v>0.65</v>
      </c>
      <c r="L54" s="264">
        <v>0.6</v>
      </c>
      <c r="M54" s="461">
        <v>1</v>
      </c>
      <c r="N54" s="459">
        <f t="shared" si="0"/>
        <v>0.75</v>
      </c>
      <c r="P54" s="387"/>
      <c r="Q54" s="387"/>
      <c r="R54" s="387"/>
      <c r="S54" s="387"/>
      <c r="T54" s="387"/>
      <c r="U54" s="387"/>
      <c r="V54" s="387"/>
      <c r="W54" s="387" t="s">
        <v>371</v>
      </c>
      <c r="X54" s="387"/>
      <c r="Y54" s="387"/>
      <c r="Z54" s="277" t="s">
        <v>371</v>
      </c>
    </row>
    <row r="55" spans="1:26" x14ac:dyDescent="0.25">
      <c r="A55" s="396" t="s">
        <v>397</v>
      </c>
      <c r="B55" s="262">
        <v>1</v>
      </c>
      <c r="C55" s="262">
        <v>1</v>
      </c>
      <c r="D55" s="262">
        <v>1</v>
      </c>
      <c r="E55" s="262">
        <v>0.7</v>
      </c>
      <c r="F55" s="262">
        <v>0.65</v>
      </c>
      <c r="G55" s="262">
        <v>0.6</v>
      </c>
      <c r="H55" s="262">
        <v>0.55000000000000004</v>
      </c>
      <c r="I55" s="459">
        <v>0.5</v>
      </c>
      <c r="J55" s="262">
        <v>0.5</v>
      </c>
      <c r="K55" s="262">
        <v>0.5</v>
      </c>
      <c r="L55" s="265">
        <v>0.5</v>
      </c>
      <c r="M55" s="459">
        <v>1</v>
      </c>
      <c r="N55" s="459">
        <f t="shared" si="0"/>
        <v>0.5</v>
      </c>
      <c r="P55" s="387"/>
      <c r="Q55" s="387"/>
      <c r="R55" s="387"/>
      <c r="S55" s="387"/>
      <c r="T55" s="387"/>
      <c r="U55" s="387"/>
      <c r="V55" s="387"/>
      <c r="W55" s="387" t="s">
        <v>371</v>
      </c>
      <c r="X55" s="387"/>
      <c r="Y55" s="387"/>
      <c r="Z55" s="277" t="s">
        <v>371</v>
      </c>
    </row>
    <row r="56" spans="1:26" x14ac:dyDescent="0.25">
      <c r="A56" s="396" t="s">
        <v>621</v>
      </c>
      <c r="B56" s="262">
        <v>1</v>
      </c>
      <c r="C56" s="262">
        <v>1</v>
      </c>
      <c r="D56" s="262">
        <v>1</v>
      </c>
      <c r="E56" s="262">
        <v>1.6800000000000002</v>
      </c>
      <c r="F56" s="262">
        <v>1.7600000000000002</v>
      </c>
      <c r="G56" s="262">
        <v>1.8399999999999999</v>
      </c>
      <c r="H56" s="262">
        <v>1.92</v>
      </c>
      <c r="I56" s="459">
        <v>2</v>
      </c>
      <c r="J56" s="262">
        <v>2.08</v>
      </c>
      <c r="K56" s="262">
        <v>2.16</v>
      </c>
      <c r="L56" s="265">
        <v>2.2399999999999998</v>
      </c>
      <c r="M56" s="459">
        <v>1.25</v>
      </c>
      <c r="N56" s="459">
        <f t="shared" si="0"/>
        <v>1.6</v>
      </c>
      <c r="O56" s="277" t="s">
        <v>372</v>
      </c>
      <c r="P56" s="387"/>
      <c r="Q56" s="387"/>
      <c r="R56" s="387"/>
      <c r="S56" s="387"/>
      <c r="T56" s="387"/>
      <c r="U56" s="387"/>
      <c r="V56" s="387"/>
      <c r="W56" s="387" t="s">
        <v>363</v>
      </c>
      <c r="X56" s="387"/>
      <c r="Y56" s="387"/>
      <c r="Z56" s="277" t="s">
        <v>363</v>
      </c>
    </row>
    <row r="57" spans="1:26" x14ac:dyDescent="0.25">
      <c r="A57" s="397" t="s">
        <v>622</v>
      </c>
      <c r="B57" s="266">
        <v>1</v>
      </c>
      <c r="C57" s="266">
        <v>1</v>
      </c>
      <c r="D57" s="266">
        <v>1</v>
      </c>
      <c r="E57" s="266">
        <v>1.26</v>
      </c>
      <c r="F57" s="266">
        <v>1.32</v>
      </c>
      <c r="G57" s="266">
        <v>1.38</v>
      </c>
      <c r="H57" s="266">
        <v>1.44</v>
      </c>
      <c r="I57" s="460">
        <v>1.5</v>
      </c>
      <c r="J57" s="266">
        <v>1.56</v>
      </c>
      <c r="K57" s="266">
        <v>1.62</v>
      </c>
      <c r="L57" s="267">
        <v>1.68</v>
      </c>
      <c r="M57" s="460">
        <v>1.25</v>
      </c>
      <c r="N57" s="459">
        <f t="shared" si="0"/>
        <v>1.2</v>
      </c>
      <c r="O57" s="277" t="s">
        <v>373</v>
      </c>
      <c r="P57" s="387"/>
      <c r="Q57" s="387"/>
      <c r="R57" s="387"/>
      <c r="S57" s="387"/>
      <c r="T57" s="387"/>
      <c r="U57" s="387"/>
      <c r="V57" s="387"/>
      <c r="W57" s="387" t="s">
        <v>363</v>
      </c>
      <c r="X57" s="387"/>
      <c r="Y57" s="387"/>
      <c r="Z57" s="277" t="s">
        <v>363</v>
      </c>
    </row>
    <row r="58" spans="1:26" x14ac:dyDescent="0.25">
      <c r="B58" s="257"/>
      <c r="C58" s="257"/>
      <c r="D58" s="257"/>
      <c r="E58" s="257"/>
      <c r="F58" s="257"/>
      <c r="G58" s="257"/>
      <c r="H58" s="257"/>
      <c r="I58" s="344"/>
      <c r="J58" s="257"/>
      <c r="K58" s="257"/>
      <c r="L58" s="257"/>
      <c r="M58" s="344"/>
      <c r="N58" s="459"/>
    </row>
    <row r="59" spans="1:26" x14ac:dyDescent="0.25">
      <c r="A59" s="398" t="s">
        <v>342</v>
      </c>
      <c r="B59" s="330"/>
      <c r="C59" s="330"/>
      <c r="D59" s="330"/>
      <c r="E59" s="330"/>
      <c r="F59" s="330"/>
      <c r="G59" s="330"/>
      <c r="H59" s="330"/>
      <c r="I59" s="334"/>
      <c r="J59" s="330"/>
      <c r="K59" s="330"/>
      <c r="L59" s="330"/>
      <c r="M59" s="334"/>
      <c r="N59" s="459"/>
    </row>
    <row r="60" spans="1:26" x14ac:dyDescent="0.25">
      <c r="A60" s="395" t="s">
        <v>453</v>
      </c>
      <c r="B60" s="262">
        <v>1</v>
      </c>
      <c r="C60" s="262">
        <v>1</v>
      </c>
      <c r="D60" s="262">
        <v>1</v>
      </c>
      <c r="E60" s="263">
        <v>1</v>
      </c>
      <c r="F60" s="263">
        <v>1</v>
      </c>
      <c r="G60" s="263">
        <v>1</v>
      </c>
      <c r="H60" s="263">
        <v>1</v>
      </c>
      <c r="I60" s="461">
        <v>1</v>
      </c>
      <c r="J60" s="263">
        <v>1</v>
      </c>
      <c r="K60" s="263">
        <v>1</v>
      </c>
      <c r="L60" s="264">
        <v>1</v>
      </c>
      <c r="M60" s="461">
        <v>1</v>
      </c>
      <c r="N60" s="459">
        <f t="shared" si="0"/>
        <v>1</v>
      </c>
      <c r="P60" s="387"/>
      <c r="Q60" s="387"/>
      <c r="R60" s="387"/>
      <c r="S60" s="387"/>
      <c r="T60" s="387"/>
      <c r="U60" s="387"/>
      <c r="V60" s="387"/>
      <c r="W60" s="387"/>
      <c r="X60" s="387" t="s">
        <v>371</v>
      </c>
      <c r="Y60" s="387"/>
      <c r="Z60" s="277" t="s">
        <v>371</v>
      </c>
    </row>
    <row r="61" spans="1:26" x14ac:dyDescent="0.25">
      <c r="A61" s="396" t="s">
        <v>452</v>
      </c>
      <c r="B61" s="262">
        <v>1</v>
      </c>
      <c r="C61" s="262">
        <v>1</v>
      </c>
      <c r="D61" s="262">
        <v>1</v>
      </c>
      <c r="E61" s="262">
        <v>1</v>
      </c>
      <c r="F61" s="262">
        <v>1</v>
      </c>
      <c r="G61" s="262">
        <v>1</v>
      </c>
      <c r="H61" s="262">
        <v>1</v>
      </c>
      <c r="I61" s="459">
        <v>1</v>
      </c>
      <c r="J61" s="262">
        <v>1</v>
      </c>
      <c r="K61" s="262">
        <v>1</v>
      </c>
      <c r="L61" s="265">
        <v>1</v>
      </c>
      <c r="M61" s="459">
        <v>1</v>
      </c>
      <c r="N61" s="459">
        <f t="shared" si="0"/>
        <v>1</v>
      </c>
      <c r="P61" s="387"/>
      <c r="Q61" s="387"/>
      <c r="R61" s="387" t="s">
        <v>371</v>
      </c>
      <c r="S61" s="387"/>
      <c r="T61" s="387"/>
      <c r="U61" s="387"/>
      <c r="V61" s="387"/>
      <c r="W61" s="387"/>
      <c r="X61" s="387"/>
      <c r="Y61" s="387"/>
      <c r="Z61" s="277" t="s">
        <v>371</v>
      </c>
    </row>
    <row r="62" spans="1:26" x14ac:dyDescent="0.25">
      <c r="A62" s="396" t="s">
        <v>454</v>
      </c>
      <c r="B62" s="262">
        <v>1</v>
      </c>
      <c r="C62" s="262">
        <v>1</v>
      </c>
      <c r="D62" s="262">
        <v>1</v>
      </c>
      <c r="E62" s="262">
        <v>1</v>
      </c>
      <c r="F62" s="262">
        <v>1</v>
      </c>
      <c r="G62" s="262">
        <v>1</v>
      </c>
      <c r="H62" s="262">
        <v>1</v>
      </c>
      <c r="I62" s="459">
        <v>1</v>
      </c>
      <c r="J62" s="262">
        <v>1</v>
      </c>
      <c r="K62" s="262">
        <v>1</v>
      </c>
      <c r="L62" s="265">
        <v>1</v>
      </c>
      <c r="M62" s="459">
        <v>1</v>
      </c>
      <c r="N62" s="459">
        <f t="shared" si="0"/>
        <v>1</v>
      </c>
      <c r="P62" s="387"/>
      <c r="Q62" s="387"/>
      <c r="R62" s="387" t="s">
        <v>371</v>
      </c>
      <c r="S62" s="387"/>
      <c r="T62" s="387"/>
      <c r="U62" s="387"/>
      <c r="V62" s="387"/>
      <c r="W62" s="387"/>
      <c r="X62" s="387"/>
      <c r="Y62" s="387"/>
      <c r="Z62" s="277" t="s">
        <v>371</v>
      </c>
    </row>
    <row r="63" spans="1:26" x14ac:dyDescent="0.25">
      <c r="A63" s="397" t="s">
        <v>455</v>
      </c>
      <c r="B63" s="266">
        <v>1</v>
      </c>
      <c r="C63" s="266">
        <v>1</v>
      </c>
      <c r="D63" s="266">
        <v>1</v>
      </c>
      <c r="E63" s="266">
        <v>1</v>
      </c>
      <c r="F63" s="266">
        <v>1</v>
      </c>
      <c r="G63" s="266">
        <v>1</v>
      </c>
      <c r="H63" s="266">
        <v>1</v>
      </c>
      <c r="I63" s="460">
        <v>1</v>
      </c>
      <c r="J63" s="266">
        <v>1</v>
      </c>
      <c r="K63" s="266">
        <v>1</v>
      </c>
      <c r="L63" s="267">
        <v>1</v>
      </c>
      <c r="M63" s="460">
        <v>1</v>
      </c>
      <c r="N63" s="459">
        <f t="shared" si="0"/>
        <v>1</v>
      </c>
      <c r="P63" s="387"/>
      <c r="Q63" s="387"/>
      <c r="R63" s="387"/>
      <c r="S63" s="387"/>
      <c r="T63" s="387"/>
      <c r="U63" s="387"/>
      <c r="V63" s="387"/>
      <c r="W63" s="387" t="s">
        <v>371</v>
      </c>
      <c r="X63" s="387"/>
      <c r="Y63" s="387"/>
      <c r="Z63" s="277" t="s">
        <v>371</v>
      </c>
    </row>
    <row r="66" spans="2:12" x14ac:dyDescent="0.25">
      <c r="B66" s="389"/>
      <c r="C66" s="389"/>
      <c r="D66" s="389"/>
      <c r="E66" s="389"/>
      <c r="F66" s="389"/>
      <c r="G66" s="389"/>
      <c r="H66" s="389"/>
      <c r="I66" s="389"/>
      <c r="J66" s="389"/>
      <c r="K66" s="389"/>
      <c r="L66" s="389"/>
    </row>
    <row r="67" spans="2:12" x14ac:dyDescent="0.25">
      <c r="B67" s="390"/>
      <c r="C67" s="390"/>
      <c r="D67" s="390"/>
      <c r="E67" s="390"/>
      <c r="F67" s="390"/>
      <c r="G67" s="390"/>
      <c r="H67" s="390"/>
      <c r="I67" s="390"/>
      <c r="J67" s="390"/>
      <c r="K67" s="390"/>
      <c r="L67" s="390"/>
    </row>
    <row r="68" spans="2:12" x14ac:dyDescent="0.25">
      <c r="B68" s="390"/>
      <c r="C68" s="390"/>
      <c r="D68" s="390"/>
      <c r="E68" s="390"/>
      <c r="F68" s="390"/>
      <c r="G68" s="390"/>
      <c r="H68" s="390"/>
      <c r="I68" s="390"/>
      <c r="J68" s="390"/>
      <c r="K68" s="390"/>
      <c r="L68" s="390"/>
    </row>
    <row r="69" spans="2:12" x14ac:dyDescent="0.25">
      <c r="B69" s="390"/>
      <c r="C69" s="390"/>
      <c r="D69" s="390"/>
      <c r="E69" s="390"/>
      <c r="F69" s="390"/>
      <c r="G69" s="390"/>
      <c r="H69" s="390"/>
      <c r="I69" s="390"/>
      <c r="J69" s="390"/>
      <c r="K69" s="390"/>
      <c r="L69" s="390"/>
    </row>
    <row r="70" spans="2:12" x14ac:dyDescent="0.25">
      <c r="B70" s="390"/>
      <c r="C70" s="390"/>
      <c r="D70" s="390"/>
      <c r="E70" s="390"/>
      <c r="F70" s="390"/>
      <c r="G70" s="390"/>
      <c r="H70" s="390"/>
      <c r="I70" s="390"/>
      <c r="J70" s="390"/>
      <c r="K70" s="390"/>
      <c r="L70" s="390"/>
    </row>
    <row r="71" spans="2:12" x14ac:dyDescent="0.25">
      <c r="B71" s="390"/>
      <c r="C71" s="390"/>
      <c r="D71" s="390"/>
      <c r="E71" s="390"/>
      <c r="F71" s="390"/>
      <c r="G71" s="390"/>
      <c r="H71" s="390"/>
      <c r="I71" s="390"/>
      <c r="J71" s="390"/>
      <c r="K71" s="390"/>
      <c r="L71" s="390"/>
    </row>
    <row r="72" spans="2:12" x14ac:dyDescent="0.25">
      <c r="B72" s="390"/>
      <c r="C72" s="390"/>
      <c r="D72" s="390"/>
      <c r="E72" s="390"/>
      <c r="F72" s="390"/>
      <c r="G72" s="390"/>
      <c r="H72" s="390"/>
      <c r="I72" s="390"/>
      <c r="J72" s="390"/>
      <c r="K72" s="390"/>
      <c r="L72" s="390"/>
    </row>
    <row r="73" spans="2:12" x14ac:dyDescent="0.25">
      <c r="B73" s="390"/>
      <c r="C73" s="390"/>
      <c r="D73" s="390"/>
      <c r="E73" s="390"/>
      <c r="F73" s="390"/>
      <c r="G73" s="390"/>
      <c r="H73" s="390"/>
      <c r="I73" s="390"/>
      <c r="J73" s="390"/>
      <c r="K73" s="390"/>
      <c r="L73" s="390"/>
    </row>
    <row r="74" spans="2:12" x14ac:dyDescent="0.25">
      <c r="B74" s="390"/>
      <c r="C74" s="390"/>
      <c r="D74" s="390"/>
      <c r="E74" s="390"/>
      <c r="F74" s="390"/>
      <c r="G74" s="390"/>
      <c r="H74" s="390"/>
      <c r="I74" s="390"/>
      <c r="J74" s="390"/>
      <c r="K74" s="390"/>
      <c r="L74" s="390"/>
    </row>
    <row r="75" spans="2:12" x14ac:dyDescent="0.25">
      <c r="B75" s="390"/>
      <c r="C75" s="390"/>
      <c r="D75" s="390"/>
      <c r="E75" s="390"/>
      <c r="F75" s="390"/>
      <c r="G75" s="390"/>
      <c r="H75" s="390"/>
      <c r="I75" s="390"/>
      <c r="J75" s="390"/>
      <c r="K75" s="390"/>
      <c r="L75" s="390"/>
    </row>
    <row r="76" spans="2:12" x14ac:dyDescent="0.25">
      <c r="B76" s="390"/>
      <c r="C76" s="390"/>
      <c r="D76" s="390"/>
      <c r="E76" s="390"/>
      <c r="F76" s="390"/>
      <c r="G76" s="390"/>
      <c r="H76" s="390"/>
      <c r="I76" s="390"/>
      <c r="J76" s="390"/>
      <c r="K76" s="390"/>
      <c r="L76" s="390"/>
    </row>
    <row r="77" spans="2:12" x14ac:dyDescent="0.25">
      <c r="B77" s="390"/>
      <c r="C77" s="390"/>
      <c r="D77" s="390"/>
      <c r="E77" s="390"/>
      <c r="F77" s="390"/>
      <c r="G77" s="390"/>
      <c r="H77" s="390"/>
      <c r="I77" s="390"/>
      <c r="J77" s="390"/>
      <c r="K77" s="390"/>
      <c r="L77" s="390"/>
    </row>
    <row r="78" spans="2:12" x14ac:dyDescent="0.25">
      <c r="B78" s="390"/>
      <c r="C78" s="390"/>
      <c r="D78" s="390"/>
      <c r="E78" s="390"/>
      <c r="F78" s="390"/>
      <c r="G78" s="390"/>
      <c r="H78" s="390"/>
      <c r="I78" s="390"/>
      <c r="J78" s="390"/>
      <c r="K78" s="390"/>
      <c r="L78" s="390"/>
    </row>
    <row r="79" spans="2:12" x14ac:dyDescent="0.25">
      <c r="B79" s="390"/>
      <c r="C79" s="390"/>
      <c r="D79" s="390"/>
      <c r="E79" s="390"/>
      <c r="F79" s="390"/>
      <c r="G79" s="390"/>
      <c r="H79" s="390"/>
      <c r="I79" s="390"/>
      <c r="J79" s="390"/>
      <c r="K79" s="390"/>
      <c r="L79" s="390"/>
    </row>
    <row r="80" spans="2:12" x14ac:dyDescent="0.25">
      <c r="B80" s="390"/>
      <c r="C80" s="390"/>
      <c r="D80" s="390"/>
      <c r="E80" s="390"/>
      <c r="F80" s="390"/>
      <c r="G80" s="390"/>
      <c r="H80" s="390"/>
      <c r="I80" s="390"/>
      <c r="J80" s="390"/>
      <c r="K80" s="390"/>
      <c r="L80" s="390"/>
    </row>
  </sheetData>
  <mergeCells count="1">
    <mergeCell ref="P1:Y1"/>
  </mergeCells>
  <conditionalFormatting sqref="B31:L34 E6:L9 E11:L30 B37:L39 B42:L53 B55:L63 B54:D54">
    <cfRule type="colorScale" priority="35">
      <colorScale>
        <cfvo type="num" val="0.5"/>
        <cfvo type="num" val="1"/>
        <cfvo type="num" val="1.5"/>
        <color rgb="FFF8696B"/>
        <color rgb="FFFFEB84"/>
        <color rgb="FF63BE7B"/>
      </colorScale>
    </cfRule>
    <cfRule type="colorScale" priority="36">
      <colorScale>
        <cfvo type="min"/>
        <cfvo type="percentile" val="50"/>
        <cfvo type="max"/>
        <color rgb="FFF8696B"/>
        <color rgb="FFFFEB84"/>
        <color rgb="FF63BE7B"/>
      </colorScale>
    </cfRule>
  </conditionalFormatting>
  <conditionalFormatting sqref="B19:D30">
    <cfRule type="colorScale" priority="33">
      <colorScale>
        <cfvo type="num" val="0.5"/>
        <cfvo type="num" val="1"/>
        <cfvo type="num" val="1.5"/>
        <color rgb="FFF8696B"/>
        <color rgb="FFFFEB84"/>
        <color rgb="FF63BE7B"/>
      </colorScale>
    </cfRule>
    <cfRule type="colorScale" priority="34">
      <colorScale>
        <cfvo type="min"/>
        <cfvo type="percentile" val="50"/>
        <cfvo type="max"/>
        <color rgb="FFF8696B"/>
        <color rgb="FFFFEB84"/>
        <color rgb="FF63BE7B"/>
      </colorScale>
    </cfRule>
  </conditionalFormatting>
  <conditionalFormatting sqref="B6:D9 B11:D18">
    <cfRule type="colorScale" priority="31">
      <colorScale>
        <cfvo type="num" val="0.5"/>
        <cfvo type="num" val="1"/>
        <cfvo type="num" val="1.5"/>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E10:L10">
    <cfRule type="colorScale" priority="29">
      <colorScale>
        <cfvo type="num" val="0.5"/>
        <cfvo type="num" val="1"/>
        <cfvo type="num" val="1.5"/>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B10:D10">
    <cfRule type="colorScale" priority="27">
      <colorScale>
        <cfvo type="num" val="0.5"/>
        <cfvo type="num" val="1"/>
        <cfvo type="num" val="1.5"/>
        <color rgb="FFF8696B"/>
        <color rgb="FFFFEB84"/>
        <color rgb="FF63BE7B"/>
      </colorScale>
    </cfRule>
    <cfRule type="colorScale" priority="28">
      <colorScale>
        <cfvo type="min"/>
        <cfvo type="percentile" val="50"/>
        <cfvo type="max"/>
        <color rgb="FFF8696B"/>
        <color rgb="FFFFEB84"/>
        <color rgb="FF63BE7B"/>
      </colorScale>
    </cfRule>
  </conditionalFormatting>
  <conditionalFormatting sqref="E5:L5 I4">
    <cfRule type="colorScale" priority="25">
      <colorScale>
        <cfvo type="num" val="0.5"/>
        <cfvo type="num" val="1"/>
        <cfvo type="num" val="1.5"/>
        <color rgb="FFF8696B"/>
        <color rgb="FFFFEB84"/>
        <color rgb="FF63BE7B"/>
      </colorScale>
    </cfRule>
    <cfRule type="colorScale" priority="26">
      <colorScale>
        <cfvo type="min"/>
        <cfvo type="percentile" val="50"/>
        <cfvo type="max"/>
        <color rgb="FFF8696B"/>
        <color rgb="FFFFEB84"/>
        <color rgb="FF63BE7B"/>
      </colorScale>
    </cfRule>
  </conditionalFormatting>
  <conditionalFormatting sqref="B4:D5">
    <cfRule type="colorScale" priority="23">
      <colorScale>
        <cfvo type="num" val="0.5"/>
        <cfvo type="num" val="1"/>
        <cfvo type="num" val="1.5"/>
        <color rgb="FFF8696B"/>
        <color rgb="FFFFEB84"/>
        <color rgb="FF63BE7B"/>
      </colorScale>
    </cfRule>
    <cfRule type="colorScale" priority="24">
      <colorScale>
        <cfvo type="min"/>
        <cfvo type="percentile" val="50"/>
        <cfvo type="max"/>
        <color rgb="FFF8696B"/>
        <color rgb="FFFFEB84"/>
        <color rgb="FF63BE7B"/>
      </colorScale>
    </cfRule>
  </conditionalFormatting>
  <conditionalFormatting sqref="E35:L36">
    <cfRule type="colorScale" priority="21">
      <colorScale>
        <cfvo type="num" val="0.5"/>
        <cfvo type="num" val="1"/>
        <cfvo type="num" val="1.5"/>
        <color rgb="FFF8696B"/>
        <color rgb="FFFFEB84"/>
        <color rgb="FF63BE7B"/>
      </colorScale>
    </cfRule>
    <cfRule type="colorScale" priority="22">
      <colorScale>
        <cfvo type="min"/>
        <cfvo type="percentile" val="50"/>
        <cfvo type="max"/>
        <color rgb="FFF8696B"/>
        <color rgb="FFFFEB84"/>
        <color rgb="FF63BE7B"/>
      </colorScale>
    </cfRule>
  </conditionalFormatting>
  <conditionalFormatting sqref="B35:D36">
    <cfRule type="colorScale" priority="19">
      <colorScale>
        <cfvo type="num" val="0.5"/>
        <cfvo type="num" val="1"/>
        <cfvo type="num" val="1.5"/>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40:L41 B41:D41">
    <cfRule type="colorScale" priority="17">
      <colorScale>
        <cfvo type="num" val="0.5"/>
        <cfvo type="num" val="1"/>
        <cfvo type="num" val="1.5"/>
        <color rgb="FFF8696B"/>
        <color rgb="FFFFEB84"/>
        <color rgb="FF63BE7B"/>
      </colorScale>
    </cfRule>
    <cfRule type="colorScale" priority="18">
      <colorScale>
        <cfvo type="min"/>
        <cfvo type="percentile" val="50"/>
        <cfvo type="max"/>
        <color rgb="FFF8696B"/>
        <color rgb="FFFFEB84"/>
        <color rgb="FF63BE7B"/>
      </colorScale>
    </cfRule>
  </conditionalFormatting>
  <conditionalFormatting sqref="B40:D41">
    <cfRule type="colorScale" priority="15">
      <colorScale>
        <cfvo type="num" val="0.5"/>
        <cfvo type="num" val="1"/>
        <cfvo type="num" val="1.5"/>
        <color rgb="FFF8696B"/>
        <color rgb="FFFFEB84"/>
        <color rgb="FF63BE7B"/>
      </colorScale>
    </cfRule>
    <cfRule type="colorScale" priority="16">
      <colorScale>
        <cfvo type="min"/>
        <cfvo type="percentile" val="50"/>
        <cfvo type="max"/>
        <color rgb="FFF8696B"/>
        <color rgb="FFFFEB84"/>
        <color rgb="FF63BE7B"/>
      </colorScale>
    </cfRule>
  </conditionalFormatting>
  <conditionalFormatting sqref="E4:H4">
    <cfRule type="colorScale" priority="13">
      <colorScale>
        <cfvo type="num" val="0.5"/>
        <cfvo type="num" val="1"/>
        <cfvo type="num" val="1.5"/>
        <color rgb="FFF8696B"/>
        <color rgb="FFFFEB84"/>
        <color rgb="FF63BE7B"/>
      </colorScale>
    </cfRule>
    <cfRule type="colorScale" priority="14">
      <colorScale>
        <cfvo type="min"/>
        <cfvo type="percentile" val="50"/>
        <cfvo type="max"/>
        <color rgb="FFF8696B"/>
        <color rgb="FFFFEB84"/>
        <color rgb="FF63BE7B"/>
      </colorScale>
    </cfRule>
  </conditionalFormatting>
  <conditionalFormatting sqref="J4:L4">
    <cfRule type="colorScale" priority="11">
      <colorScale>
        <cfvo type="num" val="0.5"/>
        <cfvo type="num" val="1"/>
        <cfvo type="num" val="1.5"/>
        <color rgb="FFF8696B"/>
        <color rgb="FFFFEB84"/>
        <color rgb="FF63BE7B"/>
      </colorScale>
    </cfRule>
    <cfRule type="colorScale" priority="12">
      <colorScale>
        <cfvo type="min"/>
        <cfvo type="percentile" val="50"/>
        <cfvo type="max"/>
        <color rgb="FFF8696B"/>
        <color rgb="FFFFEB84"/>
        <color rgb="FF63BE7B"/>
      </colorScale>
    </cfRule>
  </conditionalFormatting>
  <conditionalFormatting sqref="M6:M63 M4:N4 N5:N63">
    <cfRule type="colorScale" priority="9">
      <colorScale>
        <cfvo type="num" val="0.5"/>
        <cfvo type="num" val="1"/>
        <cfvo type="num" val="1.5"/>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M5">
    <cfRule type="colorScale" priority="7">
      <colorScale>
        <cfvo type="num" val="0.5"/>
        <cfvo type="num" val="1"/>
        <cfvo type="num" val="1.5"/>
        <color rgb="FFF8696B"/>
        <color rgb="FFFFEB84"/>
        <color rgb="FF63BE7B"/>
      </colorScale>
    </cfRule>
    <cfRule type="colorScale" priority="8">
      <colorScale>
        <cfvo type="min"/>
        <cfvo type="percentile" val="50"/>
        <cfvo type="max"/>
        <color rgb="FFF8696B"/>
        <color rgb="FFFFEB84"/>
        <color rgb="FF63BE7B"/>
      </colorScale>
    </cfRule>
  </conditionalFormatting>
  <conditionalFormatting sqref="I54">
    <cfRule type="colorScale" priority="5">
      <colorScale>
        <cfvo type="num" val="0.5"/>
        <cfvo type="num" val="1"/>
        <cfvo type="num" val="1.5"/>
        <color rgb="FFF8696B"/>
        <color rgb="FFFFEB84"/>
        <color rgb="FF63BE7B"/>
      </colorScale>
    </cfRule>
    <cfRule type="colorScale" priority="6">
      <colorScale>
        <cfvo type="min"/>
        <cfvo type="percentile" val="50"/>
        <cfvo type="max"/>
        <color rgb="FFF8696B"/>
        <color rgb="FFFFEB84"/>
        <color rgb="FF63BE7B"/>
      </colorScale>
    </cfRule>
  </conditionalFormatting>
  <conditionalFormatting sqref="E54:H54">
    <cfRule type="colorScale" priority="3">
      <colorScale>
        <cfvo type="num" val="0.5"/>
        <cfvo type="num" val="1"/>
        <cfvo type="num" val="1.5"/>
        <color rgb="FFF8696B"/>
        <color rgb="FFFFEB84"/>
        <color rgb="FF63BE7B"/>
      </colorScale>
    </cfRule>
    <cfRule type="colorScale" priority="4">
      <colorScale>
        <cfvo type="min"/>
        <cfvo type="percentile" val="50"/>
        <cfvo type="max"/>
        <color rgb="FFF8696B"/>
        <color rgb="FFFFEB84"/>
        <color rgb="FF63BE7B"/>
      </colorScale>
    </cfRule>
  </conditionalFormatting>
  <conditionalFormatting sqref="J54:L54">
    <cfRule type="colorScale" priority="1">
      <colorScale>
        <cfvo type="num" val="0.5"/>
        <cfvo type="num" val="1"/>
        <cfvo type="num" val="1.5"/>
        <color rgb="FFF8696B"/>
        <color rgb="FFFFEB84"/>
        <color rgb="FF63BE7B"/>
      </colorScale>
    </cfRule>
    <cfRule type="colorScale" priority="2">
      <colorScale>
        <cfvo type="min"/>
        <cfvo type="percentile" val="50"/>
        <cfvo type="max"/>
        <color rgb="FFF8696B"/>
        <color rgb="FFFFEB84"/>
        <color rgb="FF63BE7B"/>
      </colorScale>
    </cfRule>
  </conditionalFormatting>
  <hyperlinks>
    <hyperlink ref="A1" location="'Main Menu'!A1" display="Return to Main Menu"/>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80"/>
  <sheetViews>
    <sheetView zoomScale="90" zoomScaleNormal="90" workbookViewId="0">
      <pane xSplit="1" ySplit="3" topLeftCell="B19" activePane="bottomRight" state="frozen"/>
      <selection pane="topRight" activeCell="B1" sqref="B1"/>
      <selection pane="bottomLeft" activeCell="A4" sqref="A4"/>
      <selection pane="bottomRight" activeCell="G8" sqref="G8"/>
    </sheetView>
  </sheetViews>
  <sheetFormatPr defaultRowHeight="15" x14ac:dyDescent="0.25"/>
  <cols>
    <col min="1" max="1" width="48.5703125" style="372" customWidth="1"/>
    <col min="2" max="13" width="5.7109375" style="277" customWidth="1"/>
    <col min="14" max="14" width="7.7109375" style="277" bestFit="1" customWidth="1"/>
    <col min="15" max="15" width="85.5703125" style="277" customWidth="1"/>
    <col min="16" max="20" width="9.140625" style="277"/>
    <col min="21" max="21" width="14" style="277" customWidth="1"/>
    <col min="22" max="16384" width="9.140625" style="277"/>
  </cols>
  <sheetData>
    <row r="1" spans="1:26" ht="28.5" customHeight="1" x14ac:dyDescent="0.25">
      <c r="A1" s="392" t="s">
        <v>34</v>
      </c>
      <c r="B1" s="391" t="s">
        <v>422</v>
      </c>
      <c r="P1" s="478" t="s">
        <v>349</v>
      </c>
      <c r="Q1" s="478"/>
      <c r="R1" s="478"/>
      <c r="S1" s="478"/>
      <c r="T1" s="478"/>
      <c r="U1" s="478"/>
      <c r="V1" s="478"/>
      <c r="W1" s="478"/>
      <c r="X1" s="478"/>
      <c r="Y1" s="478"/>
    </row>
    <row r="2" spans="1:26" x14ac:dyDescent="0.25">
      <c r="A2" s="399" t="s">
        <v>391</v>
      </c>
      <c r="B2" s="377">
        <v>2015</v>
      </c>
      <c r="C2" s="377">
        <v>2020</v>
      </c>
      <c r="D2" s="377">
        <v>2025</v>
      </c>
      <c r="E2" s="377">
        <v>2030</v>
      </c>
      <c r="F2" s="377">
        <v>2035</v>
      </c>
      <c r="G2" s="377">
        <v>2040</v>
      </c>
      <c r="H2" s="377">
        <v>2045</v>
      </c>
      <c r="I2" s="377">
        <v>2050</v>
      </c>
      <c r="J2" s="377">
        <v>2055</v>
      </c>
      <c r="K2" s="377">
        <v>2060</v>
      </c>
      <c r="L2" s="378">
        <v>2065</v>
      </c>
      <c r="M2" s="465"/>
      <c r="N2" s="337"/>
      <c r="O2" s="330"/>
      <c r="P2" s="330" t="s">
        <v>350</v>
      </c>
      <c r="Q2" s="330" t="s">
        <v>351</v>
      </c>
      <c r="R2" s="330" t="s">
        <v>352</v>
      </c>
      <c r="S2" s="330" t="s">
        <v>353</v>
      </c>
      <c r="T2" s="330" t="s">
        <v>354</v>
      </c>
      <c r="U2" s="330" t="s">
        <v>355</v>
      </c>
      <c r="V2" s="330" t="s">
        <v>356</v>
      </c>
      <c r="W2" s="330" t="s">
        <v>357</v>
      </c>
      <c r="X2" s="330" t="s">
        <v>358</v>
      </c>
      <c r="Y2" s="330" t="s">
        <v>359</v>
      </c>
      <c r="Z2" s="330" t="s">
        <v>360</v>
      </c>
    </row>
    <row r="3" spans="1:26" x14ac:dyDescent="0.25">
      <c r="A3" s="394" t="s">
        <v>337</v>
      </c>
      <c r="B3" s="379"/>
      <c r="C3" s="379"/>
      <c r="D3" s="379"/>
      <c r="E3" s="379"/>
      <c r="F3" s="379"/>
      <c r="G3" s="379"/>
      <c r="H3" s="379"/>
      <c r="I3" s="379"/>
      <c r="J3" s="379"/>
      <c r="K3" s="379"/>
      <c r="L3" s="380"/>
      <c r="M3" s="465"/>
      <c r="N3" s="337"/>
      <c r="P3" s="337"/>
      <c r="Q3" s="337"/>
      <c r="R3" s="337"/>
      <c r="S3" s="337"/>
      <c r="T3" s="337"/>
      <c r="U3" s="337"/>
      <c r="V3" s="337"/>
      <c r="W3" s="337"/>
      <c r="X3" s="337"/>
      <c r="Y3" s="337"/>
      <c r="Z3" s="337"/>
    </row>
    <row r="4" spans="1:26" x14ac:dyDescent="0.25">
      <c r="A4" s="369" t="s">
        <v>385</v>
      </c>
      <c r="B4" s="262">
        <v>1</v>
      </c>
      <c r="C4" s="262">
        <v>1</v>
      </c>
      <c r="D4" s="262">
        <v>1</v>
      </c>
      <c r="E4" s="262">
        <v>1.05</v>
      </c>
      <c r="F4" s="262">
        <v>1.05</v>
      </c>
      <c r="G4" s="262">
        <v>1.1000000000000001</v>
      </c>
      <c r="H4" s="262">
        <v>1.1000000000000001</v>
      </c>
      <c r="I4" s="459">
        <v>1.1000000000000001</v>
      </c>
      <c r="J4" s="262">
        <v>1.1000000000000001</v>
      </c>
      <c r="K4" s="262">
        <v>1.1000000000000001</v>
      </c>
      <c r="L4" s="265">
        <v>1.1000000000000001</v>
      </c>
      <c r="M4" s="263">
        <v>0.9</v>
      </c>
      <c r="N4" s="342">
        <f>I4/M4</f>
        <v>1.2222222222222223</v>
      </c>
      <c r="O4" s="277" t="s">
        <v>547</v>
      </c>
      <c r="P4" s="387"/>
      <c r="Q4" s="387"/>
      <c r="R4" s="387"/>
      <c r="S4" s="387"/>
      <c r="T4" s="387" t="s">
        <v>362</v>
      </c>
      <c r="U4" s="387"/>
      <c r="V4" s="387"/>
      <c r="W4" s="387"/>
      <c r="X4" s="387"/>
      <c r="Y4" s="387"/>
      <c r="Z4" s="277" t="s">
        <v>362</v>
      </c>
    </row>
    <row r="5" spans="1:26" x14ac:dyDescent="0.25">
      <c r="A5" s="370" t="s">
        <v>386</v>
      </c>
      <c r="B5" s="262">
        <v>1</v>
      </c>
      <c r="C5" s="262">
        <v>1</v>
      </c>
      <c r="D5" s="262">
        <v>1</v>
      </c>
      <c r="E5" s="262">
        <v>0.9</v>
      </c>
      <c r="F5" s="262">
        <v>0.8</v>
      </c>
      <c r="G5" s="262">
        <v>0.7</v>
      </c>
      <c r="H5" s="262">
        <v>0.6</v>
      </c>
      <c r="I5" s="459">
        <v>0.5</v>
      </c>
      <c r="J5" s="262">
        <v>0.5</v>
      </c>
      <c r="K5" s="262">
        <v>0.5</v>
      </c>
      <c r="L5" s="265">
        <v>0.5</v>
      </c>
      <c r="M5" s="262">
        <v>0.7</v>
      </c>
      <c r="N5" s="342">
        <f t="shared" ref="N5:N63" si="0">I5/M5</f>
        <v>0.7142857142857143</v>
      </c>
      <c r="O5" s="277" t="s">
        <v>423</v>
      </c>
      <c r="P5" s="387" t="s">
        <v>362</v>
      </c>
      <c r="Q5" s="387" t="s">
        <v>371</v>
      </c>
      <c r="R5" s="387"/>
      <c r="S5" s="387"/>
      <c r="T5" s="387"/>
      <c r="U5" s="387"/>
      <c r="V5" s="387"/>
      <c r="W5" s="387"/>
      <c r="X5" s="387"/>
      <c r="Y5" s="387"/>
      <c r="Z5" s="277" t="s">
        <v>362</v>
      </c>
    </row>
    <row r="6" spans="1:26" x14ac:dyDescent="0.25">
      <c r="A6" s="370" t="s">
        <v>383</v>
      </c>
      <c r="B6" s="262">
        <v>1</v>
      </c>
      <c r="C6" s="262">
        <v>1</v>
      </c>
      <c r="D6" s="262">
        <v>1</v>
      </c>
      <c r="E6" s="262">
        <v>1.1000000000000001</v>
      </c>
      <c r="F6" s="262">
        <v>1.1000000000000001</v>
      </c>
      <c r="G6" s="262">
        <v>1.1499999999999999</v>
      </c>
      <c r="H6" s="262">
        <v>1.2</v>
      </c>
      <c r="I6" s="459">
        <v>1.25</v>
      </c>
      <c r="J6" s="262">
        <v>1.25</v>
      </c>
      <c r="K6" s="262">
        <v>1.25</v>
      </c>
      <c r="L6" s="265">
        <v>1.25</v>
      </c>
      <c r="M6" s="262">
        <v>1</v>
      </c>
      <c r="N6" s="342">
        <f t="shared" si="0"/>
        <v>1.25</v>
      </c>
      <c r="P6" s="387"/>
      <c r="Q6" s="387" t="s">
        <v>371</v>
      </c>
      <c r="R6" s="387"/>
      <c r="S6" s="387"/>
      <c r="T6" s="387"/>
      <c r="U6" s="387"/>
      <c r="V6" s="387"/>
      <c r="W6" s="387"/>
      <c r="X6" s="387"/>
      <c r="Y6" s="387"/>
      <c r="Z6" s="277" t="s">
        <v>371</v>
      </c>
    </row>
    <row r="7" spans="1:26" x14ac:dyDescent="0.25">
      <c r="A7" s="370" t="s">
        <v>384</v>
      </c>
      <c r="B7" s="262">
        <v>1</v>
      </c>
      <c r="C7" s="262">
        <v>1</v>
      </c>
      <c r="D7" s="262">
        <v>1</v>
      </c>
      <c r="E7" s="262">
        <v>1.1000000000000001</v>
      </c>
      <c r="F7" s="262">
        <v>1.1000000000000001</v>
      </c>
      <c r="G7" s="262">
        <v>1.1499999999999999</v>
      </c>
      <c r="H7" s="262">
        <v>1.2</v>
      </c>
      <c r="I7" s="459">
        <v>1.25</v>
      </c>
      <c r="J7" s="262">
        <v>1.25</v>
      </c>
      <c r="K7" s="262">
        <v>1.25</v>
      </c>
      <c r="L7" s="265">
        <v>1.25</v>
      </c>
      <c r="M7" s="262">
        <v>1</v>
      </c>
      <c r="N7" s="342">
        <f t="shared" si="0"/>
        <v>1.25</v>
      </c>
      <c r="P7" s="387"/>
      <c r="Q7" s="387" t="s">
        <v>371</v>
      </c>
      <c r="R7" s="387"/>
      <c r="S7" s="387"/>
      <c r="T7" s="387"/>
      <c r="U7" s="387"/>
      <c r="V7" s="387"/>
      <c r="W7" s="387"/>
      <c r="X7" s="387"/>
      <c r="Y7" s="387"/>
      <c r="Z7" s="277" t="s">
        <v>371</v>
      </c>
    </row>
    <row r="8" spans="1:26" x14ac:dyDescent="0.25">
      <c r="A8" s="370" t="s">
        <v>387</v>
      </c>
      <c r="B8" s="262">
        <v>1</v>
      </c>
      <c r="C8" s="262">
        <v>1</v>
      </c>
      <c r="D8" s="262">
        <v>1</v>
      </c>
      <c r="E8" s="262">
        <v>0.75</v>
      </c>
      <c r="F8" s="262">
        <v>0.75</v>
      </c>
      <c r="G8" s="262">
        <v>0.75</v>
      </c>
      <c r="H8" s="262">
        <v>0.75</v>
      </c>
      <c r="I8" s="459">
        <v>0.75</v>
      </c>
      <c r="J8" s="262">
        <v>0.75</v>
      </c>
      <c r="K8" s="262">
        <v>0.75</v>
      </c>
      <c r="L8" s="265">
        <v>0.75</v>
      </c>
      <c r="M8" s="262">
        <v>1</v>
      </c>
      <c r="N8" s="342">
        <f t="shared" si="0"/>
        <v>0.75</v>
      </c>
      <c r="P8" s="387"/>
      <c r="Q8" s="387" t="s">
        <v>371</v>
      </c>
      <c r="R8" s="387"/>
      <c r="S8" s="387"/>
      <c r="T8" s="387"/>
      <c r="U8" s="387"/>
      <c r="V8" s="387"/>
      <c r="W8" s="387"/>
      <c r="X8" s="387"/>
      <c r="Y8" s="387"/>
      <c r="Z8" s="277" t="s">
        <v>371</v>
      </c>
    </row>
    <row r="9" spans="1:26" x14ac:dyDescent="0.25">
      <c r="A9" s="370" t="s">
        <v>483</v>
      </c>
      <c r="B9" s="262">
        <v>1</v>
      </c>
      <c r="C9" s="262">
        <v>1</v>
      </c>
      <c r="D9" s="262">
        <v>1</v>
      </c>
      <c r="E9" s="262">
        <v>0.74999999999999989</v>
      </c>
      <c r="F9" s="262">
        <v>0.74999999999999989</v>
      </c>
      <c r="G9" s="262">
        <v>0.74999999999999989</v>
      </c>
      <c r="H9" s="262">
        <v>0.74999999999999989</v>
      </c>
      <c r="I9" s="459">
        <v>0.75</v>
      </c>
      <c r="J9" s="262">
        <v>0.74999999999999989</v>
      </c>
      <c r="K9" s="262">
        <v>0.74999999999999989</v>
      </c>
      <c r="L9" s="265">
        <v>0.74999999999999989</v>
      </c>
      <c r="M9" s="262">
        <v>0.7</v>
      </c>
      <c r="N9" s="342">
        <f t="shared" si="0"/>
        <v>1.0714285714285714</v>
      </c>
      <c r="P9" s="387"/>
      <c r="Q9" s="387"/>
      <c r="R9" s="387"/>
      <c r="S9" s="387" t="s">
        <v>371</v>
      </c>
      <c r="T9" s="387"/>
      <c r="U9" s="387"/>
      <c r="V9" s="387"/>
      <c r="W9" s="387"/>
      <c r="X9" s="387"/>
      <c r="Y9" s="387"/>
      <c r="Z9" s="387" t="s">
        <v>371</v>
      </c>
    </row>
    <row r="10" spans="1:26" x14ac:dyDescent="0.25">
      <c r="A10" s="370" t="s">
        <v>484</v>
      </c>
      <c r="B10" s="262">
        <v>1</v>
      </c>
      <c r="C10" s="262">
        <v>1</v>
      </c>
      <c r="D10" s="262">
        <v>1</v>
      </c>
      <c r="E10" s="262">
        <v>0.75</v>
      </c>
      <c r="F10" s="262">
        <v>0.75</v>
      </c>
      <c r="G10" s="262">
        <v>0.75</v>
      </c>
      <c r="H10" s="262">
        <v>0.75</v>
      </c>
      <c r="I10" s="459">
        <v>0.75</v>
      </c>
      <c r="J10" s="262">
        <v>0.75</v>
      </c>
      <c r="K10" s="262">
        <v>0.75</v>
      </c>
      <c r="L10" s="265">
        <v>0.75</v>
      </c>
      <c r="M10" s="262">
        <v>1</v>
      </c>
      <c r="N10" s="342">
        <f t="shared" si="0"/>
        <v>0.75</v>
      </c>
      <c r="P10" s="387"/>
      <c r="Q10" s="387"/>
      <c r="R10" s="387"/>
      <c r="S10" s="387" t="s">
        <v>371</v>
      </c>
      <c r="T10" s="387"/>
      <c r="U10" s="387"/>
      <c r="V10" s="387"/>
      <c r="W10" s="387"/>
      <c r="X10" s="387"/>
      <c r="Y10" s="387"/>
      <c r="Z10" s="387" t="s">
        <v>371</v>
      </c>
    </row>
    <row r="11" spans="1:26" x14ac:dyDescent="0.25">
      <c r="A11" s="370" t="s">
        <v>486</v>
      </c>
      <c r="B11" s="262">
        <v>1</v>
      </c>
      <c r="C11" s="262">
        <v>1</v>
      </c>
      <c r="D11" s="262">
        <v>1</v>
      </c>
      <c r="E11" s="262">
        <v>0.75</v>
      </c>
      <c r="F11" s="262">
        <v>0.75</v>
      </c>
      <c r="G11" s="262">
        <v>0.75</v>
      </c>
      <c r="H11" s="262">
        <v>0.75</v>
      </c>
      <c r="I11" s="459">
        <v>0.75</v>
      </c>
      <c r="J11" s="262">
        <v>0.75</v>
      </c>
      <c r="K11" s="262">
        <v>0.75</v>
      </c>
      <c r="L11" s="265">
        <v>0.75</v>
      </c>
      <c r="M11" s="262">
        <v>1</v>
      </c>
      <c r="N11" s="342">
        <f t="shared" si="0"/>
        <v>0.75</v>
      </c>
      <c r="P11" s="387"/>
      <c r="Q11" s="387"/>
      <c r="R11" s="387"/>
      <c r="S11" s="387" t="s">
        <v>371</v>
      </c>
      <c r="T11" s="387"/>
      <c r="U11" s="387"/>
      <c r="V11" s="387"/>
      <c r="W11" s="387"/>
      <c r="X11" s="387"/>
      <c r="Y11" s="387"/>
      <c r="Z11" s="387" t="s">
        <v>371</v>
      </c>
    </row>
    <row r="12" spans="1:26" x14ac:dyDescent="0.25">
      <c r="A12" s="370" t="s">
        <v>487</v>
      </c>
      <c r="B12" s="262">
        <v>1</v>
      </c>
      <c r="C12" s="262">
        <v>1</v>
      </c>
      <c r="D12" s="262">
        <v>1</v>
      </c>
      <c r="E12" s="262">
        <v>1.1000000000000001</v>
      </c>
      <c r="F12" s="262">
        <v>1.1499999999999999</v>
      </c>
      <c r="G12" s="262">
        <v>1.2</v>
      </c>
      <c r="H12" s="262">
        <v>1.25</v>
      </c>
      <c r="I12" s="459">
        <v>1.25</v>
      </c>
      <c r="J12" s="262">
        <v>1.25</v>
      </c>
      <c r="K12" s="262">
        <v>1.25</v>
      </c>
      <c r="L12" s="265">
        <v>1.25</v>
      </c>
      <c r="M12" s="262">
        <v>1.1000000000000001</v>
      </c>
      <c r="N12" s="342">
        <f t="shared" si="0"/>
        <v>1.1363636363636362</v>
      </c>
      <c r="O12" s="277" t="s">
        <v>424</v>
      </c>
      <c r="P12" s="387"/>
      <c r="Q12" s="387"/>
      <c r="R12" s="387"/>
      <c r="S12" s="387"/>
      <c r="T12" s="387"/>
      <c r="U12" s="387"/>
      <c r="V12" s="387"/>
      <c r="W12" s="387"/>
      <c r="X12" s="387" t="s">
        <v>363</v>
      </c>
      <c r="Y12" s="387"/>
      <c r="Z12" s="277" t="s">
        <v>363</v>
      </c>
    </row>
    <row r="13" spans="1:26" x14ac:dyDescent="0.25">
      <c r="A13" s="370" t="s">
        <v>488</v>
      </c>
      <c r="B13" s="262">
        <v>1</v>
      </c>
      <c r="C13" s="262">
        <v>1</v>
      </c>
      <c r="D13" s="262">
        <v>1</v>
      </c>
      <c r="E13" s="262">
        <v>1</v>
      </c>
      <c r="F13" s="262">
        <v>1</v>
      </c>
      <c r="G13" s="262">
        <v>1</v>
      </c>
      <c r="H13" s="262">
        <v>1</v>
      </c>
      <c r="I13" s="459">
        <v>1</v>
      </c>
      <c r="J13" s="262">
        <v>1</v>
      </c>
      <c r="K13" s="262">
        <v>1</v>
      </c>
      <c r="L13" s="265">
        <v>1</v>
      </c>
      <c r="M13" s="262">
        <v>1</v>
      </c>
      <c r="N13" s="342">
        <f t="shared" si="0"/>
        <v>1</v>
      </c>
      <c r="P13" s="387"/>
      <c r="Q13" s="387"/>
      <c r="R13" s="387"/>
      <c r="S13" s="387" t="s">
        <v>371</v>
      </c>
      <c r="T13" s="387"/>
      <c r="U13" s="387"/>
      <c r="V13" s="387"/>
      <c r="W13" s="387"/>
      <c r="X13" s="387"/>
      <c r="Y13" s="387"/>
      <c r="Z13" s="387" t="s">
        <v>371</v>
      </c>
    </row>
    <row r="14" spans="1:26" x14ac:dyDescent="0.25">
      <c r="A14" s="370" t="s">
        <v>489</v>
      </c>
      <c r="B14" s="262">
        <v>1</v>
      </c>
      <c r="C14" s="262">
        <v>1</v>
      </c>
      <c r="D14" s="262">
        <v>1</v>
      </c>
      <c r="E14" s="262">
        <v>0.9</v>
      </c>
      <c r="F14" s="262">
        <v>0.85</v>
      </c>
      <c r="G14" s="262">
        <v>0.8</v>
      </c>
      <c r="H14" s="262">
        <v>0.75</v>
      </c>
      <c r="I14" s="459">
        <v>0.75</v>
      </c>
      <c r="J14" s="262">
        <v>0.75</v>
      </c>
      <c r="K14" s="262">
        <v>0.75</v>
      </c>
      <c r="L14" s="265">
        <v>0.75</v>
      </c>
      <c r="M14" s="262">
        <v>0.9</v>
      </c>
      <c r="N14" s="342">
        <f t="shared" si="0"/>
        <v>0.83333333333333326</v>
      </c>
      <c r="O14" s="277" t="s">
        <v>424</v>
      </c>
      <c r="P14" s="387"/>
      <c r="Q14" s="387"/>
      <c r="R14" s="387"/>
      <c r="S14" s="387"/>
      <c r="T14" s="387"/>
      <c r="U14" s="387"/>
      <c r="V14" s="387"/>
      <c r="W14" s="387"/>
      <c r="X14" s="387" t="s">
        <v>362</v>
      </c>
      <c r="Y14" s="387"/>
      <c r="Z14" s="277" t="s">
        <v>362</v>
      </c>
    </row>
    <row r="15" spans="1:26" x14ac:dyDescent="0.25">
      <c r="A15" s="370" t="s">
        <v>398</v>
      </c>
      <c r="B15" s="262">
        <v>1</v>
      </c>
      <c r="C15" s="262">
        <v>1</v>
      </c>
      <c r="D15" s="262">
        <v>1</v>
      </c>
      <c r="E15" s="262">
        <v>0.8</v>
      </c>
      <c r="F15" s="262">
        <v>0.7</v>
      </c>
      <c r="G15" s="262">
        <v>0.6</v>
      </c>
      <c r="H15" s="262">
        <v>0.5</v>
      </c>
      <c r="I15" s="459">
        <v>0.5</v>
      </c>
      <c r="J15" s="262">
        <v>0.5</v>
      </c>
      <c r="K15" s="262">
        <v>0.5</v>
      </c>
      <c r="L15" s="265">
        <v>0.5</v>
      </c>
      <c r="M15" s="262">
        <v>1.2</v>
      </c>
      <c r="N15" s="342">
        <f t="shared" si="0"/>
        <v>0.41666666666666669</v>
      </c>
      <c r="O15" s="277" t="s">
        <v>548</v>
      </c>
      <c r="P15" s="387"/>
      <c r="Q15" s="387"/>
      <c r="R15" s="387"/>
      <c r="S15" s="387"/>
      <c r="T15" s="387"/>
      <c r="U15" s="387" t="s">
        <v>363</v>
      </c>
      <c r="V15" s="387"/>
      <c r="W15" s="387"/>
      <c r="X15" s="387"/>
      <c r="Y15" s="387"/>
      <c r="Z15" s="277" t="s">
        <v>363</v>
      </c>
    </row>
    <row r="16" spans="1:26" x14ac:dyDescent="0.25">
      <c r="A16" s="370" t="s">
        <v>399</v>
      </c>
      <c r="B16" s="262">
        <v>1</v>
      </c>
      <c r="C16" s="262">
        <v>1</v>
      </c>
      <c r="D16" s="262">
        <v>1</v>
      </c>
      <c r="E16" s="262">
        <v>1</v>
      </c>
      <c r="F16" s="262">
        <v>1</v>
      </c>
      <c r="G16" s="262">
        <v>1</v>
      </c>
      <c r="H16" s="262">
        <v>1</v>
      </c>
      <c r="I16" s="459">
        <v>1</v>
      </c>
      <c r="J16" s="262">
        <v>1</v>
      </c>
      <c r="K16" s="262">
        <v>1</v>
      </c>
      <c r="L16" s="265">
        <v>1</v>
      </c>
      <c r="M16" s="262">
        <v>1</v>
      </c>
      <c r="N16" s="342">
        <f t="shared" si="0"/>
        <v>1</v>
      </c>
      <c r="O16" s="277" t="s">
        <v>548</v>
      </c>
      <c r="P16" s="387"/>
      <c r="Q16" s="387"/>
      <c r="R16" s="387"/>
      <c r="S16" s="387"/>
      <c r="T16" s="387"/>
      <c r="U16" s="387" t="s">
        <v>363</v>
      </c>
      <c r="V16" s="387"/>
      <c r="W16" s="387"/>
      <c r="X16" s="387"/>
      <c r="Y16" s="387"/>
      <c r="Z16" s="277" t="s">
        <v>363</v>
      </c>
    </row>
    <row r="17" spans="1:26" x14ac:dyDescent="0.25">
      <c r="A17" s="370" t="s">
        <v>400</v>
      </c>
      <c r="B17" s="262">
        <v>1</v>
      </c>
      <c r="C17" s="262">
        <v>1</v>
      </c>
      <c r="D17" s="262">
        <v>1</v>
      </c>
      <c r="E17" s="262">
        <v>1.1000000000000001</v>
      </c>
      <c r="F17" s="262">
        <v>1.2</v>
      </c>
      <c r="G17" s="262">
        <v>1.3</v>
      </c>
      <c r="H17" s="262">
        <v>1.4</v>
      </c>
      <c r="I17" s="459">
        <v>1.5</v>
      </c>
      <c r="J17" s="262">
        <v>1.5</v>
      </c>
      <c r="K17" s="262">
        <v>1.5</v>
      </c>
      <c r="L17" s="265">
        <v>1.5</v>
      </c>
      <c r="M17" s="262">
        <v>1</v>
      </c>
      <c r="N17" s="342">
        <f t="shared" si="0"/>
        <v>1.5</v>
      </c>
      <c r="P17" s="387"/>
      <c r="Q17" s="387"/>
      <c r="R17" s="387"/>
      <c r="S17" s="387"/>
      <c r="T17" s="387"/>
      <c r="U17" s="387"/>
      <c r="V17" s="387" t="s">
        <v>371</v>
      </c>
      <c r="W17" s="387"/>
      <c r="X17" s="387"/>
      <c r="Y17" s="387"/>
      <c r="Z17" s="277" t="s">
        <v>371</v>
      </c>
    </row>
    <row r="18" spans="1:26" x14ac:dyDescent="0.25">
      <c r="A18" s="371" t="s">
        <v>401</v>
      </c>
      <c r="B18" s="262">
        <v>1</v>
      </c>
      <c r="C18" s="262">
        <v>1</v>
      </c>
      <c r="D18" s="262">
        <v>1</v>
      </c>
      <c r="E18" s="266">
        <v>0.9</v>
      </c>
      <c r="F18" s="266">
        <v>0.8</v>
      </c>
      <c r="G18" s="266">
        <v>0.7</v>
      </c>
      <c r="H18" s="266">
        <v>0.6</v>
      </c>
      <c r="I18" s="460">
        <v>0.5</v>
      </c>
      <c r="J18" s="266">
        <v>0.5</v>
      </c>
      <c r="K18" s="266">
        <v>0.5</v>
      </c>
      <c r="L18" s="267">
        <v>0.5</v>
      </c>
      <c r="M18" s="266">
        <v>1</v>
      </c>
      <c r="N18" s="342">
        <f t="shared" si="0"/>
        <v>0.5</v>
      </c>
      <c r="P18" s="387"/>
      <c r="Q18" s="387"/>
      <c r="R18" s="387" t="s">
        <v>371</v>
      </c>
      <c r="S18" s="387"/>
      <c r="T18" s="387"/>
      <c r="U18" s="387"/>
      <c r="V18" s="387"/>
      <c r="W18" s="387"/>
      <c r="X18" s="387"/>
      <c r="Y18" s="387"/>
      <c r="Z18" s="277" t="s">
        <v>371</v>
      </c>
    </row>
    <row r="19" spans="1:26" x14ac:dyDescent="0.25">
      <c r="A19" s="369" t="s">
        <v>414</v>
      </c>
      <c r="B19" s="263">
        <v>1</v>
      </c>
      <c r="C19" s="263">
        <v>1</v>
      </c>
      <c r="D19" s="263">
        <v>1</v>
      </c>
      <c r="E19" s="263">
        <v>1.1000000000000001</v>
      </c>
      <c r="F19" s="263">
        <v>1.1000000000000001</v>
      </c>
      <c r="G19" s="263">
        <v>1.1499999999999999</v>
      </c>
      <c r="H19" s="263">
        <v>1.2</v>
      </c>
      <c r="I19" s="461">
        <v>1.25</v>
      </c>
      <c r="J19" s="263">
        <v>1.25</v>
      </c>
      <c r="K19" s="263">
        <v>1.25</v>
      </c>
      <c r="L19" s="264">
        <v>1.25</v>
      </c>
      <c r="M19" s="263">
        <v>1</v>
      </c>
      <c r="N19" s="342">
        <f t="shared" si="0"/>
        <v>1.25</v>
      </c>
      <c r="O19" s="277" t="s">
        <v>436</v>
      </c>
      <c r="P19" s="387"/>
      <c r="Q19" s="387"/>
      <c r="R19" s="387"/>
      <c r="S19" s="387"/>
      <c r="T19" s="387" t="s">
        <v>362</v>
      </c>
      <c r="U19" s="387"/>
      <c r="V19" s="387"/>
      <c r="W19" s="387"/>
      <c r="X19" s="387"/>
      <c r="Y19" s="387"/>
      <c r="Z19" s="277" t="s">
        <v>362</v>
      </c>
    </row>
    <row r="20" spans="1:26" x14ac:dyDescent="0.25">
      <c r="A20" s="370" t="s">
        <v>415</v>
      </c>
      <c r="B20" s="262">
        <v>1</v>
      </c>
      <c r="C20" s="262">
        <v>1</v>
      </c>
      <c r="D20" s="262">
        <v>1</v>
      </c>
      <c r="E20" s="262">
        <v>1</v>
      </c>
      <c r="F20" s="262">
        <v>1</v>
      </c>
      <c r="G20" s="262">
        <v>1</v>
      </c>
      <c r="H20" s="262">
        <v>1</v>
      </c>
      <c r="I20" s="459">
        <v>1</v>
      </c>
      <c r="J20" s="262">
        <v>1</v>
      </c>
      <c r="K20" s="262">
        <v>1</v>
      </c>
      <c r="L20" s="265">
        <v>1</v>
      </c>
      <c r="M20" s="262">
        <v>1</v>
      </c>
      <c r="N20" s="342">
        <f t="shared" si="0"/>
        <v>1</v>
      </c>
      <c r="O20" s="277" t="s">
        <v>436</v>
      </c>
      <c r="P20" s="387"/>
      <c r="Q20" s="387"/>
      <c r="R20" s="387"/>
      <c r="S20" s="387"/>
      <c r="T20" s="387" t="s">
        <v>362</v>
      </c>
      <c r="U20" s="387"/>
      <c r="V20" s="387"/>
      <c r="W20" s="387"/>
      <c r="X20" s="387"/>
      <c r="Y20" s="387"/>
      <c r="Z20" s="277" t="s">
        <v>362</v>
      </c>
    </row>
    <row r="21" spans="1:26" x14ac:dyDescent="0.25">
      <c r="A21" s="370" t="s">
        <v>416</v>
      </c>
      <c r="B21" s="262">
        <v>1</v>
      </c>
      <c r="C21" s="262">
        <v>1</v>
      </c>
      <c r="D21" s="262">
        <v>1</v>
      </c>
      <c r="E21" s="262">
        <v>1</v>
      </c>
      <c r="F21" s="262">
        <v>1</v>
      </c>
      <c r="G21" s="262">
        <v>1</v>
      </c>
      <c r="H21" s="262">
        <v>1</v>
      </c>
      <c r="I21" s="459">
        <v>1</v>
      </c>
      <c r="J21" s="262">
        <v>1</v>
      </c>
      <c r="K21" s="262">
        <v>1</v>
      </c>
      <c r="L21" s="265">
        <v>1</v>
      </c>
      <c r="M21" s="262">
        <v>1</v>
      </c>
      <c r="N21" s="342">
        <f t="shared" si="0"/>
        <v>1</v>
      </c>
      <c r="O21" s="277" t="s">
        <v>436</v>
      </c>
      <c r="P21" s="387" t="s">
        <v>362</v>
      </c>
      <c r="Q21" s="387" t="s">
        <v>362</v>
      </c>
      <c r="R21" s="387"/>
      <c r="S21" s="387"/>
      <c r="T21" s="387"/>
      <c r="U21" s="387"/>
      <c r="V21" s="387"/>
      <c r="W21" s="387"/>
      <c r="X21" s="387"/>
      <c r="Y21" s="387"/>
      <c r="Z21" s="277" t="s">
        <v>362</v>
      </c>
    </row>
    <row r="22" spans="1:26" x14ac:dyDescent="0.25">
      <c r="A22" s="370" t="s">
        <v>417</v>
      </c>
      <c r="B22" s="262">
        <v>1</v>
      </c>
      <c r="C22" s="262">
        <v>1</v>
      </c>
      <c r="D22" s="262">
        <v>1</v>
      </c>
      <c r="E22" s="262">
        <v>1</v>
      </c>
      <c r="F22" s="262">
        <v>1</v>
      </c>
      <c r="G22" s="262">
        <v>1</v>
      </c>
      <c r="H22" s="262">
        <v>1</v>
      </c>
      <c r="I22" s="459">
        <v>1</v>
      </c>
      <c r="J22" s="262">
        <v>1</v>
      </c>
      <c r="K22" s="262">
        <v>1</v>
      </c>
      <c r="L22" s="265">
        <v>1</v>
      </c>
      <c r="M22" s="262">
        <v>1</v>
      </c>
      <c r="N22" s="342">
        <f t="shared" si="0"/>
        <v>1</v>
      </c>
      <c r="O22" s="277" t="s">
        <v>436</v>
      </c>
      <c r="P22" s="387" t="s">
        <v>362</v>
      </c>
      <c r="Q22" s="387" t="s">
        <v>362</v>
      </c>
      <c r="R22" s="387"/>
      <c r="S22" s="387"/>
      <c r="T22" s="387"/>
      <c r="U22" s="387"/>
      <c r="V22" s="387"/>
      <c r="W22" s="387"/>
      <c r="X22" s="387"/>
      <c r="Y22" s="387"/>
      <c r="Z22" s="277" t="s">
        <v>362</v>
      </c>
    </row>
    <row r="23" spans="1:26" x14ac:dyDescent="0.25">
      <c r="A23" s="370" t="s">
        <v>410</v>
      </c>
      <c r="B23" s="262">
        <v>1</v>
      </c>
      <c r="C23" s="262">
        <v>1</v>
      </c>
      <c r="D23" s="262">
        <v>1</v>
      </c>
      <c r="E23" s="262">
        <v>1</v>
      </c>
      <c r="F23" s="262">
        <v>1</v>
      </c>
      <c r="G23" s="262">
        <v>1</v>
      </c>
      <c r="H23" s="262">
        <v>1</v>
      </c>
      <c r="I23" s="459">
        <v>1</v>
      </c>
      <c r="J23" s="262">
        <v>1</v>
      </c>
      <c r="K23" s="262">
        <v>1</v>
      </c>
      <c r="L23" s="265">
        <v>1</v>
      </c>
      <c r="M23" s="262">
        <v>1</v>
      </c>
      <c r="N23" s="342">
        <f t="shared" si="0"/>
        <v>1</v>
      </c>
      <c r="O23" s="277" t="s">
        <v>436</v>
      </c>
      <c r="P23" s="387"/>
      <c r="Q23" s="387" t="s">
        <v>362</v>
      </c>
      <c r="R23" s="387"/>
      <c r="S23" s="387"/>
      <c r="T23" s="387"/>
      <c r="U23" s="387"/>
      <c r="V23" s="387"/>
      <c r="W23" s="387"/>
      <c r="X23" s="387"/>
      <c r="Y23" s="387"/>
      <c r="Z23" s="277" t="s">
        <v>362</v>
      </c>
    </row>
    <row r="24" spans="1:26" x14ac:dyDescent="0.25">
      <c r="A24" s="370" t="s">
        <v>411</v>
      </c>
      <c r="B24" s="262">
        <v>1</v>
      </c>
      <c r="C24" s="262">
        <v>1</v>
      </c>
      <c r="D24" s="262">
        <v>1</v>
      </c>
      <c r="E24" s="262">
        <v>1</v>
      </c>
      <c r="F24" s="262">
        <v>1</v>
      </c>
      <c r="G24" s="262">
        <v>1</v>
      </c>
      <c r="H24" s="262">
        <v>1</v>
      </c>
      <c r="I24" s="459">
        <v>1</v>
      </c>
      <c r="J24" s="262">
        <v>1</v>
      </c>
      <c r="K24" s="262">
        <v>1</v>
      </c>
      <c r="L24" s="265">
        <v>1</v>
      </c>
      <c r="M24" s="262">
        <v>1</v>
      </c>
      <c r="N24" s="342">
        <f t="shared" si="0"/>
        <v>1</v>
      </c>
      <c r="O24" s="277" t="s">
        <v>436</v>
      </c>
      <c r="P24" s="387"/>
      <c r="Q24" s="387" t="s">
        <v>362</v>
      </c>
      <c r="R24" s="387"/>
      <c r="S24" s="387"/>
      <c r="T24" s="387"/>
      <c r="U24" s="387"/>
      <c r="V24" s="387"/>
      <c r="W24" s="387"/>
      <c r="X24" s="387"/>
      <c r="Y24" s="387"/>
      <c r="Z24" s="277" t="s">
        <v>362</v>
      </c>
    </row>
    <row r="25" spans="1:26" x14ac:dyDescent="0.25">
      <c r="A25" s="370" t="s">
        <v>412</v>
      </c>
      <c r="B25" s="262">
        <v>1</v>
      </c>
      <c r="C25" s="262">
        <v>1</v>
      </c>
      <c r="D25" s="262">
        <v>1</v>
      </c>
      <c r="E25" s="262">
        <v>1.1000000000000001</v>
      </c>
      <c r="F25" s="262">
        <v>1.1499999999999999</v>
      </c>
      <c r="G25" s="262">
        <v>1.2</v>
      </c>
      <c r="H25" s="262">
        <v>1.25</v>
      </c>
      <c r="I25" s="459">
        <v>1.25</v>
      </c>
      <c r="J25" s="262">
        <v>1.25</v>
      </c>
      <c r="K25" s="262">
        <v>1.25</v>
      </c>
      <c r="L25" s="265">
        <v>1.25</v>
      </c>
      <c r="M25" s="262">
        <v>1</v>
      </c>
      <c r="N25" s="342">
        <f t="shared" si="0"/>
        <v>1.25</v>
      </c>
      <c r="O25" s="277" t="s">
        <v>436</v>
      </c>
      <c r="P25" s="387"/>
      <c r="Q25" s="387" t="s">
        <v>362</v>
      </c>
      <c r="R25" s="387"/>
      <c r="S25" s="387"/>
      <c r="T25" s="387"/>
      <c r="U25" s="387"/>
      <c r="V25" s="387"/>
      <c r="W25" s="387"/>
      <c r="X25" s="387"/>
      <c r="Y25" s="387"/>
      <c r="Z25" s="277" t="s">
        <v>362</v>
      </c>
    </row>
    <row r="26" spans="1:26" x14ac:dyDescent="0.25">
      <c r="A26" s="370" t="s">
        <v>413</v>
      </c>
      <c r="B26" s="262">
        <v>1</v>
      </c>
      <c r="C26" s="262">
        <v>1</v>
      </c>
      <c r="D26" s="262">
        <v>1</v>
      </c>
      <c r="E26" s="262">
        <v>1</v>
      </c>
      <c r="F26" s="262">
        <v>1</v>
      </c>
      <c r="G26" s="262">
        <v>1</v>
      </c>
      <c r="H26" s="262">
        <v>1</v>
      </c>
      <c r="I26" s="459">
        <v>1</v>
      </c>
      <c r="J26" s="262">
        <v>1</v>
      </c>
      <c r="K26" s="262">
        <v>1</v>
      </c>
      <c r="L26" s="265">
        <v>1</v>
      </c>
      <c r="M26" s="262">
        <v>1</v>
      </c>
      <c r="N26" s="342">
        <f t="shared" si="0"/>
        <v>1</v>
      </c>
      <c r="O26" s="277" t="s">
        <v>436</v>
      </c>
      <c r="P26" s="387"/>
      <c r="Q26" s="387" t="s">
        <v>362</v>
      </c>
      <c r="R26" s="387"/>
      <c r="S26" s="387"/>
      <c r="T26" s="387"/>
      <c r="U26" s="387"/>
      <c r="V26" s="387"/>
      <c r="W26" s="387"/>
      <c r="X26" s="387"/>
      <c r="Y26" s="387"/>
      <c r="Z26" s="277" t="s">
        <v>362</v>
      </c>
    </row>
    <row r="27" spans="1:26" x14ac:dyDescent="0.25">
      <c r="A27" s="370" t="s">
        <v>418</v>
      </c>
      <c r="B27" s="262">
        <v>1</v>
      </c>
      <c r="C27" s="262">
        <v>1</v>
      </c>
      <c r="D27" s="262">
        <v>1</v>
      </c>
      <c r="E27" s="262">
        <v>1</v>
      </c>
      <c r="F27" s="262">
        <v>1</v>
      </c>
      <c r="G27" s="262">
        <v>1</v>
      </c>
      <c r="H27" s="262">
        <v>1</v>
      </c>
      <c r="I27" s="459">
        <v>1</v>
      </c>
      <c r="J27" s="262">
        <v>1</v>
      </c>
      <c r="K27" s="262">
        <v>1</v>
      </c>
      <c r="L27" s="265">
        <v>1</v>
      </c>
      <c r="M27" s="262">
        <v>1</v>
      </c>
      <c r="N27" s="342">
        <f t="shared" si="0"/>
        <v>1</v>
      </c>
      <c r="O27" s="277" t="s">
        <v>436</v>
      </c>
      <c r="P27" s="387"/>
      <c r="Q27" s="387" t="s">
        <v>362</v>
      </c>
      <c r="R27" s="387"/>
      <c r="S27" s="387"/>
      <c r="T27" s="387"/>
      <c r="U27" s="387"/>
      <c r="V27" s="387"/>
      <c r="W27" s="387"/>
      <c r="X27" s="387"/>
      <c r="Y27" s="387"/>
      <c r="Z27" s="277" t="s">
        <v>362</v>
      </c>
    </row>
    <row r="28" spans="1:26" x14ac:dyDescent="0.25">
      <c r="A28" s="370" t="s">
        <v>419</v>
      </c>
      <c r="B28" s="262">
        <v>1</v>
      </c>
      <c r="C28" s="262">
        <v>1</v>
      </c>
      <c r="D28" s="262">
        <v>1</v>
      </c>
      <c r="E28" s="262">
        <v>1</v>
      </c>
      <c r="F28" s="262">
        <v>1</v>
      </c>
      <c r="G28" s="262">
        <v>1</v>
      </c>
      <c r="H28" s="262">
        <v>1</v>
      </c>
      <c r="I28" s="459">
        <v>1</v>
      </c>
      <c r="J28" s="262">
        <v>1</v>
      </c>
      <c r="K28" s="262">
        <v>1</v>
      </c>
      <c r="L28" s="265">
        <v>1</v>
      </c>
      <c r="M28" s="262">
        <v>1</v>
      </c>
      <c r="N28" s="342">
        <f t="shared" si="0"/>
        <v>1</v>
      </c>
      <c r="O28" s="277" t="s">
        <v>436</v>
      </c>
      <c r="P28" s="387"/>
      <c r="Q28" s="387" t="s">
        <v>362</v>
      </c>
      <c r="R28" s="387"/>
      <c r="S28" s="387"/>
      <c r="T28" s="387"/>
      <c r="U28" s="387"/>
      <c r="V28" s="387"/>
      <c r="W28" s="387"/>
      <c r="X28" s="387"/>
      <c r="Y28" s="387"/>
      <c r="Z28" s="277" t="s">
        <v>362</v>
      </c>
    </row>
    <row r="29" spans="1:26" x14ac:dyDescent="0.25">
      <c r="A29" s="370" t="s">
        <v>420</v>
      </c>
      <c r="B29" s="262">
        <v>1</v>
      </c>
      <c r="C29" s="262">
        <v>1</v>
      </c>
      <c r="D29" s="262">
        <v>1</v>
      </c>
      <c r="E29" s="262">
        <v>1</v>
      </c>
      <c r="F29" s="262">
        <v>1</v>
      </c>
      <c r="G29" s="262">
        <v>1</v>
      </c>
      <c r="H29" s="262">
        <v>1</v>
      </c>
      <c r="I29" s="459">
        <v>1</v>
      </c>
      <c r="J29" s="262">
        <v>1</v>
      </c>
      <c r="K29" s="262">
        <v>1</v>
      </c>
      <c r="L29" s="265">
        <v>1</v>
      </c>
      <c r="M29" s="262">
        <v>1</v>
      </c>
      <c r="N29" s="342">
        <f t="shared" si="0"/>
        <v>1</v>
      </c>
      <c r="O29" s="277" t="s">
        <v>436</v>
      </c>
      <c r="P29" s="387"/>
      <c r="Q29" s="387" t="s">
        <v>362</v>
      </c>
      <c r="R29" s="387" t="s">
        <v>362</v>
      </c>
      <c r="S29" s="387"/>
      <c r="T29" s="387"/>
      <c r="U29" s="387"/>
      <c r="V29" s="387"/>
      <c r="W29" s="387"/>
      <c r="X29" s="387"/>
      <c r="Y29" s="387"/>
      <c r="Z29" s="277" t="s">
        <v>362</v>
      </c>
    </row>
    <row r="30" spans="1:26" x14ac:dyDescent="0.25">
      <c r="A30" s="371" t="s">
        <v>421</v>
      </c>
      <c r="B30" s="266">
        <v>1</v>
      </c>
      <c r="C30" s="266">
        <v>1</v>
      </c>
      <c r="D30" s="266">
        <v>1</v>
      </c>
      <c r="E30" s="266">
        <v>1</v>
      </c>
      <c r="F30" s="266">
        <v>1</v>
      </c>
      <c r="G30" s="266">
        <v>1</v>
      </c>
      <c r="H30" s="266">
        <v>1</v>
      </c>
      <c r="I30" s="460">
        <v>1</v>
      </c>
      <c r="J30" s="266">
        <v>1</v>
      </c>
      <c r="K30" s="266">
        <v>1</v>
      </c>
      <c r="L30" s="267">
        <v>1</v>
      </c>
      <c r="M30" s="266">
        <v>1</v>
      </c>
      <c r="N30" s="342">
        <f t="shared" si="0"/>
        <v>1</v>
      </c>
      <c r="O30" s="277" t="s">
        <v>436</v>
      </c>
      <c r="P30" s="387"/>
      <c r="Q30" s="387" t="s">
        <v>362</v>
      </c>
      <c r="R30" s="387" t="s">
        <v>362</v>
      </c>
      <c r="S30" s="387"/>
      <c r="T30" s="387"/>
      <c r="U30" s="387"/>
      <c r="V30" s="387"/>
      <c r="W30" s="387"/>
      <c r="X30" s="387"/>
      <c r="Y30" s="387"/>
      <c r="Z30" s="277" t="s">
        <v>362</v>
      </c>
    </row>
    <row r="31" spans="1:26" x14ac:dyDescent="0.25">
      <c r="A31" s="370"/>
      <c r="B31" s="381"/>
      <c r="C31" s="381"/>
      <c r="D31" s="381"/>
      <c r="E31" s="381"/>
      <c r="F31" s="381"/>
      <c r="G31" s="381"/>
      <c r="H31" s="381"/>
      <c r="I31" s="462"/>
      <c r="J31" s="381"/>
      <c r="K31" s="381"/>
      <c r="L31" s="381"/>
      <c r="M31" s="381"/>
      <c r="N31" s="342" t="e">
        <f t="shared" si="0"/>
        <v>#DIV/0!</v>
      </c>
    </row>
    <row r="32" spans="1:26" x14ac:dyDescent="0.25">
      <c r="A32" s="398" t="s">
        <v>339</v>
      </c>
      <c r="B32" s="382"/>
      <c r="C32" s="382"/>
      <c r="D32" s="382"/>
      <c r="E32" s="382"/>
      <c r="F32" s="382"/>
      <c r="G32" s="382"/>
      <c r="H32" s="382"/>
      <c r="I32" s="463"/>
      <c r="J32" s="382"/>
      <c r="K32" s="382"/>
      <c r="L32" s="382"/>
      <c r="M32" s="382"/>
      <c r="N32" s="342" t="e">
        <f t="shared" si="0"/>
        <v>#DIV/0!</v>
      </c>
    </row>
    <row r="33" spans="1:26" x14ac:dyDescent="0.25">
      <c r="A33" s="369" t="s">
        <v>389</v>
      </c>
      <c r="B33" s="263">
        <v>1</v>
      </c>
      <c r="C33" s="263">
        <v>1</v>
      </c>
      <c r="D33" s="263">
        <v>1</v>
      </c>
      <c r="E33" s="263">
        <v>1.1000000000000001</v>
      </c>
      <c r="F33" s="263">
        <v>1.2</v>
      </c>
      <c r="G33" s="263">
        <v>1.3</v>
      </c>
      <c r="H33" s="263">
        <v>1.4</v>
      </c>
      <c r="I33" s="461">
        <v>1.5</v>
      </c>
      <c r="J33" s="263">
        <v>1.6666666666666665</v>
      </c>
      <c r="K33" s="263">
        <v>1.8333333333333333</v>
      </c>
      <c r="L33" s="264">
        <v>2</v>
      </c>
      <c r="M33" s="263">
        <v>2.25</v>
      </c>
      <c r="N33" s="342">
        <f t="shared" si="0"/>
        <v>0.66666666666666663</v>
      </c>
      <c r="O33" s="277" t="s">
        <v>426</v>
      </c>
      <c r="P33" s="387"/>
      <c r="Q33" s="387"/>
      <c r="R33" s="387"/>
      <c r="S33" s="387"/>
      <c r="T33" s="387"/>
      <c r="U33" s="387"/>
      <c r="V33" s="387"/>
      <c r="W33" s="387"/>
      <c r="X33" s="387"/>
      <c r="Y33" s="387" t="s">
        <v>363</v>
      </c>
      <c r="Z33" s="277" t="s">
        <v>363</v>
      </c>
    </row>
    <row r="34" spans="1:26" x14ac:dyDescent="0.25">
      <c r="A34" s="370" t="s">
        <v>402</v>
      </c>
      <c r="B34" s="262">
        <v>1</v>
      </c>
      <c r="C34" s="262">
        <v>1</v>
      </c>
      <c r="D34" s="262">
        <v>1</v>
      </c>
      <c r="E34" s="262">
        <v>1.1000000000000001</v>
      </c>
      <c r="F34" s="262">
        <v>1.1499999999999999</v>
      </c>
      <c r="G34" s="262">
        <v>1.2</v>
      </c>
      <c r="H34" s="262">
        <v>1.23</v>
      </c>
      <c r="I34" s="459">
        <v>1.25</v>
      </c>
      <c r="J34" s="262">
        <v>1.25</v>
      </c>
      <c r="K34" s="262">
        <v>1.25</v>
      </c>
      <c r="L34" s="265">
        <v>1.25</v>
      </c>
      <c r="M34" s="262">
        <v>1.5</v>
      </c>
      <c r="N34" s="342">
        <f t="shared" si="0"/>
        <v>0.83333333333333337</v>
      </c>
      <c r="O34" s="387" t="s">
        <v>430</v>
      </c>
      <c r="P34" s="387"/>
      <c r="Q34" s="387"/>
      <c r="R34" s="387" t="s">
        <v>363</v>
      </c>
      <c r="S34" s="387"/>
      <c r="T34" s="387"/>
      <c r="U34" s="387"/>
      <c r="V34" s="387"/>
      <c r="W34" s="387" t="s">
        <v>363</v>
      </c>
      <c r="X34" s="387" t="s">
        <v>371</v>
      </c>
      <c r="Y34" s="387"/>
      <c r="Z34" s="277" t="s">
        <v>363</v>
      </c>
    </row>
    <row r="35" spans="1:26" x14ac:dyDescent="0.25">
      <c r="A35" s="370" t="s">
        <v>403</v>
      </c>
      <c r="B35" s="262">
        <v>1</v>
      </c>
      <c r="C35" s="262">
        <v>1</v>
      </c>
      <c r="D35" s="262">
        <v>1</v>
      </c>
      <c r="E35" s="262">
        <v>1.1000000000000001</v>
      </c>
      <c r="F35" s="262">
        <v>1.1499999999999999</v>
      </c>
      <c r="G35" s="262">
        <v>1.2</v>
      </c>
      <c r="H35" s="262">
        <v>1.23</v>
      </c>
      <c r="I35" s="459">
        <v>1.25</v>
      </c>
      <c r="J35" s="262">
        <v>1.25</v>
      </c>
      <c r="K35" s="262">
        <v>1.25</v>
      </c>
      <c r="L35" s="265">
        <v>1.25</v>
      </c>
      <c r="M35" s="262">
        <v>1.5</v>
      </c>
      <c r="N35" s="342">
        <f t="shared" si="0"/>
        <v>0.83333333333333337</v>
      </c>
      <c r="O35" s="387" t="s">
        <v>431</v>
      </c>
      <c r="P35" s="387"/>
      <c r="Q35" s="387"/>
      <c r="R35" s="387" t="s">
        <v>363</v>
      </c>
      <c r="S35" s="387"/>
      <c r="T35" s="387"/>
      <c r="U35" s="387"/>
      <c r="V35" s="387"/>
      <c r="W35" s="387" t="s">
        <v>363</v>
      </c>
      <c r="X35" s="387" t="s">
        <v>371</v>
      </c>
      <c r="Y35" s="387"/>
      <c r="Z35" s="277" t="s">
        <v>363</v>
      </c>
    </row>
    <row r="36" spans="1:26" x14ac:dyDescent="0.25">
      <c r="A36" s="370" t="s">
        <v>404</v>
      </c>
      <c r="B36" s="262">
        <v>0.95</v>
      </c>
      <c r="C36" s="262">
        <v>0.96</v>
      </c>
      <c r="D36" s="262">
        <v>0.96</v>
      </c>
      <c r="E36" s="262">
        <v>0.93099999999999994</v>
      </c>
      <c r="F36" s="262">
        <v>1</v>
      </c>
      <c r="G36" s="262">
        <v>1</v>
      </c>
      <c r="H36" s="262">
        <v>1</v>
      </c>
      <c r="I36" s="459">
        <v>1</v>
      </c>
      <c r="J36" s="262">
        <v>1</v>
      </c>
      <c r="K36" s="262">
        <v>1</v>
      </c>
      <c r="L36" s="265">
        <v>1</v>
      </c>
      <c r="M36" s="262">
        <v>0.75</v>
      </c>
      <c r="N36" s="342">
        <f t="shared" si="0"/>
        <v>1.3333333333333333</v>
      </c>
      <c r="P36" s="387"/>
      <c r="Q36" s="387"/>
      <c r="R36" s="387"/>
      <c r="S36" s="387" t="s">
        <v>371</v>
      </c>
      <c r="T36" s="387"/>
      <c r="U36" s="387"/>
      <c r="V36" s="387"/>
      <c r="W36" s="387"/>
      <c r="X36" s="387" t="s">
        <v>371</v>
      </c>
      <c r="Y36" s="387"/>
      <c r="Z36" s="277" t="s">
        <v>371</v>
      </c>
    </row>
    <row r="37" spans="1:26" x14ac:dyDescent="0.25">
      <c r="A37" s="370" t="s">
        <v>405</v>
      </c>
      <c r="B37" s="262">
        <v>1</v>
      </c>
      <c r="C37" s="262">
        <v>1</v>
      </c>
      <c r="D37" s="262">
        <v>1</v>
      </c>
      <c r="E37" s="262">
        <v>0.95</v>
      </c>
      <c r="F37" s="262">
        <v>0.9</v>
      </c>
      <c r="G37" s="262">
        <v>0.85</v>
      </c>
      <c r="H37" s="262">
        <v>0.8</v>
      </c>
      <c r="I37" s="459">
        <v>0.75</v>
      </c>
      <c r="J37" s="262">
        <v>0.7</v>
      </c>
      <c r="K37" s="262">
        <v>0.65</v>
      </c>
      <c r="L37" s="265">
        <v>0.6</v>
      </c>
      <c r="M37" s="262">
        <v>0.75</v>
      </c>
      <c r="N37" s="342">
        <f t="shared" si="0"/>
        <v>1</v>
      </c>
      <c r="O37" s="277" t="s">
        <v>432</v>
      </c>
      <c r="P37" s="387"/>
      <c r="Q37" s="387"/>
      <c r="R37" s="387"/>
      <c r="S37" s="387"/>
      <c r="T37" s="387"/>
      <c r="U37" s="387"/>
      <c r="V37" s="387"/>
      <c r="W37" s="387" t="s">
        <v>362</v>
      </c>
      <c r="X37" s="387"/>
      <c r="Y37" s="387"/>
      <c r="Z37" s="277" t="s">
        <v>362</v>
      </c>
    </row>
    <row r="38" spans="1:26" x14ac:dyDescent="0.25">
      <c r="A38" s="370" t="s">
        <v>407</v>
      </c>
      <c r="B38" s="262">
        <v>1</v>
      </c>
      <c r="C38" s="262">
        <v>1</v>
      </c>
      <c r="D38" s="262">
        <v>1</v>
      </c>
      <c r="E38" s="262">
        <v>1</v>
      </c>
      <c r="F38" s="262">
        <v>1</v>
      </c>
      <c r="G38" s="262">
        <v>1</v>
      </c>
      <c r="H38" s="262">
        <v>1</v>
      </c>
      <c r="I38" s="459">
        <v>1</v>
      </c>
      <c r="J38" s="262">
        <v>1</v>
      </c>
      <c r="K38" s="262">
        <v>1</v>
      </c>
      <c r="L38" s="265">
        <v>1</v>
      </c>
      <c r="M38" s="262">
        <v>1.5</v>
      </c>
      <c r="N38" s="342">
        <f t="shared" si="0"/>
        <v>0.66666666666666663</v>
      </c>
      <c r="O38" s="277" t="s">
        <v>433</v>
      </c>
      <c r="P38" s="387"/>
      <c r="Q38" s="387"/>
      <c r="R38" s="387" t="s">
        <v>363</v>
      </c>
      <c r="S38" s="387"/>
      <c r="T38" s="387"/>
      <c r="U38" s="387"/>
      <c r="V38" s="387"/>
      <c r="W38" s="387" t="s">
        <v>363</v>
      </c>
      <c r="X38" s="387"/>
      <c r="Y38" s="387"/>
      <c r="Z38" s="277" t="s">
        <v>363</v>
      </c>
    </row>
    <row r="39" spans="1:26" x14ac:dyDescent="0.25">
      <c r="A39" s="370" t="s">
        <v>406</v>
      </c>
      <c r="B39" s="262">
        <v>1</v>
      </c>
      <c r="C39" s="262">
        <v>1</v>
      </c>
      <c r="D39" s="262">
        <v>1</v>
      </c>
      <c r="E39" s="262">
        <v>1.1000000000000001</v>
      </c>
      <c r="F39" s="262">
        <v>1.1499999999999999</v>
      </c>
      <c r="G39" s="262">
        <v>1.2</v>
      </c>
      <c r="H39" s="262">
        <v>1.25</v>
      </c>
      <c r="I39" s="459">
        <v>1.25</v>
      </c>
      <c r="J39" s="262">
        <v>1.25</v>
      </c>
      <c r="K39" s="262">
        <v>1.25</v>
      </c>
      <c r="L39" s="265">
        <v>1.25</v>
      </c>
      <c r="M39" s="262">
        <v>1.5</v>
      </c>
      <c r="N39" s="342">
        <f t="shared" si="0"/>
        <v>0.83333333333333337</v>
      </c>
      <c r="O39" s="387" t="s">
        <v>431</v>
      </c>
      <c r="P39" s="387"/>
      <c r="Q39" s="387"/>
      <c r="R39" s="387" t="s">
        <v>363</v>
      </c>
      <c r="S39" s="387"/>
      <c r="T39" s="387"/>
      <c r="U39" s="387"/>
      <c r="V39" s="387"/>
      <c r="W39" s="387" t="s">
        <v>363</v>
      </c>
      <c r="X39" s="387"/>
      <c r="Y39" s="387"/>
      <c r="Z39" s="277" t="s">
        <v>363</v>
      </c>
    </row>
    <row r="40" spans="1:26" x14ac:dyDescent="0.25">
      <c r="A40" s="370" t="s">
        <v>408</v>
      </c>
      <c r="B40" s="262">
        <v>1</v>
      </c>
      <c r="C40" s="262">
        <v>1</v>
      </c>
      <c r="D40" s="262">
        <v>1</v>
      </c>
      <c r="E40" s="262">
        <v>1.1000000000000001</v>
      </c>
      <c r="F40" s="262">
        <v>1.1499999999999999</v>
      </c>
      <c r="G40" s="262">
        <v>1.2</v>
      </c>
      <c r="H40" s="262">
        <v>1.25</v>
      </c>
      <c r="I40" s="459">
        <v>1.25</v>
      </c>
      <c r="J40" s="262">
        <v>1.25</v>
      </c>
      <c r="K40" s="262">
        <v>1.25</v>
      </c>
      <c r="L40" s="265">
        <v>1.25</v>
      </c>
      <c r="M40" s="262">
        <v>1.5</v>
      </c>
      <c r="N40" s="342">
        <f t="shared" si="0"/>
        <v>0.83333333333333337</v>
      </c>
      <c r="O40" s="387" t="s">
        <v>434</v>
      </c>
      <c r="P40" s="387"/>
      <c r="Q40" s="387"/>
      <c r="R40" s="387" t="s">
        <v>363</v>
      </c>
      <c r="S40" s="387"/>
      <c r="T40" s="387"/>
      <c r="U40" s="387"/>
      <c r="V40" s="387"/>
      <c r="W40" s="387" t="s">
        <v>363</v>
      </c>
      <c r="X40" s="387"/>
      <c r="Y40" s="387"/>
      <c r="Z40" s="277" t="s">
        <v>363</v>
      </c>
    </row>
    <row r="41" spans="1:26" x14ac:dyDescent="0.25">
      <c r="A41" s="371" t="s">
        <v>409</v>
      </c>
      <c r="B41" s="262">
        <v>1</v>
      </c>
      <c r="C41" s="262">
        <v>1</v>
      </c>
      <c r="D41" s="262">
        <v>1</v>
      </c>
      <c r="E41" s="262">
        <v>0.95</v>
      </c>
      <c r="F41" s="262">
        <v>0.9</v>
      </c>
      <c r="G41" s="262">
        <v>0.85</v>
      </c>
      <c r="H41" s="262">
        <v>0.8</v>
      </c>
      <c r="I41" s="459">
        <v>0.75</v>
      </c>
      <c r="J41" s="262">
        <v>0.75</v>
      </c>
      <c r="K41" s="262">
        <v>0.75</v>
      </c>
      <c r="L41" s="265">
        <v>0.75</v>
      </c>
      <c r="M41" s="266">
        <v>0.8</v>
      </c>
      <c r="N41" s="342">
        <f t="shared" si="0"/>
        <v>0.9375</v>
      </c>
      <c r="O41" s="277" t="s">
        <v>435</v>
      </c>
      <c r="P41" s="387"/>
      <c r="Q41" s="387"/>
      <c r="R41" s="387" t="s">
        <v>362</v>
      </c>
      <c r="S41" s="387"/>
      <c r="T41" s="387"/>
      <c r="U41" s="387"/>
      <c r="V41" s="387"/>
      <c r="W41" s="387"/>
      <c r="X41" s="387"/>
      <c r="Y41" s="387"/>
      <c r="Z41" s="277" t="s">
        <v>362</v>
      </c>
    </row>
    <row r="42" spans="1:26" x14ac:dyDescent="0.25">
      <c r="A42" s="370"/>
      <c r="B42" s="381"/>
      <c r="C42" s="381"/>
      <c r="D42" s="381"/>
      <c r="E42" s="381"/>
      <c r="F42" s="381"/>
      <c r="G42" s="381"/>
      <c r="H42" s="381"/>
      <c r="I42" s="462"/>
      <c r="J42" s="381"/>
      <c r="K42" s="381"/>
      <c r="L42" s="381"/>
      <c r="M42" s="381"/>
      <c r="N42" s="342" t="e">
        <f t="shared" si="0"/>
        <v>#DIV/0!</v>
      </c>
    </row>
    <row r="43" spans="1:26" x14ac:dyDescent="0.25">
      <c r="A43" s="398" t="s">
        <v>338</v>
      </c>
      <c r="B43" s="382"/>
      <c r="C43" s="382"/>
      <c r="D43" s="382"/>
      <c r="E43" s="382"/>
      <c r="F43" s="382"/>
      <c r="G43" s="382"/>
      <c r="H43" s="382"/>
      <c r="I43" s="463"/>
      <c r="J43" s="382"/>
      <c r="K43" s="382"/>
      <c r="L43" s="382"/>
      <c r="M43" s="382"/>
      <c r="N43" s="342" t="e">
        <f t="shared" si="0"/>
        <v>#DIV/0!</v>
      </c>
    </row>
    <row r="44" spans="1:26" x14ac:dyDescent="0.25">
      <c r="A44" s="369" t="s">
        <v>393</v>
      </c>
      <c r="B44" s="263">
        <v>1</v>
      </c>
      <c r="C44" s="263">
        <v>1</v>
      </c>
      <c r="D44" s="263">
        <v>1</v>
      </c>
      <c r="E44" s="263">
        <v>0.95</v>
      </c>
      <c r="F44" s="263">
        <v>0.9</v>
      </c>
      <c r="G44" s="263">
        <v>0.85</v>
      </c>
      <c r="H44" s="263">
        <v>0.8</v>
      </c>
      <c r="I44" s="461">
        <v>0.75</v>
      </c>
      <c r="J44" s="263">
        <v>0.75</v>
      </c>
      <c r="K44" s="263">
        <v>0.75</v>
      </c>
      <c r="L44" s="264">
        <v>0.75</v>
      </c>
      <c r="M44" s="263">
        <v>1</v>
      </c>
      <c r="N44" s="342">
        <f t="shared" si="0"/>
        <v>0.75</v>
      </c>
      <c r="P44" s="387"/>
      <c r="Q44" s="387"/>
      <c r="R44" s="387"/>
      <c r="S44" s="387"/>
      <c r="T44" s="387"/>
      <c r="U44" s="387"/>
      <c r="V44" s="387"/>
      <c r="W44" s="387"/>
      <c r="X44" s="387" t="s">
        <v>371</v>
      </c>
      <c r="Y44" s="387"/>
      <c r="Z44" s="277" t="s">
        <v>371</v>
      </c>
    </row>
    <row r="45" spans="1:26" x14ac:dyDescent="0.25">
      <c r="A45" s="371" t="s">
        <v>394</v>
      </c>
      <c r="B45" s="266">
        <v>1</v>
      </c>
      <c r="C45" s="266">
        <v>1</v>
      </c>
      <c r="D45" s="266">
        <v>1</v>
      </c>
      <c r="E45" s="266">
        <v>1.05</v>
      </c>
      <c r="F45" s="266">
        <v>1.1000000000000001</v>
      </c>
      <c r="G45" s="266">
        <v>1.1499999999999999</v>
      </c>
      <c r="H45" s="266">
        <v>1.2</v>
      </c>
      <c r="I45" s="460">
        <v>1.25</v>
      </c>
      <c r="J45" s="266">
        <v>1.25</v>
      </c>
      <c r="K45" s="266">
        <v>1.25</v>
      </c>
      <c r="L45" s="267">
        <v>1.25</v>
      </c>
      <c r="M45" s="266">
        <v>1</v>
      </c>
      <c r="N45" s="342">
        <f t="shared" si="0"/>
        <v>1.25</v>
      </c>
      <c r="P45" s="387"/>
      <c r="Q45" s="387"/>
      <c r="R45" s="387"/>
      <c r="S45" s="387"/>
      <c r="T45" s="387"/>
      <c r="U45" s="387"/>
      <c r="V45" s="387"/>
      <c r="W45" s="387"/>
      <c r="X45" s="387" t="s">
        <v>371</v>
      </c>
      <c r="Y45" s="387"/>
      <c r="Z45" s="277" t="s">
        <v>371</v>
      </c>
    </row>
    <row r="46" spans="1:26" x14ac:dyDescent="0.25">
      <c r="A46" s="371" t="s">
        <v>395</v>
      </c>
      <c r="B46" s="266">
        <v>1</v>
      </c>
      <c r="C46" s="266">
        <v>1</v>
      </c>
      <c r="D46" s="266">
        <v>1</v>
      </c>
      <c r="E46" s="266">
        <v>1.05</v>
      </c>
      <c r="F46" s="266">
        <v>1.1000000000000001</v>
      </c>
      <c r="G46" s="266">
        <v>1.1499999999999999</v>
      </c>
      <c r="H46" s="266">
        <v>1.2</v>
      </c>
      <c r="I46" s="460">
        <v>1.25</v>
      </c>
      <c r="J46" s="266">
        <v>1.25</v>
      </c>
      <c r="K46" s="266">
        <v>1.25</v>
      </c>
      <c r="L46" s="267">
        <v>1.25</v>
      </c>
      <c r="M46" s="266">
        <v>1</v>
      </c>
      <c r="N46" s="342">
        <f t="shared" si="0"/>
        <v>1.25</v>
      </c>
      <c r="P46" s="387"/>
      <c r="Q46" s="387"/>
      <c r="R46" s="387"/>
      <c r="S46" s="387"/>
      <c r="T46" s="387"/>
      <c r="U46" s="387"/>
      <c r="V46" s="387" t="s">
        <v>371</v>
      </c>
      <c r="W46" s="387"/>
      <c r="X46" s="387"/>
      <c r="Y46" s="387"/>
      <c r="Z46" s="277" t="s">
        <v>371</v>
      </c>
    </row>
    <row r="47" spans="1:26" x14ac:dyDescent="0.25">
      <c r="B47" s="257"/>
      <c r="C47" s="257"/>
      <c r="D47" s="257"/>
      <c r="E47" s="257"/>
      <c r="F47" s="257"/>
      <c r="G47" s="257"/>
      <c r="H47" s="257"/>
      <c r="I47" s="344"/>
      <c r="J47" s="257"/>
      <c r="K47" s="257"/>
      <c r="L47" s="257"/>
      <c r="M47" s="257"/>
      <c r="N47" s="342" t="e">
        <f t="shared" si="0"/>
        <v>#DIV/0!</v>
      </c>
    </row>
    <row r="48" spans="1:26" x14ac:dyDescent="0.25">
      <c r="A48" s="398" t="s">
        <v>340</v>
      </c>
      <c r="B48" s="330"/>
      <c r="C48" s="330"/>
      <c r="D48" s="330"/>
      <c r="E48" s="330"/>
      <c r="F48" s="330"/>
      <c r="G48" s="330"/>
      <c r="H48" s="330"/>
      <c r="I48" s="334"/>
      <c r="J48" s="330"/>
      <c r="K48" s="330"/>
      <c r="L48" s="330"/>
      <c r="M48" s="330"/>
      <c r="N48" s="342" t="e">
        <f t="shared" si="0"/>
        <v>#DIV/0!</v>
      </c>
    </row>
    <row r="49" spans="1:26" x14ac:dyDescent="0.25">
      <c r="A49" s="369" t="s">
        <v>390</v>
      </c>
      <c r="B49" s="263">
        <v>1</v>
      </c>
      <c r="C49" s="263">
        <v>1</v>
      </c>
      <c r="D49" s="263">
        <v>1</v>
      </c>
      <c r="E49" s="263">
        <v>0.95</v>
      </c>
      <c r="F49" s="263">
        <v>0.9</v>
      </c>
      <c r="G49" s="263">
        <v>0.85</v>
      </c>
      <c r="H49" s="263">
        <v>0.8</v>
      </c>
      <c r="I49" s="461">
        <v>0.75</v>
      </c>
      <c r="J49" s="263">
        <v>0.7</v>
      </c>
      <c r="K49" s="263">
        <v>0.65</v>
      </c>
      <c r="L49" s="264">
        <v>0.6</v>
      </c>
      <c r="M49" s="263">
        <v>0.75</v>
      </c>
      <c r="N49" s="342">
        <f t="shared" si="0"/>
        <v>1</v>
      </c>
      <c r="O49" s="277" t="s">
        <v>427</v>
      </c>
      <c r="P49" s="387"/>
      <c r="Q49" s="387" t="s">
        <v>371</v>
      </c>
      <c r="R49" s="387" t="s">
        <v>362</v>
      </c>
      <c r="S49" s="387"/>
      <c r="T49" s="387"/>
      <c r="U49" s="387"/>
      <c r="V49" s="387"/>
      <c r="W49" s="387"/>
      <c r="X49" s="387"/>
      <c r="Y49" s="387"/>
      <c r="Z49" s="277" t="s">
        <v>362</v>
      </c>
    </row>
    <row r="50" spans="1:26" x14ac:dyDescent="0.25">
      <c r="A50" s="370" t="s">
        <v>392</v>
      </c>
      <c r="B50" s="262">
        <v>1</v>
      </c>
      <c r="C50" s="262">
        <v>1</v>
      </c>
      <c r="D50" s="262">
        <v>1</v>
      </c>
      <c r="E50" s="262">
        <v>1</v>
      </c>
      <c r="F50" s="262">
        <v>1</v>
      </c>
      <c r="G50" s="262">
        <v>1</v>
      </c>
      <c r="H50" s="262">
        <v>1</v>
      </c>
      <c r="I50" s="459">
        <v>1</v>
      </c>
      <c r="J50" s="262">
        <v>1</v>
      </c>
      <c r="K50" s="262">
        <v>1</v>
      </c>
      <c r="L50" s="265">
        <v>1</v>
      </c>
      <c r="M50" s="262">
        <v>0.75</v>
      </c>
      <c r="N50" s="342">
        <f t="shared" si="0"/>
        <v>1.3333333333333333</v>
      </c>
      <c r="O50" s="277" t="s">
        <v>427</v>
      </c>
      <c r="P50" s="387"/>
      <c r="Q50" s="387"/>
      <c r="R50" s="387" t="s">
        <v>362</v>
      </c>
      <c r="S50" s="387"/>
      <c r="T50" s="387"/>
      <c r="U50" s="387"/>
      <c r="V50" s="387"/>
      <c r="W50" s="387"/>
      <c r="X50" s="387"/>
      <c r="Y50" s="387"/>
      <c r="Z50" s="277" t="s">
        <v>362</v>
      </c>
    </row>
    <row r="51" spans="1:26" x14ac:dyDescent="0.25">
      <c r="A51" s="371" t="s">
        <v>388</v>
      </c>
      <c r="B51" s="266">
        <v>1</v>
      </c>
      <c r="C51" s="266">
        <v>1</v>
      </c>
      <c r="D51" s="266">
        <v>1</v>
      </c>
      <c r="E51" s="266">
        <v>1.1000000000000001</v>
      </c>
      <c r="F51" s="266">
        <v>1.2</v>
      </c>
      <c r="G51" s="266">
        <v>1.3</v>
      </c>
      <c r="H51" s="266">
        <v>1.5</v>
      </c>
      <c r="I51" s="460">
        <v>1.5</v>
      </c>
      <c r="J51" s="266">
        <v>1.56</v>
      </c>
      <c r="K51" s="266">
        <v>1.62</v>
      </c>
      <c r="L51" s="267">
        <v>1.68</v>
      </c>
      <c r="M51" s="266">
        <v>1.25</v>
      </c>
      <c r="N51" s="342">
        <f t="shared" si="0"/>
        <v>1.2</v>
      </c>
      <c r="O51" s="277" t="s">
        <v>425</v>
      </c>
      <c r="P51" s="387"/>
      <c r="Q51" s="387"/>
      <c r="R51" s="387" t="s">
        <v>363</v>
      </c>
      <c r="S51" s="387"/>
      <c r="T51" s="387"/>
      <c r="U51" s="387"/>
      <c r="V51" s="387"/>
      <c r="W51" s="387"/>
      <c r="X51" s="387"/>
      <c r="Y51" s="387"/>
      <c r="Z51" s="277" t="s">
        <v>363</v>
      </c>
    </row>
    <row r="52" spans="1:26" x14ac:dyDescent="0.25">
      <c r="B52" s="257"/>
      <c r="C52" s="257"/>
      <c r="D52" s="257"/>
      <c r="E52" s="257"/>
      <c r="F52" s="257"/>
      <c r="G52" s="257"/>
      <c r="H52" s="257"/>
      <c r="I52" s="344"/>
      <c r="J52" s="257"/>
      <c r="K52" s="257"/>
      <c r="L52" s="257"/>
      <c r="M52" s="257"/>
      <c r="N52" s="342" t="e">
        <f t="shared" si="0"/>
        <v>#DIV/0!</v>
      </c>
    </row>
    <row r="53" spans="1:26" x14ac:dyDescent="0.25">
      <c r="A53" s="398" t="s">
        <v>341</v>
      </c>
      <c r="B53" s="330"/>
      <c r="C53" s="330"/>
      <c r="D53" s="330"/>
      <c r="E53" s="330"/>
      <c r="F53" s="330"/>
      <c r="G53" s="330"/>
      <c r="H53" s="330"/>
      <c r="I53" s="334"/>
      <c r="J53" s="330"/>
      <c r="K53" s="330"/>
      <c r="L53" s="330"/>
      <c r="M53" s="330"/>
      <c r="N53" s="342" t="e">
        <f t="shared" si="0"/>
        <v>#DIV/0!</v>
      </c>
    </row>
    <row r="54" spans="1:26" x14ac:dyDescent="0.25">
      <c r="A54" s="369" t="s">
        <v>396</v>
      </c>
      <c r="B54" s="263">
        <v>1</v>
      </c>
      <c r="C54" s="263">
        <v>1</v>
      </c>
      <c r="D54" s="263">
        <v>1</v>
      </c>
      <c r="E54" s="263">
        <v>0.95</v>
      </c>
      <c r="F54" s="263">
        <v>0.9</v>
      </c>
      <c r="G54" s="263">
        <v>0.85</v>
      </c>
      <c r="H54" s="263">
        <v>0.8</v>
      </c>
      <c r="I54" s="461">
        <v>0.75</v>
      </c>
      <c r="J54" s="263">
        <v>0.7</v>
      </c>
      <c r="K54" s="263">
        <v>0.65</v>
      </c>
      <c r="L54" s="264">
        <v>0.6</v>
      </c>
      <c r="M54" s="263">
        <v>0.75</v>
      </c>
      <c r="N54" s="342">
        <f t="shared" si="0"/>
        <v>1</v>
      </c>
      <c r="O54" s="277" t="s">
        <v>428</v>
      </c>
      <c r="P54" s="387"/>
      <c r="Q54" s="387"/>
      <c r="R54" s="387"/>
      <c r="S54" s="387"/>
      <c r="T54" s="387"/>
      <c r="U54" s="387"/>
      <c r="V54" s="387"/>
      <c r="W54" s="387" t="s">
        <v>362</v>
      </c>
      <c r="X54" s="387"/>
      <c r="Y54" s="387"/>
      <c r="Z54" s="277" t="s">
        <v>362</v>
      </c>
    </row>
    <row r="55" spans="1:26" x14ac:dyDescent="0.25">
      <c r="A55" s="370" t="s">
        <v>397</v>
      </c>
      <c r="B55" s="262">
        <v>1</v>
      </c>
      <c r="C55" s="262">
        <v>1</v>
      </c>
      <c r="D55" s="262">
        <v>1</v>
      </c>
      <c r="E55" s="262">
        <v>0.95</v>
      </c>
      <c r="F55" s="262">
        <v>0.9</v>
      </c>
      <c r="G55" s="262">
        <v>0.85</v>
      </c>
      <c r="H55" s="262">
        <v>0.8</v>
      </c>
      <c r="I55" s="459">
        <v>0.75</v>
      </c>
      <c r="J55" s="262">
        <v>0.7</v>
      </c>
      <c r="K55" s="262">
        <v>0.65</v>
      </c>
      <c r="L55" s="265">
        <v>0.6</v>
      </c>
      <c r="M55" s="262">
        <v>1.25</v>
      </c>
      <c r="N55" s="342">
        <f t="shared" si="0"/>
        <v>0.6</v>
      </c>
      <c r="O55" s="277" t="s">
        <v>429</v>
      </c>
      <c r="P55" s="387"/>
      <c r="Q55" s="387"/>
      <c r="R55" s="387"/>
      <c r="S55" s="387"/>
      <c r="T55" s="387"/>
      <c r="U55" s="387"/>
      <c r="V55" s="387"/>
      <c r="W55" s="387" t="s">
        <v>363</v>
      </c>
      <c r="X55" s="387"/>
      <c r="Y55" s="387"/>
      <c r="Z55" s="277" t="s">
        <v>363</v>
      </c>
    </row>
    <row r="56" spans="1:26" x14ac:dyDescent="0.25">
      <c r="A56" s="396" t="s">
        <v>621</v>
      </c>
      <c r="B56" s="262">
        <v>1</v>
      </c>
      <c r="C56" s="262">
        <v>1</v>
      </c>
      <c r="D56" s="262">
        <v>1</v>
      </c>
      <c r="E56" s="262">
        <v>1</v>
      </c>
      <c r="F56" s="262">
        <v>1</v>
      </c>
      <c r="G56" s="262">
        <v>1</v>
      </c>
      <c r="H56" s="262">
        <v>1</v>
      </c>
      <c r="I56" s="459">
        <v>1</v>
      </c>
      <c r="J56" s="262">
        <v>1</v>
      </c>
      <c r="K56" s="262">
        <v>1</v>
      </c>
      <c r="L56" s="265">
        <v>1</v>
      </c>
      <c r="M56" s="262">
        <v>1</v>
      </c>
      <c r="N56" s="342">
        <f t="shared" si="0"/>
        <v>1</v>
      </c>
      <c r="P56" s="387"/>
      <c r="Q56" s="387"/>
      <c r="R56" s="387"/>
      <c r="S56" s="387"/>
      <c r="T56" s="387"/>
      <c r="U56" s="387"/>
      <c r="V56" s="387" t="s">
        <v>371</v>
      </c>
      <c r="W56" s="387" t="s">
        <v>362</v>
      </c>
      <c r="X56" s="387"/>
      <c r="Y56" s="387"/>
      <c r="Z56" s="277" t="s">
        <v>362</v>
      </c>
    </row>
    <row r="57" spans="1:26" x14ac:dyDescent="0.25">
      <c r="A57" s="397" t="s">
        <v>622</v>
      </c>
      <c r="B57" s="266">
        <v>1</v>
      </c>
      <c r="C57" s="266">
        <v>1</v>
      </c>
      <c r="D57" s="266">
        <v>1</v>
      </c>
      <c r="E57" s="266">
        <v>1</v>
      </c>
      <c r="F57" s="266">
        <v>1</v>
      </c>
      <c r="G57" s="266">
        <v>1</v>
      </c>
      <c r="H57" s="266">
        <v>1</v>
      </c>
      <c r="I57" s="460">
        <v>1</v>
      </c>
      <c r="J57" s="266">
        <v>1</v>
      </c>
      <c r="K57" s="266">
        <v>1</v>
      </c>
      <c r="L57" s="267">
        <v>1</v>
      </c>
      <c r="M57" s="266">
        <v>1</v>
      </c>
      <c r="N57" s="342">
        <f t="shared" si="0"/>
        <v>1</v>
      </c>
      <c r="P57" s="387"/>
      <c r="Q57" s="387"/>
      <c r="R57" s="387"/>
      <c r="S57" s="387"/>
      <c r="T57" s="387"/>
      <c r="U57" s="387"/>
      <c r="V57" s="387"/>
      <c r="W57" s="387" t="s">
        <v>362</v>
      </c>
      <c r="X57" s="387"/>
      <c r="Y57" s="387"/>
      <c r="Z57" s="277" t="s">
        <v>362</v>
      </c>
    </row>
    <row r="58" spans="1:26" x14ac:dyDescent="0.25">
      <c r="B58" s="257"/>
      <c r="C58" s="257"/>
      <c r="D58" s="257"/>
      <c r="E58" s="257"/>
      <c r="F58" s="257"/>
      <c r="G58" s="257"/>
      <c r="H58" s="257"/>
      <c r="I58" s="344"/>
      <c r="J58" s="257"/>
      <c r="K58" s="257"/>
      <c r="L58" s="257"/>
      <c r="M58" s="257"/>
      <c r="N58" s="342" t="e">
        <f t="shared" si="0"/>
        <v>#DIV/0!</v>
      </c>
    </row>
    <row r="59" spans="1:26" x14ac:dyDescent="0.25">
      <c r="A59" s="398" t="s">
        <v>342</v>
      </c>
      <c r="B59" s="330"/>
      <c r="C59" s="330"/>
      <c r="D59" s="330"/>
      <c r="E59" s="330"/>
      <c r="F59" s="330"/>
      <c r="G59" s="330"/>
      <c r="H59" s="330"/>
      <c r="I59" s="334"/>
      <c r="J59" s="330"/>
      <c r="K59" s="330"/>
      <c r="L59" s="330"/>
      <c r="M59" s="330"/>
      <c r="N59" s="342" t="e">
        <f t="shared" si="0"/>
        <v>#DIV/0!</v>
      </c>
    </row>
    <row r="60" spans="1:26" x14ac:dyDescent="0.25">
      <c r="A60" s="369" t="s">
        <v>453</v>
      </c>
      <c r="B60" s="262">
        <v>1</v>
      </c>
      <c r="C60" s="262">
        <v>1</v>
      </c>
      <c r="D60" s="262">
        <v>1</v>
      </c>
      <c r="E60" s="263">
        <v>1</v>
      </c>
      <c r="F60" s="263">
        <v>1</v>
      </c>
      <c r="G60" s="263">
        <v>1</v>
      </c>
      <c r="H60" s="263">
        <v>1</v>
      </c>
      <c r="I60" s="461">
        <v>1</v>
      </c>
      <c r="J60" s="263">
        <v>1</v>
      </c>
      <c r="K60" s="263">
        <v>1</v>
      </c>
      <c r="L60" s="264">
        <v>1</v>
      </c>
      <c r="M60" s="263">
        <v>1</v>
      </c>
      <c r="N60" s="342">
        <f t="shared" si="0"/>
        <v>1</v>
      </c>
      <c r="P60" s="387"/>
      <c r="Q60" s="387"/>
      <c r="R60" s="387"/>
      <c r="S60" s="387"/>
      <c r="T60" s="387"/>
      <c r="U60" s="387"/>
      <c r="V60" s="387"/>
      <c r="W60" s="387"/>
      <c r="X60" s="387" t="s">
        <v>371</v>
      </c>
      <c r="Y60" s="387"/>
      <c r="Z60" s="277" t="s">
        <v>371</v>
      </c>
    </row>
    <row r="61" spans="1:26" x14ac:dyDescent="0.25">
      <c r="A61" s="370" t="s">
        <v>452</v>
      </c>
      <c r="B61" s="262">
        <v>1</v>
      </c>
      <c r="C61" s="262">
        <v>1</v>
      </c>
      <c r="D61" s="262">
        <v>1</v>
      </c>
      <c r="E61" s="262">
        <v>1</v>
      </c>
      <c r="F61" s="262">
        <v>1</v>
      </c>
      <c r="G61" s="262">
        <v>1</v>
      </c>
      <c r="H61" s="262">
        <v>1</v>
      </c>
      <c r="I61" s="459">
        <v>1</v>
      </c>
      <c r="J61" s="262">
        <v>1</v>
      </c>
      <c r="K61" s="262">
        <v>1</v>
      </c>
      <c r="L61" s="265">
        <v>1</v>
      </c>
      <c r="M61" s="262">
        <v>1</v>
      </c>
      <c r="N61" s="342">
        <f t="shared" si="0"/>
        <v>1</v>
      </c>
      <c r="P61" s="387"/>
      <c r="Q61" s="387"/>
      <c r="R61" s="387" t="s">
        <v>371</v>
      </c>
      <c r="S61" s="387"/>
      <c r="T61" s="387"/>
      <c r="U61" s="387"/>
      <c r="V61" s="387"/>
      <c r="W61" s="387"/>
      <c r="X61" s="387"/>
      <c r="Y61" s="387"/>
      <c r="Z61" s="277" t="s">
        <v>371</v>
      </c>
    </row>
    <row r="62" spans="1:26" x14ac:dyDescent="0.25">
      <c r="A62" s="370" t="s">
        <v>454</v>
      </c>
      <c r="B62" s="262">
        <v>1</v>
      </c>
      <c r="C62" s="262">
        <v>1</v>
      </c>
      <c r="D62" s="262">
        <v>1</v>
      </c>
      <c r="E62" s="262">
        <v>1</v>
      </c>
      <c r="F62" s="262">
        <v>1</v>
      </c>
      <c r="G62" s="262">
        <v>1</v>
      </c>
      <c r="H62" s="262">
        <v>1</v>
      </c>
      <c r="I62" s="459">
        <v>1</v>
      </c>
      <c r="J62" s="262">
        <v>1</v>
      </c>
      <c r="K62" s="262">
        <v>1</v>
      </c>
      <c r="L62" s="265">
        <v>1</v>
      </c>
      <c r="M62" s="262">
        <v>1</v>
      </c>
      <c r="N62" s="342">
        <f t="shared" si="0"/>
        <v>1</v>
      </c>
      <c r="P62" s="387"/>
      <c r="Q62" s="387"/>
      <c r="R62" s="387" t="s">
        <v>371</v>
      </c>
      <c r="S62" s="387"/>
      <c r="T62" s="387"/>
      <c r="U62" s="387"/>
      <c r="V62" s="387"/>
      <c r="W62" s="387"/>
      <c r="X62" s="387"/>
      <c r="Y62" s="387"/>
      <c r="Z62" s="277" t="s">
        <v>371</v>
      </c>
    </row>
    <row r="63" spans="1:26" x14ac:dyDescent="0.25">
      <c r="A63" s="371" t="s">
        <v>455</v>
      </c>
      <c r="B63" s="266">
        <v>1</v>
      </c>
      <c r="C63" s="266">
        <v>1</v>
      </c>
      <c r="D63" s="266">
        <v>1</v>
      </c>
      <c r="E63" s="266">
        <v>1</v>
      </c>
      <c r="F63" s="266">
        <v>1</v>
      </c>
      <c r="G63" s="266">
        <v>1</v>
      </c>
      <c r="H63" s="266">
        <v>1</v>
      </c>
      <c r="I63" s="460">
        <v>1</v>
      </c>
      <c r="J63" s="266">
        <v>1</v>
      </c>
      <c r="K63" s="266">
        <v>1</v>
      </c>
      <c r="L63" s="267">
        <v>1</v>
      </c>
      <c r="M63" s="266">
        <v>1</v>
      </c>
      <c r="N63" s="342">
        <f t="shared" si="0"/>
        <v>1</v>
      </c>
      <c r="P63" s="387"/>
      <c r="Q63" s="387"/>
      <c r="R63" s="387"/>
      <c r="S63" s="387"/>
      <c r="T63" s="387"/>
      <c r="U63" s="387"/>
      <c r="V63" s="387"/>
      <c r="W63" s="387" t="s">
        <v>371</v>
      </c>
      <c r="X63" s="387"/>
      <c r="Y63" s="387"/>
      <c r="Z63" s="277" t="s">
        <v>371</v>
      </c>
    </row>
    <row r="66" spans="2:13" x14ac:dyDescent="0.25">
      <c r="B66" s="389"/>
      <c r="C66" s="389"/>
      <c r="D66" s="389"/>
      <c r="E66" s="389"/>
      <c r="F66" s="389"/>
      <c r="G66" s="389"/>
      <c r="H66" s="389"/>
      <c r="I66" s="389"/>
      <c r="J66" s="389"/>
      <c r="K66" s="389"/>
      <c r="L66" s="389"/>
      <c r="M66" s="389"/>
    </row>
    <row r="67" spans="2:13" x14ac:dyDescent="0.25">
      <c r="B67" s="390"/>
      <c r="C67" s="390"/>
      <c r="D67" s="390"/>
      <c r="E67" s="390"/>
      <c r="F67" s="390"/>
      <c r="G67" s="390"/>
      <c r="H67" s="390"/>
      <c r="I67" s="390"/>
      <c r="J67" s="390"/>
      <c r="K67" s="390"/>
      <c r="L67" s="390"/>
      <c r="M67" s="390"/>
    </row>
    <row r="68" spans="2:13" x14ac:dyDescent="0.25">
      <c r="B68" s="390"/>
      <c r="C68" s="390"/>
      <c r="D68" s="390"/>
      <c r="E68" s="390"/>
      <c r="F68" s="390"/>
      <c r="G68" s="390"/>
      <c r="H68" s="390"/>
      <c r="I68" s="390"/>
      <c r="J68" s="390"/>
      <c r="K68" s="390"/>
      <c r="L68" s="390"/>
      <c r="M68" s="390"/>
    </row>
    <row r="69" spans="2:13" x14ac:dyDescent="0.25">
      <c r="B69" s="390"/>
      <c r="C69" s="390"/>
      <c r="D69" s="390"/>
      <c r="E69" s="390"/>
      <c r="F69" s="390"/>
      <c r="G69" s="390"/>
      <c r="H69" s="390"/>
      <c r="I69" s="390"/>
      <c r="J69" s="390"/>
      <c r="K69" s="390"/>
      <c r="L69" s="390"/>
      <c r="M69" s="390"/>
    </row>
    <row r="70" spans="2:13" x14ac:dyDescent="0.25">
      <c r="B70" s="390"/>
      <c r="C70" s="390"/>
      <c r="D70" s="390"/>
      <c r="E70" s="390"/>
      <c r="F70" s="390"/>
      <c r="G70" s="390"/>
      <c r="H70" s="390"/>
      <c r="I70" s="390"/>
      <c r="J70" s="390"/>
      <c r="K70" s="390"/>
      <c r="L70" s="390"/>
      <c r="M70" s="390"/>
    </row>
    <row r="71" spans="2:13" x14ac:dyDescent="0.25">
      <c r="B71" s="390"/>
      <c r="C71" s="390"/>
      <c r="D71" s="390"/>
      <c r="E71" s="390"/>
      <c r="F71" s="390"/>
      <c r="G71" s="390"/>
      <c r="H71" s="390"/>
      <c r="I71" s="390"/>
      <c r="J71" s="390"/>
      <c r="K71" s="390"/>
      <c r="L71" s="390"/>
      <c r="M71" s="390"/>
    </row>
    <row r="72" spans="2:13" x14ac:dyDescent="0.25">
      <c r="B72" s="390"/>
      <c r="C72" s="390"/>
      <c r="D72" s="390"/>
      <c r="E72" s="390"/>
      <c r="F72" s="390"/>
      <c r="G72" s="390"/>
      <c r="H72" s="390"/>
      <c r="I72" s="390"/>
      <c r="J72" s="390"/>
      <c r="K72" s="390"/>
      <c r="L72" s="390"/>
      <c r="M72" s="390"/>
    </row>
    <row r="73" spans="2:13" x14ac:dyDescent="0.25">
      <c r="B73" s="390"/>
      <c r="C73" s="390"/>
      <c r="D73" s="390"/>
      <c r="E73" s="390"/>
      <c r="F73" s="390"/>
      <c r="G73" s="390"/>
      <c r="H73" s="390"/>
      <c r="I73" s="390"/>
      <c r="J73" s="390"/>
      <c r="K73" s="390"/>
      <c r="L73" s="390"/>
      <c r="M73" s="390"/>
    </row>
    <row r="74" spans="2:13" x14ac:dyDescent="0.25">
      <c r="B74" s="390"/>
      <c r="C74" s="390"/>
      <c r="D74" s="390"/>
      <c r="E74" s="390"/>
      <c r="F74" s="390"/>
      <c r="G74" s="390"/>
      <c r="H74" s="390"/>
      <c r="I74" s="390"/>
      <c r="J74" s="390"/>
      <c r="K74" s="390"/>
      <c r="L74" s="390"/>
      <c r="M74" s="390"/>
    </row>
    <row r="75" spans="2:13" x14ac:dyDescent="0.25">
      <c r="B75" s="390"/>
      <c r="C75" s="390"/>
      <c r="D75" s="390"/>
      <c r="E75" s="390"/>
      <c r="F75" s="390"/>
      <c r="G75" s="390"/>
      <c r="H75" s="390"/>
      <c r="I75" s="390"/>
      <c r="J75" s="390"/>
      <c r="K75" s="390"/>
      <c r="L75" s="390"/>
      <c r="M75" s="390"/>
    </row>
    <row r="76" spans="2:13" x14ac:dyDescent="0.25">
      <c r="B76" s="390"/>
      <c r="C76" s="390"/>
      <c r="D76" s="390"/>
      <c r="E76" s="390"/>
      <c r="F76" s="390"/>
      <c r="G76" s="390"/>
      <c r="H76" s="390"/>
      <c r="I76" s="390"/>
      <c r="J76" s="390"/>
      <c r="K76" s="390"/>
      <c r="L76" s="390"/>
      <c r="M76" s="390"/>
    </row>
    <row r="77" spans="2:13" x14ac:dyDescent="0.25">
      <c r="B77" s="390"/>
      <c r="C77" s="390"/>
      <c r="D77" s="390"/>
      <c r="E77" s="390"/>
      <c r="F77" s="390"/>
      <c r="G77" s="390"/>
      <c r="H77" s="390"/>
      <c r="I77" s="390"/>
      <c r="J77" s="390"/>
      <c r="K77" s="390"/>
      <c r="L77" s="390"/>
      <c r="M77" s="390"/>
    </row>
    <row r="78" spans="2:13" x14ac:dyDescent="0.25">
      <c r="B78" s="390"/>
      <c r="C78" s="390"/>
      <c r="D78" s="390"/>
      <c r="E78" s="390"/>
      <c r="F78" s="390"/>
      <c r="G78" s="390"/>
      <c r="H78" s="390"/>
      <c r="I78" s="390"/>
      <c r="J78" s="390"/>
      <c r="K78" s="390"/>
      <c r="L78" s="390"/>
      <c r="M78" s="390"/>
    </row>
    <row r="79" spans="2:13" x14ac:dyDescent="0.25">
      <c r="B79" s="390"/>
      <c r="C79" s="390"/>
      <c r="D79" s="390"/>
      <c r="E79" s="390"/>
      <c r="F79" s="390"/>
      <c r="G79" s="390"/>
      <c r="H79" s="390"/>
      <c r="I79" s="390"/>
      <c r="J79" s="390"/>
      <c r="K79" s="390"/>
      <c r="L79" s="390"/>
      <c r="M79" s="390"/>
    </row>
    <row r="80" spans="2:13" x14ac:dyDescent="0.25">
      <c r="B80" s="390"/>
      <c r="C80" s="390"/>
      <c r="D80" s="390"/>
      <c r="E80" s="390"/>
      <c r="F80" s="390"/>
      <c r="G80" s="390"/>
      <c r="H80" s="390"/>
      <c r="I80" s="390"/>
      <c r="J80" s="390"/>
      <c r="K80" s="390"/>
      <c r="L80" s="390"/>
      <c r="M80" s="390"/>
    </row>
  </sheetData>
  <mergeCells count="1">
    <mergeCell ref="P1:Y1"/>
  </mergeCells>
  <conditionalFormatting sqref="B31:L34 E6:L9 E11:L30 B37:L39 B42:L63">
    <cfRule type="colorScale" priority="27">
      <colorScale>
        <cfvo type="num" val="0.5"/>
        <cfvo type="num" val="1"/>
        <cfvo type="num" val="1.5"/>
        <color rgb="FFF8696B"/>
        <color rgb="FFFFEB84"/>
        <color rgb="FF63BE7B"/>
      </colorScale>
    </cfRule>
    <cfRule type="colorScale" priority="28">
      <colorScale>
        <cfvo type="min"/>
        <cfvo type="percentile" val="50"/>
        <cfvo type="max"/>
        <color rgb="FFF8696B"/>
        <color rgb="FFFFEB84"/>
        <color rgb="FF63BE7B"/>
      </colorScale>
    </cfRule>
  </conditionalFormatting>
  <conditionalFormatting sqref="B19:D30">
    <cfRule type="colorScale" priority="25">
      <colorScale>
        <cfvo type="num" val="0.5"/>
        <cfvo type="num" val="1"/>
        <cfvo type="num" val="1.5"/>
        <color rgb="FFF8696B"/>
        <color rgb="FFFFEB84"/>
        <color rgb="FF63BE7B"/>
      </colorScale>
    </cfRule>
    <cfRule type="colorScale" priority="26">
      <colorScale>
        <cfvo type="min"/>
        <cfvo type="percentile" val="50"/>
        <cfvo type="max"/>
        <color rgb="FFF8696B"/>
        <color rgb="FFFFEB84"/>
        <color rgb="FF63BE7B"/>
      </colorScale>
    </cfRule>
  </conditionalFormatting>
  <conditionalFormatting sqref="B6:D9 B11:D18">
    <cfRule type="colorScale" priority="23">
      <colorScale>
        <cfvo type="num" val="0.5"/>
        <cfvo type="num" val="1"/>
        <cfvo type="num" val="1.5"/>
        <color rgb="FFF8696B"/>
        <color rgb="FFFFEB84"/>
        <color rgb="FF63BE7B"/>
      </colorScale>
    </cfRule>
    <cfRule type="colorScale" priority="24">
      <colorScale>
        <cfvo type="min"/>
        <cfvo type="percentile" val="50"/>
        <cfvo type="max"/>
        <color rgb="FFF8696B"/>
        <color rgb="FFFFEB84"/>
        <color rgb="FF63BE7B"/>
      </colorScale>
    </cfRule>
  </conditionalFormatting>
  <conditionalFormatting sqref="E10:L10">
    <cfRule type="colorScale" priority="21">
      <colorScale>
        <cfvo type="num" val="0.5"/>
        <cfvo type="num" val="1"/>
        <cfvo type="num" val="1.5"/>
        <color rgb="FFF8696B"/>
        <color rgb="FFFFEB84"/>
        <color rgb="FF63BE7B"/>
      </colorScale>
    </cfRule>
    <cfRule type="colorScale" priority="22">
      <colorScale>
        <cfvo type="min"/>
        <cfvo type="percentile" val="50"/>
        <cfvo type="max"/>
        <color rgb="FFF8696B"/>
        <color rgb="FFFFEB84"/>
        <color rgb="FF63BE7B"/>
      </colorScale>
    </cfRule>
  </conditionalFormatting>
  <conditionalFormatting sqref="B10:D10">
    <cfRule type="colorScale" priority="19">
      <colorScale>
        <cfvo type="num" val="0.5"/>
        <cfvo type="num" val="1"/>
        <cfvo type="num" val="1.5"/>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4:L5">
    <cfRule type="colorScale" priority="17">
      <colorScale>
        <cfvo type="num" val="0.5"/>
        <cfvo type="num" val="1"/>
        <cfvo type="num" val="1.5"/>
        <color rgb="FFF8696B"/>
        <color rgb="FFFFEB84"/>
        <color rgb="FF63BE7B"/>
      </colorScale>
    </cfRule>
    <cfRule type="colorScale" priority="18">
      <colorScale>
        <cfvo type="min"/>
        <cfvo type="percentile" val="50"/>
        <cfvo type="max"/>
        <color rgb="FFF8696B"/>
        <color rgb="FFFFEB84"/>
        <color rgb="FF63BE7B"/>
      </colorScale>
    </cfRule>
  </conditionalFormatting>
  <conditionalFormatting sqref="B4:D5">
    <cfRule type="colorScale" priority="15">
      <colorScale>
        <cfvo type="num" val="0.5"/>
        <cfvo type="num" val="1"/>
        <cfvo type="num" val="1.5"/>
        <color rgb="FFF8696B"/>
        <color rgb="FFFFEB84"/>
        <color rgb="FF63BE7B"/>
      </colorScale>
    </cfRule>
    <cfRule type="colorScale" priority="16">
      <colorScale>
        <cfvo type="min"/>
        <cfvo type="percentile" val="50"/>
        <cfvo type="max"/>
        <color rgb="FFF8696B"/>
        <color rgb="FFFFEB84"/>
        <color rgb="FF63BE7B"/>
      </colorScale>
    </cfRule>
  </conditionalFormatting>
  <conditionalFormatting sqref="E35:L36">
    <cfRule type="colorScale" priority="13">
      <colorScale>
        <cfvo type="num" val="0.5"/>
        <cfvo type="num" val="1"/>
        <cfvo type="num" val="1.5"/>
        <color rgb="FFF8696B"/>
        <color rgb="FFFFEB84"/>
        <color rgb="FF63BE7B"/>
      </colorScale>
    </cfRule>
    <cfRule type="colorScale" priority="14">
      <colorScale>
        <cfvo type="min"/>
        <cfvo type="percentile" val="50"/>
        <cfvo type="max"/>
        <color rgb="FFF8696B"/>
        <color rgb="FFFFEB84"/>
        <color rgb="FF63BE7B"/>
      </colorScale>
    </cfRule>
  </conditionalFormatting>
  <conditionalFormatting sqref="B35:D36">
    <cfRule type="colorScale" priority="11">
      <colorScale>
        <cfvo type="num" val="0.5"/>
        <cfvo type="num" val="1"/>
        <cfvo type="num" val="1.5"/>
        <color rgb="FFF8696B"/>
        <color rgb="FFFFEB84"/>
        <color rgb="FF63BE7B"/>
      </colorScale>
    </cfRule>
    <cfRule type="colorScale" priority="12">
      <colorScale>
        <cfvo type="min"/>
        <cfvo type="percentile" val="50"/>
        <cfvo type="max"/>
        <color rgb="FFF8696B"/>
        <color rgb="FFFFEB84"/>
        <color rgb="FF63BE7B"/>
      </colorScale>
    </cfRule>
  </conditionalFormatting>
  <conditionalFormatting sqref="E40:L41 B41:D41">
    <cfRule type="colorScale" priority="9">
      <colorScale>
        <cfvo type="num" val="0.5"/>
        <cfvo type="num" val="1"/>
        <cfvo type="num" val="1.5"/>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B40:D41">
    <cfRule type="colorScale" priority="7">
      <colorScale>
        <cfvo type="num" val="0.5"/>
        <cfvo type="num" val="1"/>
        <cfvo type="num" val="1.5"/>
        <color rgb="FFF8696B"/>
        <color rgb="FFFFEB84"/>
        <color rgb="FF63BE7B"/>
      </colorScale>
    </cfRule>
    <cfRule type="colorScale" priority="8">
      <colorScale>
        <cfvo type="min"/>
        <cfvo type="percentile" val="50"/>
        <cfvo type="max"/>
        <color rgb="FFF8696B"/>
        <color rgb="FFFFEB84"/>
        <color rgb="FF63BE7B"/>
      </colorScale>
    </cfRule>
  </conditionalFormatting>
  <conditionalFormatting sqref="M6:M8 M4 M10:M63">
    <cfRule type="colorScale" priority="5">
      <colorScale>
        <cfvo type="num" val="0.5"/>
        <cfvo type="num" val="1"/>
        <cfvo type="num" val="1.5"/>
        <color rgb="FFF8696B"/>
        <color rgb="FFFFEB84"/>
        <color rgb="FF63BE7B"/>
      </colorScale>
    </cfRule>
    <cfRule type="colorScale" priority="6">
      <colorScale>
        <cfvo type="min"/>
        <cfvo type="percentile" val="50"/>
        <cfvo type="max"/>
        <color rgb="FFF8696B"/>
        <color rgb="FFFFEB84"/>
        <color rgb="FF63BE7B"/>
      </colorScale>
    </cfRule>
  </conditionalFormatting>
  <conditionalFormatting sqref="M5">
    <cfRule type="colorScale" priority="3">
      <colorScale>
        <cfvo type="num" val="0.5"/>
        <cfvo type="num" val="1"/>
        <cfvo type="num" val="1.5"/>
        <color rgb="FFF8696B"/>
        <color rgb="FFFFEB84"/>
        <color rgb="FF63BE7B"/>
      </colorScale>
    </cfRule>
    <cfRule type="colorScale" priority="4">
      <colorScale>
        <cfvo type="min"/>
        <cfvo type="percentile" val="50"/>
        <cfvo type="max"/>
        <color rgb="FFF8696B"/>
        <color rgb="FFFFEB84"/>
        <color rgb="FF63BE7B"/>
      </colorScale>
    </cfRule>
  </conditionalFormatting>
  <conditionalFormatting sqref="M9">
    <cfRule type="colorScale" priority="1">
      <colorScale>
        <cfvo type="num" val="0.5"/>
        <cfvo type="num" val="1"/>
        <cfvo type="num" val="1.5"/>
        <color rgb="FFF8696B"/>
        <color rgb="FFFFEB84"/>
        <color rgb="FF63BE7B"/>
      </colorScale>
    </cfRule>
    <cfRule type="colorScale" priority="2">
      <colorScale>
        <cfvo type="min"/>
        <cfvo type="percentile" val="50"/>
        <cfvo type="max"/>
        <color rgb="FFF8696B"/>
        <color rgb="FFFFEB84"/>
        <color rgb="FF63BE7B"/>
      </colorScale>
    </cfRule>
  </conditionalFormatting>
  <hyperlinks>
    <hyperlink ref="A1" location="'Main Menu'!A1" display="Return to Main Menu"/>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80"/>
  <sheetViews>
    <sheetView zoomScale="90" zoomScaleNormal="90" workbookViewId="0">
      <pane xSplit="1" ySplit="3" topLeftCell="B4" activePane="bottomRight" state="frozen"/>
      <selection pane="topRight" activeCell="B1" sqref="B1"/>
      <selection pane="bottomLeft" activeCell="A4" sqref="A4"/>
      <selection pane="bottomRight" activeCell="J57" sqref="J57"/>
    </sheetView>
  </sheetViews>
  <sheetFormatPr defaultRowHeight="15" x14ac:dyDescent="0.25"/>
  <cols>
    <col min="1" max="1" width="48.5703125" style="367" customWidth="1"/>
    <col min="2" max="12" width="5.7109375" style="277" customWidth="1"/>
    <col min="13" max="13" width="4.85546875" style="277" bestFit="1" customWidth="1"/>
    <col min="14" max="14" width="6.85546875" style="277" customWidth="1"/>
    <col min="15" max="15" width="68.140625" style="385" customWidth="1"/>
    <col min="16" max="18" width="9.140625" style="277"/>
    <col min="19" max="19" width="12.7109375" style="277" customWidth="1"/>
    <col min="20" max="20" width="9.140625" style="277"/>
    <col min="21" max="21" width="15.5703125" style="277" customWidth="1"/>
    <col min="22" max="22" width="14.42578125" style="277" customWidth="1"/>
    <col min="23" max="16384" width="9.140625" style="277"/>
  </cols>
  <sheetData>
    <row r="1" spans="1:26" ht="26.25" customHeight="1" x14ac:dyDescent="0.25">
      <c r="A1" s="392" t="s">
        <v>34</v>
      </c>
      <c r="B1" s="376" t="s">
        <v>456</v>
      </c>
      <c r="P1" s="478" t="s">
        <v>349</v>
      </c>
      <c r="Q1" s="478"/>
      <c r="R1" s="478"/>
      <c r="S1" s="478"/>
      <c r="T1" s="478"/>
      <c r="U1" s="478"/>
      <c r="V1" s="478"/>
      <c r="W1" s="478"/>
      <c r="X1" s="478"/>
      <c r="Y1" s="478"/>
    </row>
    <row r="2" spans="1:26" x14ac:dyDescent="0.25">
      <c r="A2" s="393" t="s">
        <v>391</v>
      </c>
      <c r="B2" s="377">
        <v>2015</v>
      </c>
      <c r="C2" s="377">
        <v>2020</v>
      </c>
      <c r="D2" s="377">
        <v>2025</v>
      </c>
      <c r="E2" s="377">
        <v>2030</v>
      </c>
      <c r="F2" s="377">
        <v>2035</v>
      </c>
      <c r="G2" s="377">
        <v>2040</v>
      </c>
      <c r="H2" s="377">
        <v>2045</v>
      </c>
      <c r="I2" s="377">
        <v>2050</v>
      </c>
      <c r="J2" s="377">
        <v>2055</v>
      </c>
      <c r="K2" s="377">
        <v>2060</v>
      </c>
      <c r="L2" s="378">
        <v>2065</v>
      </c>
      <c r="M2" s="334"/>
      <c r="N2" s="334"/>
      <c r="O2" s="334" t="s">
        <v>361</v>
      </c>
      <c r="P2" s="334" t="s">
        <v>350</v>
      </c>
      <c r="Q2" s="334" t="s">
        <v>351</v>
      </c>
      <c r="R2" s="334" t="s">
        <v>352</v>
      </c>
      <c r="S2" s="334" t="s">
        <v>353</v>
      </c>
      <c r="T2" s="334" t="s">
        <v>354</v>
      </c>
      <c r="U2" s="334" t="s">
        <v>355</v>
      </c>
      <c r="V2" s="334" t="s">
        <v>356</v>
      </c>
      <c r="W2" s="334" t="s">
        <v>357</v>
      </c>
      <c r="X2" s="334" t="s">
        <v>358</v>
      </c>
      <c r="Y2" s="334" t="s">
        <v>359</v>
      </c>
      <c r="Z2" s="334" t="s">
        <v>360</v>
      </c>
    </row>
    <row r="3" spans="1:26" x14ac:dyDescent="0.25">
      <c r="A3" s="394" t="s">
        <v>337</v>
      </c>
      <c r="B3" s="379"/>
      <c r="C3" s="379"/>
      <c r="D3" s="379"/>
      <c r="E3" s="379"/>
      <c r="F3" s="379"/>
      <c r="G3" s="379"/>
      <c r="H3" s="379"/>
      <c r="I3" s="379"/>
      <c r="J3" s="379"/>
      <c r="K3" s="379"/>
      <c r="L3" s="380"/>
      <c r="M3" s="337"/>
      <c r="N3" s="337"/>
      <c r="P3" s="337"/>
      <c r="Q3" s="337"/>
      <c r="R3" s="337"/>
      <c r="S3" s="337"/>
      <c r="T3" s="337"/>
      <c r="U3" s="337"/>
      <c r="V3" s="337"/>
      <c r="W3" s="337"/>
      <c r="X3" s="337"/>
      <c r="Y3" s="337"/>
      <c r="Z3" s="337"/>
    </row>
    <row r="4" spans="1:26" x14ac:dyDescent="0.25">
      <c r="A4" s="395" t="s">
        <v>385</v>
      </c>
      <c r="B4" s="262">
        <v>1</v>
      </c>
      <c r="C4" s="262">
        <v>1</v>
      </c>
      <c r="D4" s="262">
        <v>1</v>
      </c>
      <c r="E4" s="262">
        <v>0.95</v>
      </c>
      <c r="F4" s="262">
        <v>0.9</v>
      </c>
      <c r="G4" s="262">
        <v>0.85</v>
      </c>
      <c r="H4" s="262">
        <v>0.8</v>
      </c>
      <c r="I4" s="459">
        <v>0.75</v>
      </c>
      <c r="J4" s="262">
        <v>0.75</v>
      </c>
      <c r="K4" s="262">
        <v>0.7</v>
      </c>
      <c r="L4" s="265">
        <v>0.7</v>
      </c>
      <c r="M4" s="263">
        <v>1.5</v>
      </c>
      <c r="N4" s="342">
        <f>I4/M4</f>
        <v>0.5</v>
      </c>
      <c r="O4" s="386" t="s">
        <v>549</v>
      </c>
      <c r="P4" s="387"/>
      <c r="Q4" s="387"/>
      <c r="R4" s="387"/>
      <c r="S4" s="387"/>
      <c r="T4" s="387" t="s">
        <v>363</v>
      </c>
      <c r="U4" s="387"/>
      <c r="V4" s="387"/>
      <c r="W4" s="387"/>
      <c r="X4" s="387"/>
      <c r="Y4" s="387"/>
      <c r="Z4" s="277" t="s">
        <v>363</v>
      </c>
    </row>
    <row r="5" spans="1:26" x14ac:dyDescent="0.25">
      <c r="A5" s="396" t="s">
        <v>386</v>
      </c>
      <c r="B5" s="262">
        <v>1</v>
      </c>
      <c r="C5" s="262">
        <v>1</v>
      </c>
      <c r="D5" s="262">
        <v>1</v>
      </c>
      <c r="E5" s="262">
        <v>0.95</v>
      </c>
      <c r="F5" s="262">
        <v>0.9</v>
      </c>
      <c r="G5" s="262">
        <v>0.85</v>
      </c>
      <c r="H5" s="262">
        <v>0.8</v>
      </c>
      <c r="I5" s="459">
        <v>0.75</v>
      </c>
      <c r="J5" s="262">
        <v>0.75</v>
      </c>
      <c r="K5" s="262">
        <v>0.7</v>
      </c>
      <c r="L5" s="265">
        <v>0.7</v>
      </c>
      <c r="M5" s="262">
        <v>0.6</v>
      </c>
      <c r="N5" s="342">
        <f t="shared" ref="N5:N63" si="0">I5/M5</f>
        <v>1.25</v>
      </c>
      <c r="O5" s="386" t="s">
        <v>457</v>
      </c>
      <c r="P5" s="387" t="s">
        <v>362</v>
      </c>
      <c r="Q5" s="387" t="s">
        <v>362</v>
      </c>
      <c r="R5" s="387"/>
      <c r="S5" s="387"/>
      <c r="T5" s="387"/>
      <c r="U5" s="387"/>
      <c r="V5" s="387"/>
      <c r="W5" s="387"/>
      <c r="X5" s="387"/>
      <c r="Y5" s="387"/>
      <c r="Z5" s="277" t="s">
        <v>362</v>
      </c>
    </row>
    <row r="6" spans="1:26" x14ac:dyDescent="0.25">
      <c r="A6" s="396" t="s">
        <v>383</v>
      </c>
      <c r="B6" s="262">
        <v>1</v>
      </c>
      <c r="C6" s="262">
        <v>1</v>
      </c>
      <c r="D6" s="262">
        <v>1</v>
      </c>
      <c r="E6" s="262">
        <v>1</v>
      </c>
      <c r="F6" s="262">
        <v>1</v>
      </c>
      <c r="G6" s="262">
        <v>1</v>
      </c>
      <c r="H6" s="262">
        <v>1</v>
      </c>
      <c r="I6" s="459">
        <v>1</v>
      </c>
      <c r="J6" s="262">
        <v>1</v>
      </c>
      <c r="K6" s="262">
        <v>1</v>
      </c>
      <c r="L6" s="265">
        <v>1</v>
      </c>
      <c r="M6" s="262">
        <v>0.8</v>
      </c>
      <c r="N6" s="342">
        <f t="shared" si="0"/>
        <v>1.25</v>
      </c>
      <c r="O6" s="386"/>
      <c r="P6" s="387"/>
      <c r="Q6" s="387" t="s">
        <v>371</v>
      </c>
      <c r="R6" s="387"/>
      <c r="S6" s="387"/>
      <c r="T6" s="387"/>
      <c r="U6" s="387"/>
      <c r="V6" s="387"/>
      <c r="W6" s="387"/>
      <c r="X6" s="387"/>
      <c r="Y6" s="387"/>
      <c r="Z6" s="277" t="s">
        <v>371</v>
      </c>
    </row>
    <row r="7" spans="1:26" x14ac:dyDescent="0.25">
      <c r="A7" s="396" t="s">
        <v>384</v>
      </c>
      <c r="B7" s="262">
        <v>1</v>
      </c>
      <c r="C7" s="262">
        <v>1</v>
      </c>
      <c r="D7" s="262">
        <v>1</v>
      </c>
      <c r="E7" s="262">
        <v>1</v>
      </c>
      <c r="F7" s="262">
        <v>1</v>
      </c>
      <c r="G7" s="262">
        <v>1</v>
      </c>
      <c r="H7" s="262">
        <v>1</v>
      </c>
      <c r="I7" s="459">
        <v>1</v>
      </c>
      <c r="J7" s="262">
        <v>1</v>
      </c>
      <c r="K7" s="262">
        <v>1</v>
      </c>
      <c r="L7" s="265">
        <v>1</v>
      </c>
      <c r="M7" s="262">
        <v>1</v>
      </c>
      <c r="N7" s="342">
        <f t="shared" si="0"/>
        <v>1</v>
      </c>
      <c r="O7" s="386"/>
      <c r="P7" s="387"/>
      <c r="Q7" s="387" t="s">
        <v>371</v>
      </c>
      <c r="R7" s="387"/>
      <c r="S7" s="387"/>
      <c r="T7" s="387"/>
      <c r="U7" s="387"/>
      <c r="V7" s="387"/>
      <c r="W7" s="387"/>
      <c r="X7" s="387"/>
      <c r="Y7" s="387"/>
      <c r="Z7" s="277" t="s">
        <v>371</v>
      </c>
    </row>
    <row r="8" spans="1:26" x14ac:dyDescent="0.25">
      <c r="A8" s="396" t="s">
        <v>387</v>
      </c>
      <c r="B8" s="262">
        <v>1</v>
      </c>
      <c r="C8" s="262">
        <v>1</v>
      </c>
      <c r="D8" s="262">
        <v>1</v>
      </c>
      <c r="E8" s="262">
        <v>0.890625</v>
      </c>
      <c r="F8" s="262">
        <v>0.84375</v>
      </c>
      <c r="G8" s="262">
        <v>0.796875</v>
      </c>
      <c r="H8" s="262">
        <v>0.75</v>
      </c>
      <c r="I8" s="459">
        <v>0.75</v>
      </c>
      <c r="J8" s="262">
        <v>0.75</v>
      </c>
      <c r="K8" s="262">
        <v>0.75</v>
      </c>
      <c r="L8" s="265">
        <v>0.75</v>
      </c>
      <c r="M8" s="262">
        <v>0.8</v>
      </c>
      <c r="N8" s="342">
        <f t="shared" si="0"/>
        <v>0.9375</v>
      </c>
      <c r="O8" s="386" t="s">
        <v>458</v>
      </c>
      <c r="P8" s="387"/>
      <c r="Q8" s="387" t="s">
        <v>362</v>
      </c>
      <c r="R8" s="387"/>
      <c r="S8" s="387"/>
      <c r="T8" s="387"/>
      <c r="U8" s="387"/>
      <c r="V8" s="387"/>
      <c r="W8" s="387"/>
      <c r="X8" s="387"/>
      <c r="Y8" s="387"/>
      <c r="Z8" s="277" t="s">
        <v>362</v>
      </c>
    </row>
    <row r="9" spans="1:26" x14ac:dyDescent="0.25">
      <c r="A9" s="396" t="s">
        <v>483</v>
      </c>
      <c r="B9" s="262">
        <v>1</v>
      </c>
      <c r="C9" s="262">
        <v>1</v>
      </c>
      <c r="D9" s="262">
        <v>1</v>
      </c>
      <c r="E9" s="262">
        <v>0.95</v>
      </c>
      <c r="F9" s="262">
        <v>0.95</v>
      </c>
      <c r="G9" s="262">
        <v>0.9</v>
      </c>
      <c r="H9" s="262">
        <v>0.9</v>
      </c>
      <c r="I9" s="459">
        <v>0.9</v>
      </c>
      <c r="J9" s="262">
        <v>0.9</v>
      </c>
      <c r="K9" s="262">
        <v>0.9</v>
      </c>
      <c r="L9" s="265">
        <v>0.9</v>
      </c>
      <c r="M9" s="262">
        <v>0.7</v>
      </c>
      <c r="N9" s="342">
        <f t="shared" si="0"/>
        <v>1.2857142857142858</v>
      </c>
      <c r="O9" s="386" t="s">
        <v>459</v>
      </c>
      <c r="P9" s="387"/>
      <c r="Q9" s="387"/>
      <c r="R9" s="387"/>
      <c r="S9" s="387" t="s">
        <v>363</v>
      </c>
      <c r="T9" s="387"/>
      <c r="U9" s="387"/>
      <c r="V9" s="387"/>
      <c r="W9" s="387"/>
      <c r="X9" s="387" t="s">
        <v>362</v>
      </c>
      <c r="Y9" s="387"/>
      <c r="Z9" s="277" t="s">
        <v>362</v>
      </c>
    </row>
    <row r="10" spans="1:26" x14ac:dyDescent="0.25">
      <c r="A10" s="396" t="s">
        <v>484</v>
      </c>
      <c r="B10" s="262">
        <v>1</v>
      </c>
      <c r="C10" s="262">
        <v>1</v>
      </c>
      <c r="D10" s="262">
        <v>1</v>
      </c>
      <c r="E10" s="262">
        <v>0.95</v>
      </c>
      <c r="F10" s="262">
        <v>0.9</v>
      </c>
      <c r="G10" s="262">
        <v>0.85</v>
      </c>
      <c r="H10" s="262">
        <v>0.8</v>
      </c>
      <c r="I10" s="459">
        <v>0.75</v>
      </c>
      <c r="J10" s="262">
        <v>0.7</v>
      </c>
      <c r="K10" s="262">
        <v>0.65</v>
      </c>
      <c r="L10" s="265">
        <v>0.6</v>
      </c>
      <c r="M10" s="262">
        <v>0.75</v>
      </c>
      <c r="N10" s="342">
        <f t="shared" si="0"/>
        <v>1</v>
      </c>
      <c r="O10" s="386"/>
      <c r="P10" s="387"/>
      <c r="Q10" s="387"/>
      <c r="R10" s="387"/>
      <c r="S10" s="387"/>
      <c r="T10" s="387"/>
      <c r="U10" s="387"/>
      <c r="V10" s="387"/>
      <c r="W10" s="387"/>
      <c r="X10" s="387" t="s">
        <v>371</v>
      </c>
      <c r="Y10" s="387"/>
      <c r="Z10" s="277" t="s">
        <v>371</v>
      </c>
    </row>
    <row r="11" spans="1:26" x14ac:dyDescent="0.25">
      <c r="A11" s="396" t="s">
        <v>486</v>
      </c>
      <c r="B11" s="262">
        <v>1</v>
      </c>
      <c r="C11" s="262">
        <v>1</v>
      </c>
      <c r="D11" s="262">
        <v>1</v>
      </c>
      <c r="E11" s="262">
        <v>0.95</v>
      </c>
      <c r="F11" s="262">
        <v>0.95</v>
      </c>
      <c r="G11" s="262">
        <v>0.95</v>
      </c>
      <c r="H11" s="262">
        <v>0.9</v>
      </c>
      <c r="I11" s="459">
        <v>0.89999999999999991</v>
      </c>
      <c r="J11" s="262">
        <v>0.84</v>
      </c>
      <c r="K11" s="262">
        <v>0.78</v>
      </c>
      <c r="L11" s="265">
        <v>0.72</v>
      </c>
      <c r="M11" s="262">
        <v>0.75</v>
      </c>
      <c r="N11" s="342">
        <f t="shared" si="0"/>
        <v>1.2</v>
      </c>
      <c r="O11" s="386"/>
      <c r="P11" s="387"/>
      <c r="Q11" s="387"/>
      <c r="R11" s="387"/>
      <c r="S11" s="387"/>
      <c r="T11" s="387"/>
      <c r="U11" s="387"/>
      <c r="V11" s="387"/>
      <c r="W11" s="387"/>
      <c r="X11" s="387" t="s">
        <v>371</v>
      </c>
      <c r="Y11" s="387"/>
      <c r="Z11" s="277" t="s">
        <v>371</v>
      </c>
    </row>
    <row r="12" spans="1:26" x14ac:dyDescent="0.25">
      <c r="A12" s="396" t="s">
        <v>487</v>
      </c>
      <c r="B12" s="262">
        <v>1</v>
      </c>
      <c r="C12" s="262">
        <v>1</v>
      </c>
      <c r="D12" s="262">
        <v>1</v>
      </c>
      <c r="E12" s="262">
        <v>1</v>
      </c>
      <c r="F12" s="262">
        <v>1</v>
      </c>
      <c r="G12" s="262">
        <v>1</v>
      </c>
      <c r="H12" s="262">
        <v>1</v>
      </c>
      <c r="I12" s="459">
        <v>1</v>
      </c>
      <c r="J12" s="262">
        <v>1</v>
      </c>
      <c r="K12" s="262">
        <v>1</v>
      </c>
      <c r="L12" s="265">
        <v>1</v>
      </c>
      <c r="M12" s="262">
        <v>1.5</v>
      </c>
      <c r="N12" s="342">
        <f t="shared" si="0"/>
        <v>0.66666666666666663</v>
      </c>
      <c r="O12" s="386" t="s">
        <v>460</v>
      </c>
      <c r="P12" s="387"/>
      <c r="Q12" s="387"/>
      <c r="R12" s="387"/>
      <c r="S12" s="387"/>
      <c r="T12" s="387"/>
      <c r="U12" s="387"/>
      <c r="V12" s="387"/>
      <c r="W12" s="387"/>
      <c r="X12" s="387" t="s">
        <v>362</v>
      </c>
      <c r="Y12" s="387"/>
      <c r="Z12" s="277" t="s">
        <v>362</v>
      </c>
    </row>
    <row r="13" spans="1:26" x14ac:dyDescent="0.25">
      <c r="A13" s="396" t="s">
        <v>488</v>
      </c>
      <c r="B13" s="262">
        <v>1</v>
      </c>
      <c r="C13" s="262">
        <v>1</v>
      </c>
      <c r="D13" s="262">
        <v>1</v>
      </c>
      <c r="E13" s="262">
        <v>1.05</v>
      </c>
      <c r="F13" s="262">
        <v>1.1000000000000001</v>
      </c>
      <c r="G13" s="262">
        <v>1.1499999999999999</v>
      </c>
      <c r="H13" s="262">
        <v>1.2</v>
      </c>
      <c r="I13" s="459">
        <v>1.25</v>
      </c>
      <c r="J13" s="262">
        <v>1.3333333333333335</v>
      </c>
      <c r="K13" s="262">
        <v>1.4166666666666667</v>
      </c>
      <c r="L13" s="265">
        <v>1.5</v>
      </c>
      <c r="M13" s="262">
        <v>1.5</v>
      </c>
      <c r="N13" s="342">
        <f t="shared" si="0"/>
        <v>0.83333333333333337</v>
      </c>
      <c r="O13" s="386"/>
      <c r="P13" s="387"/>
      <c r="Q13" s="387"/>
      <c r="R13" s="387"/>
      <c r="S13" s="387"/>
      <c r="T13" s="387"/>
      <c r="U13" s="387"/>
      <c r="V13" s="387"/>
      <c r="W13" s="387"/>
      <c r="X13" s="387" t="s">
        <v>371</v>
      </c>
      <c r="Y13" s="387"/>
      <c r="Z13" s="277" t="s">
        <v>371</v>
      </c>
    </row>
    <row r="14" spans="1:26" x14ac:dyDescent="0.25">
      <c r="A14" s="396" t="s">
        <v>489</v>
      </c>
      <c r="B14" s="262">
        <v>1</v>
      </c>
      <c r="C14" s="262">
        <v>1</v>
      </c>
      <c r="D14" s="262">
        <v>1</v>
      </c>
      <c r="E14" s="262">
        <v>0.95</v>
      </c>
      <c r="F14" s="262">
        <v>0.9</v>
      </c>
      <c r="G14" s="262">
        <v>0.85</v>
      </c>
      <c r="H14" s="262">
        <v>0.8</v>
      </c>
      <c r="I14" s="459">
        <v>0.75</v>
      </c>
      <c r="J14" s="262">
        <v>0.7</v>
      </c>
      <c r="K14" s="262">
        <v>0.65</v>
      </c>
      <c r="L14" s="265">
        <v>0.6</v>
      </c>
      <c r="M14" s="262">
        <v>0.75</v>
      </c>
      <c r="N14" s="342">
        <f t="shared" si="0"/>
        <v>1</v>
      </c>
      <c r="O14" s="386" t="s">
        <v>461</v>
      </c>
      <c r="P14" s="387"/>
      <c r="Q14" s="387"/>
      <c r="R14" s="387"/>
      <c r="S14" s="387"/>
      <c r="T14" s="387"/>
      <c r="U14" s="387"/>
      <c r="V14" s="387"/>
      <c r="W14" s="387"/>
      <c r="X14" s="387" t="s">
        <v>371</v>
      </c>
      <c r="Y14" s="387"/>
      <c r="Z14" s="277" t="s">
        <v>371</v>
      </c>
    </row>
    <row r="15" spans="1:26" x14ac:dyDescent="0.25">
      <c r="A15" s="396" t="s">
        <v>398</v>
      </c>
      <c r="B15" s="262">
        <v>1</v>
      </c>
      <c r="C15" s="262">
        <v>1</v>
      </c>
      <c r="D15" s="262">
        <v>1</v>
      </c>
      <c r="E15" s="262">
        <v>1.05</v>
      </c>
      <c r="F15" s="262">
        <v>1.1000000000000001</v>
      </c>
      <c r="G15" s="262">
        <v>1.1499999999999999</v>
      </c>
      <c r="H15" s="262">
        <v>1.2</v>
      </c>
      <c r="I15" s="459">
        <v>1.25</v>
      </c>
      <c r="J15" s="262">
        <v>1.33</v>
      </c>
      <c r="K15" s="262">
        <v>1.42</v>
      </c>
      <c r="L15" s="265">
        <v>1.5</v>
      </c>
      <c r="M15" s="262">
        <v>0.75</v>
      </c>
      <c r="N15" s="342">
        <f t="shared" si="0"/>
        <v>1.6666666666666667</v>
      </c>
      <c r="O15" s="386" t="s">
        <v>466</v>
      </c>
      <c r="P15" s="387"/>
      <c r="Q15" s="387"/>
      <c r="R15" s="387"/>
      <c r="S15" s="387"/>
      <c r="T15" s="387"/>
      <c r="U15" s="387" t="s">
        <v>362</v>
      </c>
      <c r="V15" s="387"/>
      <c r="W15" s="387"/>
      <c r="X15" s="387"/>
      <c r="Y15" s="387"/>
      <c r="Z15" s="277" t="s">
        <v>362</v>
      </c>
    </row>
    <row r="16" spans="1:26" x14ac:dyDescent="0.25">
      <c r="A16" s="396" t="s">
        <v>399</v>
      </c>
      <c r="B16" s="262">
        <v>1</v>
      </c>
      <c r="C16" s="262">
        <v>1</v>
      </c>
      <c r="D16" s="262">
        <v>1</v>
      </c>
      <c r="E16" s="262">
        <v>1</v>
      </c>
      <c r="F16" s="262">
        <v>1</v>
      </c>
      <c r="G16" s="262">
        <v>1</v>
      </c>
      <c r="H16" s="262">
        <v>1</v>
      </c>
      <c r="I16" s="459">
        <v>1</v>
      </c>
      <c r="J16" s="262">
        <v>1</v>
      </c>
      <c r="K16" s="262">
        <v>1</v>
      </c>
      <c r="L16" s="265">
        <v>1</v>
      </c>
      <c r="M16" s="262">
        <v>1.25</v>
      </c>
      <c r="N16" s="342">
        <f t="shared" si="0"/>
        <v>0.8</v>
      </c>
      <c r="O16" s="386" t="s">
        <v>466</v>
      </c>
      <c r="P16" s="387"/>
      <c r="Q16" s="387"/>
      <c r="R16" s="387"/>
      <c r="S16" s="387"/>
      <c r="T16" s="387"/>
      <c r="U16" s="387" t="s">
        <v>362</v>
      </c>
      <c r="V16" s="387"/>
      <c r="W16" s="387"/>
      <c r="X16" s="387"/>
      <c r="Y16" s="387"/>
      <c r="Z16" s="277" t="s">
        <v>362</v>
      </c>
    </row>
    <row r="17" spans="1:26" x14ac:dyDescent="0.25">
      <c r="A17" s="396" t="s">
        <v>400</v>
      </c>
      <c r="B17" s="262">
        <v>1</v>
      </c>
      <c r="C17" s="262">
        <v>1</v>
      </c>
      <c r="D17" s="262">
        <v>1</v>
      </c>
      <c r="E17" s="262">
        <v>0.95</v>
      </c>
      <c r="F17" s="262">
        <v>0.9</v>
      </c>
      <c r="G17" s="262">
        <v>0.85</v>
      </c>
      <c r="H17" s="262">
        <v>0.8</v>
      </c>
      <c r="I17" s="459">
        <v>0.75</v>
      </c>
      <c r="J17" s="262">
        <v>0.75</v>
      </c>
      <c r="K17" s="262">
        <v>0.75</v>
      </c>
      <c r="L17" s="265">
        <v>0.75</v>
      </c>
      <c r="M17" s="262">
        <v>0.8</v>
      </c>
      <c r="N17" s="342">
        <f t="shared" si="0"/>
        <v>0.9375</v>
      </c>
      <c r="O17" s="386" t="s">
        <v>467</v>
      </c>
      <c r="P17" s="387"/>
      <c r="Q17" s="387"/>
      <c r="R17" s="387"/>
      <c r="S17" s="387"/>
      <c r="T17" s="387"/>
      <c r="U17" s="387"/>
      <c r="V17" s="387" t="s">
        <v>362</v>
      </c>
      <c r="W17" s="387"/>
      <c r="X17" s="387"/>
      <c r="Y17" s="387"/>
      <c r="Z17" s="277" t="s">
        <v>362</v>
      </c>
    </row>
    <row r="18" spans="1:26" x14ac:dyDescent="0.25">
      <c r="A18" s="397" t="s">
        <v>401</v>
      </c>
      <c r="B18" s="262">
        <v>1</v>
      </c>
      <c r="C18" s="262">
        <v>1</v>
      </c>
      <c r="D18" s="262">
        <v>1</v>
      </c>
      <c r="E18" s="266">
        <v>0.95</v>
      </c>
      <c r="F18" s="266">
        <v>0.9</v>
      </c>
      <c r="G18" s="266">
        <v>0.85</v>
      </c>
      <c r="H18" s="266">
        <v>0.8</v>
      </c>
      <c r="I18" s="460">
        <v>0.75</v>
      </c>
      <c r="J18" s="266">
        <v>0.75</v>
      </c>
      <c r="K18" s="266">
        <v>0.75</v>
      </c>
      <c r="L18" s="267">
        <v>0.75</v>
      </c>
      <c r="M18" s="266">
        <v>1</v>
      </c>
      <c r="N18" s="342">
        <f t="shared" si="0"/>
        <v>0.75</v>
      </c>
      <c r="O18" s="386"/>
      <c r="P18" s="387"/>
      <c r="Q18" s="387"/>
      <c r="R18" s="387" t="s">
        <v>371</v>
      </c>
      <c r="S18" s="387"/>
      <c r="T18" s="387"/>
      <c r="U18" s="387"/>
      <c r="V18" s="387"/>
      <c r="W18" s="387"/>
      <c r="X18" s="387"/>
      <c r="Y18" s="387"/>
      <c r="Z18" s="277" t="s">
        <v>371</v>
      </c>
    </row>
    <row r="19" spans="1:26" x14ac:dyDescent="0.25">
      <c r="A19" s="395" t="s">
        <v>414</v>
      </c>
      <c r="B19" s="263">
        <v>1</v>
      </c>
      <c r="C19" s="263">
        <v>1</v>
      </c>
      <c r="D19" s="263">
        <v>1</v>
      </c>
      <c r="E19" s="263">
        <v>1</v>
      </c>
      <c r="F19" s="263">
        <v>1</v>
      </c>
      <c r="G19" s="263">
        <v>1</v>
      </c>
      <c r="H19" s="263">
        <v>1</v>
      </c>
      <c r="I19" s="461">
        <v>1</v>
      </c>
      <c r="J19" s="263">
        <v>1</v>
      </c>
      <c r="K19" s="263">
        <v>1</v>
      </c>
      <c r="L19" s="264">
        <v>1</v>
      </c>
      <c r="M19" s="263">
        <v>1.25</v>
      </c>
      <c r="N19" s="342">
        <f t="shared" si="0"/>
        <v>0.8</v>
      </c>
      <c r="O19" s="386" t="s">
        <v>471</v>
      </c>
      <c r="P19" s="387"/>
      <c r="Q19" s="387"/>
      <c r="R19" s="387"/>
      <c r="S19" s="387"/>
      <c r="T19" s="387" t="s">
        <v>363</v>
      </c>
      <c r="U19" s="387"/>
      <c r="V19" s="387"/>
      <c r="W19" s="387"/>
      <c r="X19" s="387"/>
      <c r="Y19" s="387"/>
      <c r="Z19" s="277" t="s">
        <v>363</v>
      </c>
    </row>
    <row r="20" spans="1:26" x14ac:dyDescent="0.25">
      <c r="A20" s="396" t="s">
        <v>415</v>
      </c>
      <c r="B20" s="262">
        <v>1</v>
      </c>
      <c r="C20" s="262">
        <v>1</v>
      </c>
      <c r="D20" s="262">
        <v>1</v>
      </c>
      <c r="E20" s="262">
        <v>1</v>
      </c>
      <c r="F20" s="262">
        <v>1</v>
      </c>
      <c r="G20" s="262">
        <v>1</v>
      </c>
      <c r="H20" s="262">
        <v>1</v>
      </c>
      <c r="I20" s="459">
        <v>1</v>
      </c>
      <c r="J20" s="262">
        <v>1</v>
      </c>
      <c r="K20" s="262">
        <v>1</v>
      </c>
      <c r="L20" s="265">
        <v>1</v>
      </c>
      <c r="M20" s="262">
        <v>0.75</v>
      </c>
      <c r="N20" s="342">
        <f t="shared" si="0"/>
        <v>1.3333333333333333</v>
      </c>
      <c r="O20" s="386" t="s">
        <v>471</v>
      </c>
      <c r="P20" s="387"/>
      <c r="Q20" s="387"/>
      <c r="R20" s="387"/>
      <c r="S20" s="387"/>
      <c r="T20" s="387" t="s">
        <v>363</v>
      </c>
      <c r="U20" s="387"/>
      <c r="V20" s="387"/>
      <c r="W20" s="387"/>
      <c r="X20" s="387"/>
      <c r="Y20" s="387"/>
      <c r="Z20" s="277" t="s">
        <v>363</v>
      </c>
    </row>
    <row r="21" spans="1:26" x14ac:dyDescent="0.25">
      <c r="A21" s="396" t="s">
        <v>416</v>
      </c>
      <c r="B21" s="262">
        <v>1</v>
      </c>
      <c r="C21" s="262">
        <v>1</v>
      </c>
      <c r="D21" s="262">
        <v>1</v>
      </c>
      <c r="E21" s="262">
        <v>1</v>
      </c>
      <c r="F21" s="262">
        <v>1</v>
      </c>
      <c r="G21" s="262">
        <v>1</v>
      </c>
      <c r="H21" s="262">
        <v>1</v>
      </c>
      <c r="I21" s="459">
        <v>1</v>
      </c>
      <c r="J21" s="262">
        <v>1</v>
      </c>
      <c r="K21" s="262">
        <v>1</v>
      </c>
      <c r="L21" s="265">
        <v>1</v>
      </c>
      <c r="M21" s="262">
        <v>1</v>
      </c>
      <c r="N21" s="342">
        <f t="shared" si="0"/>
        <v>1</v>
      </c>
      <c r="O21" s="386" t="s">
        <v>471</v>
      </c>
      <c r="P21" s="387" t="s">
        <v>363</v>
      </c>
      <c r="Q21" s="387" t="s">
        <v>363</v>
      </c>
      <c r="R21" s="387"/>
      <c r="S21" s="387"/>
      <c r="T21" s="387"/>
      <c r="U21" s="387"/>
      <c r="V21" s="387"/>
      <c r="W21" s="387"/>
      <c r="X21" s="387"/>
      <c r="Y21" s="387"/>
      <c r="Z21" s="277" t="s">
        <v>363</v>
      </c>
    </row>
    <row r="22" spans="1:26" x14ac:dyDescent="0.25">
      <c r="A22" s="396" t="s">
        <v>417</v>
      </c>
      <c r="B22" s="262">
        <v>1</v>
      </c>
      <c r="C22" s="262">
        <v>1</v>
      </c>
      <c r="D22" s="262">
        <v>1</v>
      </c>
      <c r="E22" s="262">
        <v>1</v>
      </c>
      <c r="F22" s="262">
        <v>1</v>
      </c>
      <c r="G22" s="262">
        <v>1</v>
      </c>
      <c r="H22" s="262">
        <v>1</v>
      </c>
      <c r="I22" s="459">
        <v>1</v>
      </c>
      <c r="J22" s="262">
        <v>1</v>
      </c>
      <c r="K22" s="262">
        <v>1</v>
      </c>
      <c r="L22" s="265">
        <v>1</v>
      </c>
      <c r="M22" s="262">
        <v>1</v>
      </c>
      <c r="N22" s="342">
        <f t="shared" si="0"/>
        <v>1</v>
      </c>
      <c r="O22" s="386" t="s">
        <v>471</v>
      </c>
      <c r="P22" s="387" t="s">
        <v>363</v>
      </c>
      <c r="Q22" s="387" t="s">
        <v>363</v>
      </c>
      <c r="R22" s="387"/>
      <c r="S22" s="387"/>
      <c r="T22" s="387"/>
      <c r="U22" s="387"/>
      <c r="V22" s="387"/>
      <c r="W22" s="387"/>
      <c r="X22" s="387"/>
      <c r="Y22" s="387"/>
      <c r="Z22" s="277" t="s">
        <v>363</v>
      </c>
    </row>
    <row r="23" spans="1:26" x14ac:dyDescent="0.25">
      <c r="A23" s="396" t="s">
        <v>410</v>
      </c>
      <c r="B23" s="262">
        <v>1</v>
      </c>
      <c r="C23" s="262">
        <v>1</v>
      </c>
      <c r="D23" s="262">
        <v>1</v>
      </c>
      <c r="E23" s="262">
        <v>1</v>
      </c>
      <c r="F23" s="262">
        <v>1</v>
      </c>
      <c r="G23" s="262">
        <v>1</v>
      </c>
      <c r="H23" s="262">
        <v>1</v>
      </c>
      <c r="I23" s="459">
        <v>1</v>
      </c>
      <c r="J23" s="262">
        <v>1</v>
      </c>
      <c r="K23" s="262">
        <v>1</v>
      </c>
      <c r="L23" s="265">
        <v>1</v>
      </c>
      <c r="M23" s="262">
        <v>1</v>
      </c>
      <c r="N23" s="342">
        <f t="shared" si="0"/>
        <v>1</v>
      </c>
      <c r="O23" s="386" t="s">
        <v>471</v>
      </c>
      <c r="P23" s="387"/>
      <c r="Q23" s="387" t="s">
        <v>363</v>
      </c>
      <c r="R23" s="387"/>
      <c r="S23" s="387"/>
      <c r="T23" s="387"/>
      <c r="U23" s="387"/>
      <c r="V23" s="387"/>
      <c r="W23" s="387"/>
      <c r="X23" s="387"/>
      <c r="Y23" s="387"/>
      <c r="Z23" s="387" t="s">
        <v>363</v>
      </c>
    </row>
    <row r="24" spans="1:26" x14ac:dyDescent="0.25">
      <c r="A24" s="396" t="s">
        <v>411</v>
      </c>
      <c r="B24" s="262">
        <v>1</v>
      </c>
      <c r="C24" s="262">
        <v>1</v>
      </c>
      <c r="D24" s="262">
        <v>1</v>
      </c>
      <c r="E24" s="262">
        <v>1</v>
      </c>
      <c r="F24" s="262">
        <v>1</v>
      </c>
      <c r="G24" s="262">
        <v>1</v>
      </c>
      <c r="H24" s="262">
        <v>1</v>
      </c>
      <c r="I24" s="459">
        <v>1</v>
      </c>
      <c r="J24" s="262">
        <v>1</v>
      </c>
      <c r="K24" s="262">
        <v>1</v>
      </c>
      <c r="L24" s="265">
        <v>1</v>
      </c>
      <c r="M24" s="262">
        <v>1</v>
      </c>
      <c r="N24" s="342">
        <f t="shared" si="0"/>
        <v>1</v>
      </c>
      <c r="O24" s="386" t="s">
        <v>471</v>
      </c>
      <c r="P24" s="387"/>
      <c r="Q24" s="387" t="s">
        <v>363</v>
      </c>
      <c r="R24" s="387"/>
      <c r="S24" s="387"/>
      <c r="T24" s="387"/>
      <c r="U24" s="387"/>
      <c r="V24" s="387"/>
      <c r="W24" s="387"/>
      <c r="X24" s="387"/>
      <c r="Y24" s="387"/>
      <c r="Z24" s="387" t="s">
        <v>363</v>
      </c>
    </row>
    <row r="25" spans="1:26" x14ac:dyDescent="0.25">
      <c r="A25" s="396" t="s">
        <v>412</v>
      </c>
      <c r="B25" s="262">
        <v>1</v>
      </c>
      <c r="C25" s="262">
        <v>1</v>
      </c>
      <c r="D25" s="262">
        <v>1</v>
      </c>
      <c r="E25" s="262">
        <v>1</v>
      </c>
      <c r="F25" s="262">
        <v>1</v>
      </c>
      <c r="G25" s="262">
        <v>1</v>
      </c>
      <c r="H25" s="262">
        <v>1</v>
      </c>
      <c r="I25" s="459">
        <v>1</v>
      </c>
      <c r="J25" s="262">
        <v>1</v>
      </c>
      <c r="K25" s="262">
        <v>1</v>
      </c>
      <c r="L25" s="265">
        <v>1</v>
      </c>
      <c r="M25" s="262">
        <v>1</v>
      </c>
      <c r="N25" s="342">
        <f t="shared" si="0"/>
        <v>1</v>
      </c>
      <c r="O25" s="386" t="s">
        <v>471</v>
      </c>
      <c r="P25" s="387"/>
      <c r="Q25" s="387" t="s">
        <v>363</v>
      </c>
      <c r="R25" s="387"/>
      <c r="S25" s="387"/>
      <c r="T25" s="387"/>
      <c r="U25" s="387"/>
      <c r="V25" s="387"/>
      <c r="W25" s="387"/>
      <c r="X25" s="387"/>
      <c r="Y25" s="387"/>
      <c r="Z25" s="387" t="s">
        <v>363</v>
      </c>
    </row>
    <row r="26" spans="1:26" x14ac:dyDescent="0.25">
      <c r="A26" s="396" t="s">
        <v>413</v>
      </c>
      <c r="B26" s="262">
        <v>1</v>
      </c>
      <c r="C26" s="262">
        <v>1</v>
      </c>
      <c r="D26" s="262">
        <v>1</v>
      </c>
      <c r="E26" s="262">
        <v>1</v>
      </c>
      <c r="F26" s="262">
        <v>1</v>
      </c>
      <c r="G26" s="262">
        <v>1</v>
      </c>
      <c r="H26" s="262">
        <v>1</v>
      </c>
      <c r="I26" s="459">
        <v>1</v>
      </c>
      <c r="J26" s="262">
        <v>1</v>
      </c>
      <c r="K26" s="262">
        <v>1</v>
      </c>
      <c r="L26" s="265">
        <v>1</v>
      </c>
      <c r="M26" s="262">
        <v>1</v>
      </c>
      <c r="N26" s="342">
        <f t="shared" si="0"/>
        <v>1</v>
      </c>
      <c r="O26" s="386" t="s">
        <v>471</v>
      </c>
      <c r="P26" s="387"/>
      <c r="Q26" s="387" t="s">
        <v>363</v>
      </c>
      <c r="R26" s="387"/>
      <c r="S26" s="387"/>
      <c r="T26" s="387"/>
      <c r="U26" s="387"/>
      <c r="V26" s="387"/>
      <c r="W26" s="387"/>
      <c r="X26" s="387"/>
      <c r="Y26" s="387"/>
      <c r="Z26" s="387" t="s">
        <v>363</v>
      </c>
    </row>
    <row r="27" spans="1:26" x14ac:dyDescent="0.25">
      <c r="A27" s="396" t="s">
        <v>418</v>
      </c>
      <c r="B27" s="262">
        <v>1</v>
      </c>
      <c r="C27" s="262">
        <v>1</v>
      </c>
      <c r="D27" s="262">
        <v>1</v>
      </c>
      <c r="E27" s="262">
        <v>1</v>
      </c>
      <c r="F27" s="262">
        <v>1</v>
      </c>
      <c r="G27" s="262">
        <v>1</v>
      </c>
      <c r="H27" s="262">
        <v>1</v>
      </c>
      <c r="I27" s="459">
        <v>1</v>
      </c>
      <c r="J27" s="262">
        <v>1</v>
      </c>
      <c r="K27" s="262">
        <v>1</v>
      </c>
      <c r="L27" s="265">
        <v>1</v>
      </c>
      <c r="M27" s="262">
        <v>1</v>
      </c>
      <c r="N27" s="342">
        <f t="shared" si="0"/>
        <v>1</v>
      </c>
      <c r="O27" s="386" t="s">
        <v>471</v>
      </c>
      <c r="P27" s="387"/>
      <c r="Q27" s="387" t="s">
        <v>363</v>
      </c>
      <c r="R27" s="387"/>
      <c r="S27" s="387"/>
      <c r="T27" s="387"/>
      <c r="U27" s="387"/>
      <c r="V27" s="387"/>
      <c r="W27" s="387"/>
      <c r="X27" s="387"/>
      <c r="Y27" s="387"/>
      <c r="Z27" s="387" t="s">
        <v>363</v>
      </c>
    </row>
    <row r="28" spans="1:26" x14ac:dyDescent="0.25">
      <c r="A28" s="396" t="s">
        <v>419</v>
      </c>
      <c r="B28" s="262">
        <v>1</v>
      </c>
      <c r="C28" s="262">
        <v>1</v>
      </c>
      <c r="D28" s="262">
        <v>1</v>
      </c>
      <c r="E28" s="262">
        <v>1</v>
      </c>
      <c r="F28" s="262">
        <v>1</v>
      </c>
      <c r="G28" s="262">
        <v>1</v>
      </c>
      <c r="H28" s="262">
        <v>1</v>
      </c>
      <c r="I28" s="459">
        <v>1</v>
      </c>
      <c r="J28" s="262">
        <v>1</v>
      </c>
      <c r="K28" s="262">
        <v>1</v>
      </c>
      <c r="L28" s="265">
        <v>1</v>
      </c>
      <c r="M28" s="262">
        <v>1</v>
      </c>
      <c r="N28" s="342">
        <f t="shared" si="0"/>
        <v>1</v>
      </c>
      <c r="O28" s="386" t="s">
        <v>471</v>
      </c>
      <c r="P28" s="387"/>
      <c r="Q28" s="387" t="s">
        <v>363</v>
      </c>
      <c r="R28" s="387"/>
      <c r="S28" s="387"/>
      <c r="T28" s="387"/>
      <c r="U28" s="387"/>
      <c r="V28" s="387"/>
      <c r="W28" s="387"/>
      <c r="X28" s="387"/>
      <c r="Y28" s="387"/>
      <c r="Z28" s="387" t="s">
        <v>363</v>
      </c>
    </row>
    <row r="29" spans="1:26" x14ac:dyDescent="0.25">
      <c r="A29" s="396" t="s">
        <v>420</v>
      </c>
      <c r="B29" s="262">
        <v>1</v>
      </c>
      <c r="C29" s="262">
        <v>1</v>
      </c>
      <c r="D29" s="262">
        <v>1</v>
      </c>
      <c r="E29" s="262">
        <v>1</v>
      </c>
      <c r="F29" s="262">
        <v>1</v>
      </c>
      <c r="G29" s="262">
        <v>1</v>
      </c>
      <c r="H29" s="262">
        <v>1</v>
      </c>
      <c r="I29" s="459">
        <v>1</v>
      </c>
      <c r="J29" s="262">
        <v>1</v>
      </c>
      <c r="K29" s="262">
        <v>1</v>
      </c>
      <c r="L29" s="265">
        <v>1</v>
      </c>
      <c r="M29" s="262">
        <v>1.25</v>
      </c>
      <c r="N29" s="342">
        <f t="shared" si="0"/>
        <v>0.8</v>
      </c>
      <c r="O29" s="386" t="s">
        <v>471</v>
      </c>
      <c r="P29" s="387"/>
      <c r="Q29" s="387" t="s">
        <v>363</v>
      </c>
      <c r="R29" s="387" t="s">
        <v>363</v>
      </c>
      <c r="S29" s="387"/>
      <c r="T29" s="387"/>
      <c r="U29" s="387"/>
      <c r="V29" s="387"/>
      <c r="W29" s="387"/>
      <c r="X29" s="387"/>
      <c r="Y29" s="387"/>
      <c r="Z29" s="387" t="s">
        <v>363</v>
      </c>
    </row>
    <row r="30" spans="1:26" x14ac:dyDescent="0.25">
      <c r="A30" s="397" t="s">
        <v>421</v>
      </c>
      <c r="B30" s="266">
        <v>1</v>
      </c>
      <c r="C30" s="266">
        <v>1</v>
      </c>
      <c r="D30" s="266">
        <v>1</v>
      </c>
      <c r="E30" s="266">
        <v>1</v>
      </c>
      <c r="F30" s="266">
        <v>1</v>
      </c>
      <c r="G30" s="266">
        <v>1</v>
      </c>
      <c r="H30" s="266">
        <v>1</v>
      </c>
      <c r="I30" s="460">
        <v>1</v>
      </c>
      <c r="J30" s="266">
        <v>1</v>
      </c>
      <c r="K30" s="266">
        <v>1</v>
      </c>
      <c r="L30" s="267">
        <v>1</v>
      </c>
      <c r="M30" s="266">
        <v>0.75</v>
      </c>
      <c r="N30" s="342">
        <f t="shared" si="0"/>
        <v>1.3333333333333333</v>
      </c>
      <c r="O30" s="386" t="s">
        <v>471</v>
      </c>
      <c r="P30" s="387"/>
      <c r="Q30" s="387" t="s">
        <v>363</v>
      </c>
      <c r="R30" s="387" t="s">
        <v>363</v>
      </c>
      <c r="S30" s="387"/>
      <c r="T30" s="387"/>
      <c r="U30" s="387"/>
      <c r="V30" s="387"/>
      <c r="W30" s="387"/>
      <c r="X30" s="387"/>
      <c r="Y30" s="387"/>
      <c r="Z30" s="387" t="s">
        <v>363</v>
      </c>
    </row>
    <row r="31" spans="1:26" x14ac:dyDescent="0.25">
      <c r="A31" s="396"/>
      <c r="B31" s="381"/>
      <c r="C31" s="381"/>
      <c r="D31" s="381"/>
      <c r="E31" s="381"/>
      <c r="F31" s="381"/>
      <c r="G31" s="381"/>
      <c r="H31" s="381"/>
      <c r="I31" s="462"/>
      <c r="J31" s="381"/>
      <c r="K31" s="381"/>
      <c r="L31" s="381"/>
      <c r="M31" s="381"/>
      <c r="N31" s="342" t="e">
        <f t="shared" si="0"/>
        <v>#DIV/0!</v>
      </c>
      <c r="O31" s="386"/>
    </row>
    <row r="32" spans="1:26" x14ac:dyDescent="0.25">
      <c r="A32" s="398" t="s">
        <v>339</v>
      </c>
      <c r="B32" s="382"/>
      <c r="C32" s="382"/>
      <c r="D32" s="382"/>
      <c r="E32" s="382"/>
      <c r="F32" s="382"/>
      <c r="G32" s="382"/>
      <c r="H32" s="382"/>
      <c r="I32" s="463"/>
      <c r="J32" s="382"/>
      <c r="K32" s="382"/>
      <c r="L32" s="382"/>
      <c r="M32" s="382"/>
      <c r="N32" s="342" t="e">
        <f t="shared" si="0"/>
        <v>#DIV/0!</v>
      </c>
      <c r="O32" s="386"/>
    </row>
    <row r="33" spans="1:26" x14ac:dyDescent="0.25">
      <c r="A33" s="395" t="s">
        <v>389</v>
      </c>
      <c r="B33" s="263">
        <v>1</v>
      </c>
      <c r="C33" s="263">
        <v>1</v>
      </c>
      <c r="D33" s="263">
        <v>1</v>
      </c>
      <c r="E33" s="263">
        <v>1.4666666666666668</v>
      </c>
      <c r="F33" s="263">
        <v>1.5999999999999999</v>
      </c>
      <c r="G33" s="263">
        <v>1.7333333333333334</v>
      </c>
      <c r="H33" s="263">
        <v>1.8666666666666665</v>
      </c>
      <c r="I33" s="461">
        <v>2</v>
      </c>
      <c r="J33" s="263">
        <v>2.1333333333333333</v>
      </c>
      <c r="K33" s="263">
        <v>2.2666666666666666</v>
      </c>
      <c r="L33" s="264">
        <v>2.4</v>
      </c>
      <c r="M33" s="263">
        <v>1.5</v>
      </c>
      <c r="N33" s="342">
        <f t="shared" si="0"/>
        <v>1.3333333333333333</v>
      </c>
      <c r="O33" s="386"/>
      <c r="P33" s="387"/>
      <c r="Q33" s="387"/>
      <c r="R33" s="387"/>
      <c r="S33" s="387"/>
      <c r="T33" s="387"/>
      <c r="U33" s="387"/>
      <c r="V33" s="387"/>
      <c r="W33" s="387"/>
      <c r="X33" s="387"/>
      <c r="Y33" s="387" t="s">
        <v>371</v>
      </c>
      <c r="Z33" s="277" t="s">
        <v>371</v>
      </c>
    </row>
    <row r="34" spans="1:26" x14ac:dyDescent="0.25">
      <c r="A34" s="396" t="s">
        <v>402</v>
      </c>
      <c r="B34" s="262">
        <v>1</v>
      </c>
      <c r="C34" s="262">
        <v>1</v>
      </c>
      <c r="D34" s="262">
        <v>1</v>
      </c>
      <c r="E34" s="262">
        <v>1.1000000000000001</v>
      </c>
      <c r="F34" s="262">
        <v>1.2</v>
      </c>
      <c r="G34" s="262">
        <v>1.3</v>
      </c>
      <c r="H34" s="262">
        <v>1.4</v>
      </c>
      <c r="I34" s="459">
        <v>1.5</v>
      </c>
      <c r="J34" s="262">
        <v>1.6</v>
      </c>
      <c r="K34" s="262">
        <v>1.7</v>
      </c>
      <c r="L34" s="265">
        <v>1.8</v>
      </c>
      <c r="M34" s="262">
        <v>1.5</v>
      </c>
      <c r="N34" s="342">
        <f t="shared" si="0"/>
        <v>1</v>
      </c>
      <c r="O34" s="388" t="s">
        <v>468</v>
      </c>
      <c r="P34" s="387"/>
      <c r="Q34" s="387"/>
      <c r="R34" s="387" t="s">
        <v>371</v>
      </c>
      <c r="S34" s="387"/>
      <c r="T34" s="387"/>
      <c r="U34" s="387"/>
      <c r="V34" s="387"/>
      <c r="W34" s="387" t="s">
        <v>371</v>
      </c>
      <c r="X34" s="387" t="s">
        <v>363</v>
      </c>
      <c r="Y34" s="387"/>
      <c r="Z34" s="387" t="s">
        <v>363</v>
      </c>
    </row>
    <row r="35" spans="1:26" x14ac:dyDescent="0.25">
      <c r="A35" s="396" t="s">
        <v>403</v>
      </c>
      <c r="B35" s="262">
        <v>1</v>
      </c>
      <c r="C35" s="262">
        <v>1</v>
      </c>
      <c r="D35" s="262">
        <v>1</v>
      </c>
      <c r="E35" s="262">
        <v>1.1000000000000001</v>
      </c>
      <c r="F35" s="262">
        <v>1.2</v>
      </c>
      <c r="G35" s="262">
        <v>1.3</v>
      </c>
      <c r="H35" s="262">
        <v>1.4</v>
      </c>
      <c r="I35" s="459">
        <v>1.5</v>
      </c>
      <c r="J35" s="262">
        <v>1.6</v>
      </c>
      <c r="K35" s="262">
        <v>1.7</v>
      </c>
      <c r="L35" s="265">
        <v>1.8</v>
      </c>
      <c r="M35" s="262">
        <v>1.5</v>
      </c>
      <c r="N35" s="342">
        <f t="shared" si="0"/>
        <v>1</v>
      </c>
      <c r="O35" s="388" t="s">
        <v>469</v>
      </c>
      <c r="P35" s="387"/>
      <c r="Q35" s="387"/>
      <c r="R35" s="387" t="s">
        <v>371</v>
      </c>
      <c r="S35" s="387"/>
      <c r="T35" s="387"/>
      <c r="U35" s="387"/>
      <c r="V35" s="387"/>
      <c r="W35" s="387" t="s">
        <v>371</v>
      </c>
      <c r="X35" s="387" t="s">
        <v>363</v>
      </c>
      <c r="Y35" s="387"/>
      <c r="Z35" s="387" t="s">
        <v>363</v>
      </c>
    </row>
    <row r="36" spans="1:26" x14ac:dyDescent="0.25">
      <c r="A36" s="396" t="s">
        <v>404</v>
      </c>
      <c r="B36" s="262">
        <v>0.95</v>
      </c>
      <c r="C36" s="262">
        <v>0.96</v>
      </c>
      <c r="D36" s="262">
        <v>0.96</v>
      </c>
      <c r="E36" s="262">
        <v>0.93099999999999994</v>
      </c>
      <c r="F36" s="262">
        <v>0.9</v>
      </c>
      <c r="G36" s="262">
        <v>0.85</v>
      </c>
      <c r="H36" s="262">
        <v>0.8</v>
      </c>
      <c r="I36" s="459">
        <v>0.75</v>
      </c>
      <c r="J36" s="262">
        <v>0.75</v>
      </c>
      <c r="K36" s="262">
        <v>0.75</v>
      </c>
      <c r="L36" s="265">
        <v>0.75</v>
      </c>
      <c r="M36" s="262">
        <v>0.8</v>
      </c>
      <c r="N36" s="342">
        <f t="shared" si="0"/>
        <v>0.9375</v>
      </c>
      <c r="O36" s="386" t="s">
        <v>470</v>
      </c>
      <c r="P36" s="387"/>
      <c r="Q36" s="387"/>
      <c r="R36" s="387"/>
      <c r="S36" s="387" t="s">
        <v>371</v>
      </c>
      <c r="T36" s="387"/>
      <c r="U36" s="387"/>
      <c r="V36" s="387"/>
      <c r="W36" s="387"/>
      <c r="X36" s="387" t="s">
        <v>362</v>
      </c>
      <c r="Y36" s="387"/>
      <c r="Z36" s="277" t="s">
        <v>362</v>
      </c>
    </row>
    <row r="37" spans="1:26" x14ac:dyDescent="0.25">
      <c r="A37" s="396" t="s">
        <v>405</v>
      </c>
      <c r="B37" s="262">
        <v>1</v>
      </c>
      <c r="C37" s="262">
        <v>1</v>
      </c>
      <c r="D37" s="262">
        <v>1</v>
      </c>
      <c r="E37" s="262">
        <v>0.95</v>
      </c>
      <c r="F37" s="262">
        <v>0.95</v>
      </c>
      <c r="G37" s="262">
        <v>0.95</v>
      </c>
      <c r="H37" s="262">
        <v>0.9</v>
      </c>
      <c r="I37" s="459">
        <v>0.89999999999999991</v>
      </c>
      <c r="J37" s="262">
        <v>0.84</v>
      </c>
      <c r="K37" s="262">
        <v>0.78</v>
      </c>
      <c r="L37" s="265">
        <v>0.72</v>
      </c>
      <c r="M37" s="262">
        <v>0.75</v>
      </c>
      <c r="N37" s="342">
        <f t="shared" si="0"/>
        <v>1.2</v>
      </c>
      <c r="O37" s="386"/>
      <c r="P37" s="387"/>
      <c r="Q37" s="387"/>
      <c r="R37" s="387"/>
      <c r="S37" s="387"/>
      <c r="T37" s="387"/>
      <c r="U37" s="387"/>
      <c r="V37" s="387"/>
      <c r="W37" s="387" t="s">
        <v>371</v>
      </c>
      <c r="X37" s="387"/>
      <c r="Y37" s="387"/>
      <c r="Z37" s="277" t="s">
        <v>371</v>
      </c>
    </row>
    <row r="38" spans="1:26" x14ac:dyDescent="0.25">
      <c r="A38" s="396" t="s">
        <v>407</v>
      </c>
      <c r="B38" s="262">
        <v>1</v>
      </c>
      <c r="C38" s="262">
        <v>1</v>
      </c>
      <c r="D38" s="262">
        <v>1</v>
      </c>
      <c r="E38" s="262">
        <v>0.95</v>
      </c>
      <c r="F38" s="262">
        <v>0.9</v>
      </c>
      <c r="G38" s="262">
        <v>0.85</v>
      </c>
      <c r="H38" s="262">
        <v>0.8</v>
      </c>
      <c r="I38" s="459">
        <v>0.75</v>
      </c>
      <c r="J38" s="262">
        <v>0.75</v>
      </c>
      <c r="K38" s="262">
        <v>0.7</v>
      </c>
      <c r="L38" s="265">
        <v>0.7</v>
      </c>
      <c r="M38" s="262">
        <v>1.5</v>
      </c>
      <c r="N38" s="342">
        <f t="shared" si="0"/>
        <v>0.5</v>
      </c>
      <c r="O38" s="386"/>
      <c r="P38" s="387"/>
      <c r="Q38" s="387"/>
      <c r="R38" s="387" t="s">
        <v>371</v>
      </c>
      <c r="S38" s="387"/>
      <c r="T38" s="387"/>
      <c r="U38" s="387"/>
      <c r="V38" s="387"/>
      <c r="W38" s="387" t="s">
        <v>371</v>
      </c>
      <c r="X38" s="387"/>
      <c r="Y38" s="387"/>
      <c r="Z38" s="277" t="s">
        <v>371</v>
      </c>
    </row>
    <row r="39" spans="1:26" x14ac:dyDescent="0.25">
      <c r="A39" s="396" t="s">
        <v>406</v>
      </c>
      <c r="B39" s="262">
        <v>1</v>
      </c>
      <c r="C39" s="262">
        <v>1</v>
      </c>
      <c r="D39" s="262">
        <v>1</v>
      </c>
      <c r="E39" s="262">
        <v>1.05</v>
      </c>
      <c r="F39" s="262">
        <v>1.1000000000000001</v>
      </c>
      <c r="G39" s="262">
        <v>1.1499999999999999</v>
      </c>
      <c r="H39" s="262">
        <v>1.2</v>
      </c>
      <c r="I39" s="459">
        <v>1.25</v>
      </c>
      <c r="J39" s="262">
        <v>1.25</v>
      </c>
      <c r="K39" s="262">
        <v>1.25</v>
      </c>
      <c r="L39" s="265">
        <v>1.25</v>
      </c>
      <c r="M39" s="262">
        <v>1</v>
      </c>
      <c r="N39" s="342">
        <f t="shared" si="0"/>
        <v>1.25</v>
      </c>
      <c r="O39" s="386"/>
      <c r="P39" s="387"/>
      <c r="Q39" s="387"/>
      <c r="R39" s="387" t="s">
        <v>371</v>
      </c>
      <c r="S39" s="387"/>
      <c r="T39" s="387"/>
      <c r="U39" s="387"/>
      <c r="V39" s="387"/>
      <c r="W39" s="387" t="s">
        <v>371</v>
      </c>
      <c r="X39" s="387"/>
      <c r="Y39" s="387"/>
      <c r="Z39" s="277" t="s">
        <v>371</v>
      </c>
    </row>
    <row r="40" spans="1:26" x14ac:dyDescent="0.25">
      <c r="A40" s="396" t="s">
        <v>408</v>
      </c>
      <c r="B40" s="262">
        <v>1</v>
      </c>
      <c r="C40" s="262">
        <v>1</v>
      </c>
      <c r="D40" s="262">
        <v>1</v>
      </c>
      <c r="E40" s="262">
        <v>1.1000000000000001</v>
      </c>
      <c r="F40" s="262">
        <v>1.2</v>
      </c>
      <c r="G40" s="262">
        <v>1.3</v>
      </c>
      <c r="H40" s="262">
        <v>1.4</v>
      </c>
      <c r="I40" s="459">
        <v>1.5</v>
      </c>
      <c r="J40" s="262">
        <v>1.6</v>
      </c>
      <c r="K40" s="262">
        <v>1.7</v>
      </c>
      <c r="L40" s="265">
        <v>1.8</v>
      </c>
      <c r="M40" s="262">
        <v>1.5</v>
      </c>
      <c r="N40" s="342">
        <f t="shared" si="0"/>
        <v>1</v>
      </c>
      <c r="O40" s="386"/>
      <c r="P40" s="387"/>
      <c r="Q40" s="387"/>
      <c r="R40" s="387" t="s">
        <v>371</v>
      </c>
      <c r="S40" s="387"/>
      <c r="T40" s="387"/>
      <c r="U40" s="387"/>
      <c r="V40" s="387"/>
      <c r="W40" s="387" t="s">
        <v>371</v>
      </c>
      <c r="X40" s="387"/>
      <c r="Y40" s="387"/>
      <c r="Z40" s="277" t="s">
        <v>371</v>
      </c>
    </row>
    <row r="41" spans="1:26" x14ac:dyDescent="0.25">
      <c r="A41" s="397" t="s">
        <v>409</v>
      </c>
      <c r="B41" s="262">
        <v>1</v>
      </c>
      <c r="C41" s="262">
        <v>1</v>
      </c>
      <c r="D41" s="262">
        <v>1</v>
      </c>
      <c r="E41" s="262">
        <v>0.95</v>
      </c>
      <c r="F41" s="262">
        <v>0.9</v>
      </c>
      <c r="G41" s="262">
        <v>0.85</v>
      </c>
      <c r="H41" s="262">
        <v>0.8</v>
      </c>
      <c r="I41" s="459">
        <v>0.75</v>
      </c>
      <c r="J41" s="262">
        <v>0.75</v>
      </c>
      <c r="K41" s="262">
        <v>0.75</v>
      </c>
      <c r="L41" s="265">
        <v>0.75</v>
      </c>
      <c r="M41" s="266">
        <v>1</v>
      </c>
      <c r="N41" s="342">
        <f t="shared" si="0"/>
        <v>0.75</v>
      </c>
      <c r="O41" s="386"/>
      <c r="P41" s="387"/>
      <c r="Q41" s="387"/>
      <c r="R41" s="387" t="s">
        <v>371</v>
      </c>
      <c r="S41" s="387"/>
      <c r="T41" s="387"/>
      <c r="U41" s="387"/>
      <c r="V41" s="387"/>
      <c r="W41" s="387"/>
      <c r="X41" s="387"/>
      <c r="Y41" s="387"/>
      <c r="Z41" s="277" t="s">
        <v>371</v>
      </c>
    </row>
    <row r="42" spans="1:26" x14ac:dyDescent="0.25">
      <c r="A42" s="396"/>
      <c r="B42" s="381"/>
      <c r="C42" s="381"/>
      <c r="D42" s="381"/>
      <c r="E42" s="381"/>
      <c r="F42" s="381"/>
      <c r="G42" s="381"/>
      <c r="H42" s="381"/>
      <c r="I42" s="462"/>
      <c r="J42" s="381"/>
      <c r="K42" s="381"/>
      <c r="L42" s="381"/>
      <c r="M42" s="381"/>
      <c r="N42" s="342" t="e">
        <f t="shared" si="0"/>
        <v>#DIV/0!</v>
      </c>
      <c r="O42" s="386"/>
      <c r="P42" s="387"/>
      <c r="Q42" s="387"/>
      <c r="R42" s="387"/>
      <c r="S42" s="387"/>
      <c r="T42" s="387"/>
      <c r="U42" s="387"/>
      <c r="V42" s="387"/>
      <c r="W42" s="387"/>
      <c r="X42" s="387"/>
      <c r="Y42" s="387"/>
    </row>
    <row r="43" spans="1:26" x14ac:dyDescent="0.25">
      <c r="A43" s="398" t="s">
        <v>338</v>
      </c>
      <c r="B43" s="382"/>
      <c r="C43" s="382"/>
      <c r="D43" s="382"/>
      <c r="E43" s="382"/>
      <c r="F43" s="382"/>
      <c r="G43" s="382"/>
      <c r="H43" s="382"/>
      <c r="I43" s="463"/>
      <c r="J43" s="382"/>
      <c r="K43" s="382"/>
      <c r="L43" s="382"/>
      <c r="M43" s="382"/>
      <c r="N43" s="342" t="e">
        <f t="shared" si="0"/>
        <v>#DIV/0!</v>
      </c>
      <c r="O43" s="386"/>
      <c r="P43" s="387"/>
      <c r="Q43" s="387"/>
      <c r="R43" s="387"/>
      <c r="S43" s="387"/>
      <c r="T43" s="387"/>
      <c r="U43" s="387"/>
      <c r="V43" s="387"/>
      <c r="W43" s="387"/>
      <c r="X43" s="387"/>
      <c r="Y43" s="387"/>
    </row>
    <row r="44" spans="1:26" x14ac:dyDescent="0.25">
      <c r="A44" s="395" t="s">
        <v>393</v>
      </c>
      <c r="B44" s="263">
        <v>1</v>
      </c>
      <c r="C44" s="263">
        <v>1</v>
      </c>
      <c r="D44" s="263">
        <v>1</v>
      </c>
      <c r="E44" s="263">
        <v>0.95</v>
      </c>
      <c r="F44" s="263">
        <v>0.95</v>
      </c>
      <c r="G44" s="263">
        <v>0.9</v>
      </c>
      <c r="H44" s="263">
        <v>0.9</v>
      </c>
      <c r="I44" s="461">
        <v>0.89999999999999991</v>
      </c>
      <c r="J44" s="263">
        <v>0.84</v>
      </c>
      <c r="K44" s="263">
        <v>0.78</v>
      </c>
      <c r="L44" s="264">
        <v>0.72</v>
      </c>
      <c r="M44" s="263">
        <v>0.75</v>
      </c>
      <c r="N44" s="342">
        <f t="shared" si="0"/>
        <v>1.2</v>
      </c>
      <c r="O44" s="386" t="s">
        <v>464</v>
      </c>
      <c r="P44" s="387"/>
      <c r="Q44" s="387"/>
      <c r="R44" s="387"/>
      <c r="S44" s="387"/>
      <c r="T44" s="387"/>
      <c r="U44" s="387"/>
      <c r="V44" s="387"/>
      <c r="W44" s="387"/>
      <c r="X44" s="387" t="s">
        <v>362</v>
      </c>
      <c r="Y44" s="387"/>
      <c r="Z44" s="277" t="s">
        <v>362</v>
      </c>
    </row>
    <row r="45" spans="1:26" x14ac:dyDescent="0.25">
      <c r="A45" s="397" t="s">
        <v>394</v>
      </c>
      <c r="B45" s="266">
        <v>1</v>
      </c>
      <c r="C45" s="266">
        <v>1</v>
      </c>
      <c r="D45" s="266">
        <v>1</v>
      </c>
      <c r="E45" s="266">
        <v>1.05</v>
      </c>
      <c r="F45" s="266">
        <v>1.05</v>
      </c>
      <c r="G45" s="266">
        <v>1.1000000000000001</v>
      </c>
      <c r="H45" s="266">
        <v>1.1000000000000001</v>
      </c>
      <c r="I45" s="460">
        <v>1.1000000000000001</v>
      </c>
      <c r="J45" s="266">
        <v>1.1440000000000001</v>
      </c>
      <c r="K45" s="266">
        <v>1.1880000000000002</v>
      </c>
      <c r="L45" s="267">
        <v>1.232</v>
      </c>
      <c r="M45" s="266">
        <v>1.25</v>
      </c>
      <c r="N45" s="342">
        <f t="shared" si="0"/>
        <v>0.88000000000000012</v>
      </c>
      <c r="O45" s="386" t="s">
        <v>464</v>
      </c>
      <c r="P45" s="387"/>
      <c r="Q45" s="387"/>
      <c r="R45" s="387"/>
      <c r="S45" s="387"/>
      <c r="T45" s="387"/>
      <c r="U45" s="387"/>
      <c r="V45" s="387"/>
      <c r="W45" s="387"/>
      <c r="X45" s="387" t="s">
        <v>363</v>
      </c>
      <c r="Y45" s="387"/>
      <c r="Z45" s="277" t="s">
        <v>363</v>
      </c>
    </row>
    <row r="46" spans="1:26" x14ac:dyDescent="0.25">
      <c r="A46" s="397" t="s">
        <v>395</v>
      </c>
      <c r="B46" s="266">
        <v>1</v>
      </c>
      <c r="C46" s="266">
        <v>1</v>
      </c>
      <c r="D46" s="266">
        <v>1</v>
      </c>
      <c r="E46" s="266">
        <v>1</v>
      </c>
      <c r="F46" s="266">
        <v>1</v>
      </c>
      <c r="G46" s="266">
        <v>1</v>
      </c>
      <c r="H46" s="266">
        <v>1</v>
      </c>
      <c r="I46" s="460">
        <v>1</v>
      </c>
      <c r="J46" s="266">
        <v>1</v>
      </c>
      <c r="K46" s="266">
        <v>1</v>
      </c>
      <c r="L46" s="267">
        <v>1</v>
      </c>
      <c r="M46" s="266">
        <v>0.75</v>
      </c>
      <c r="N46" s="342">
        <f t="shared" si="0"/>
        <v>1.3333333333333333</v>
      </c>
      <c r="O46" s="386" t="s">
        <v>465</v>
      </c>
      <c r="P46" s="387"/>
      <c r="Q46" s="387"/>
      <c r="R46" s="387"/>
      <c r="S46" s="387"/>
      <c r="T46" s="387"/>
      <c r="U46" s="387"/>
      <c r="V46" s="387" t="s">
        <v>362</v>
      </c>
      <c r="W46" s="387"/>
      <c r="X46" s="387"/>
      <c r="Y46" s="387"/>
      <c r="Z46" s="277" t="s">
        <v>362</v>
      </c>
    </row>
    <row r="47" spans="1:26" x14ac:dyDescent="0.25">
      <c r="B47" s="257"/>
      <c r="C47" s="257"/>
      <c r="D47" s="257"/>
      <c r="E47" s="257"/>
      <c r="F47" s="257"/>
      <c r="G47" s="257"/>
      <c r="H47" s="257"/>
      <c r="I47" s="344"/>
      <c r="J47" s="257"/>
      <c r="K47" s="257"/>
      <c r="L47" s="257"/>
      <c r="M47" s="257"/>
      <c r="N47" s="342" t="e">
        <f t="shared" si="0"/>
        <v>#DIV/0!</v>
      </c>
      <c r="O47" s="386"/>
    </row>
    <row r="48" spans="1:26" x14ac:dyDescent="0.25">
      <c r="A48" s="398" t="s">
        <v>340</v>
      </c>
      <c r="B48" s="330"/>
      <c r="C48" s="330"/>
      <c r="D48" s="330"/>
      <c r="E48" s="330"/>
      <c r="F48" s="330"/>
      <c r="G48" s="330"/>
      <c r="H48" s="330"/>
      <c r="I48" s="334"/>
      <c r="J48" s="330"/>
      <c r="K48" s="330"/>
      <c r="L48" s="330"/>
      <c r="M48" s="330"/>
      <c r="N48" s="342" t="e">
        <f t="shared" si="0"/>
        <v>#DIV/0!</v>
      </c>
      <c r="O48" s="386"/>
    </row>
    <row r="49" spans="1:26" x14ac:dyDescent="0.25">
      <c r="A49" s="395" t="s">
        <v>390</v>
      </c>
      <c r="B49" s="263">
        <v>1</v>
      </c>
      <c r="C49" s="263">
        <v>1</v>
      </c>
      <c r="D49" s="263">
        <v>1</v>
      </c>
      <c r="E49" s="263">
        <v>0.85</v>
      </c>
      <c r="F49" s="263">
        <v>0.9</v>
      </c>
      <c r="G49" s="263">
        <v>0.85</v>
      </c>
      <c r="H49" s="263">
        <v>0.8</v>
      </c>
      <c r="I49" s="461">
        <v>0.75</v>
      </c>
      <c r="J49" s="263">
        <v>0.75</v>
      </c>
      <c r="K49" s="263">
        <v>0.75</v>
      </c>
      <c r="L49" s="264">
        <v>0.75</v>
      </c>
      <c r="M49" s="263">
        <v>1</v>
      </c>
      <c r="N49" s="342">
        <f t="shared" si="0"/>
        <v>0.75</v>
      </c>
      <c r="O49" s="386"/>
      <c r="P49" s="387"/>
      <c r="Q49" s="387" t="s">
        <v>371</v>
      </c>
      <c r="R49" s="387" t="s">
        <v>371</v>
      </c>
      <c r="S49" s="387"/>
      <c r="T49" s="387"/>
      <c r="U49" s="387"/>
      <c r="V49" s="387"/>
      <c r="W49" s="387"/>
      <c r="X49" s="387"/>
      <c r="Y49" s="387"/>
      <c r="Z49" s="277" t="s">
        <v>371</v>
      </c>
    </row>
    <row r="50" spans="1:26" x14ac:dyDescent="0.25">
      <c r="A50" s="396" t="s">
        <v>392</v>
      </c>
      <c r="B50" s="262">
        <v>1</v>
      </c>
      <c r="C50" s="262">
        <v>1</v>
      </c>
      <c r="D50" s="262">
        <v>1</v>
      </c>
      <c r="E50" s="262">
        <v>1</v>
      </c>
      <c r="F50" s="262">
        <v>1</v>
      </c>
      <c r="G50" s="262">
        <v>1</v>
      </c>
      <c r="H50" s="262">
        <v>1</v>
      </c>
      <c r="I50" s="459">
        <v>1</v>
      </c>
      <c r="J50" s="262">
        <v>1</v>
      </c>
      <c r="K50" s="262">
        <v>1</v>
      </c>
      <c r="L50" s="265">
        <v>1</v>
      </c>
      <c r="M50" s="262">
        <v>1</v>
      </c>
      <c r="N50" s="342">
        <f t="shared" si="0"/>
        <v>1</v>
      </c>
      <c r="O50" s="386"/>
      <c r="P50" s="387"/>
      <c r="Q50" s="387"/>
      <c r="R50" s="387" t="s">
        <v>371</v>
      </c>
      <c r="S50" s="387"/>
      <c r="T50" s="387"/>
      <c r="U50" s="387"/>
      <c r="V50" s="387"/>
      <c r="W50" s="387"/>
      <c r="X50" s="387"/>
      <c r="Y50" s="387"/>
      <c r="Z50" s="277" t="s">
        <v>371</v>
      </c>
    </row>
    <row r="51" spans="1:26" x14ac:dyDescent="0.25">
      <c r="A51" s="397" t="s">
        <v>388</v>
      </c>
      <c r="B51" s="266">
        <v>1</v>
      </c>
      <c r="C51" s="266">
        <v>1</v>
      </c>
      <c r="D51" s="266">
        <v>1</v>
      </c>
      <c r="E51" s="266">
        <v>1.1000000000000001</v>
      </c>
      <c r="F51" s="266">
        <v>1.2</v>
      </c>
      <c r="G51" s="266">
        <v>1.3</v>
      </c>
      <c r="H51" s="266">
        <v>1.4</v>
      </c>
      <c r="I51" s="460">
        <v>1.5</v>
      </c>
      <c r="J51" s="266">
        <v>1.5</v>
      </c>
      <c r="K51" s="266">
        <v>1.5</v>
      </c>
      <c r="L51" s="267">
        <v>1.5</v>
      </c>
      <c r="M51" s="266">
        <v>0.75</v>
      </c>
      <c r="N51" s="342">
        <f t="shared" si="0"/>
        <v>2</v>
      </c>
      <c r="O51" s="386" t="s">
        <v>462</v>
      </c>
      <c r="P51" s="387"/>
      <c r="Q51" s="387"/>
      <c r="R51" s="387" t="s">
        <v>362</v>
      </c>
      <c r="S51" s="387"/>
      <c r="T51" s="387"/>
      <c r="U51" s="387"/>
      <c r="V51" s="387"/>
      <c r="W51" s="387"/>
      <c r="X51" s="387"/>
      <c r="Y51" s="387"/>
      <c r="Z51" s="277" t="s">
        <v>362</v>
      </c>
    </row>
    <row r="52" spans="1:26" x14ac:dyDescent="0.25">
      <c r="B52" s="257"/>
      <c r="C52" s="257"/>
      <c r="D52" s="257"/>
      <c r="E52" s="257"/>
      <c r="F52" s="257"/>
      <c r="G52" s="257"/>
      <c r="H52" s="257"/>
      <c r="I52" s="344"/>
      <c r="J52" s="257"/>
      <c r="K52" s="257"/>
      <c r="L52" s="257"/>
      <c r="M52" s="257"/>
      <c r="N52" s="342" t="e">
        <f t="shared" si="0"/>
        <v>#DIV/0!</v>
      </c>
      <c r="O52" s="386"/>
    </row>
    <row r="53" spans="1:26" x14ac:dyDescent="0.25">
      <c r="A53" s="398" t="s">
        <v>341</v>
      </c>
      <c r="B53" s="330"/>
      <c r="C53" s="330"/>
      <c r="D53" s="330"/>
      <c r="E53" s="330"/>
      <c r="F53" s="330"/>
      <c r="G53" s="330"/>
      <c r="H53" s="330"/>
      <c r="I53" s="334"/>
      <c r="J53" s="330"/>
      <c r="K53" s="330"/>
      <c r="L53" s="330"/>
      <c r="M53" s="330"/>
      <c r="N53" s="342" t="e">
        <f t="shared" si="0"/>
        <v>#DIV/0!</v>
      </c>
      <c r="O53" s="386"/>
    </row>
    <row r="54" spans="1:26" x14ac:dyDescent="0.25">
      <c r="A54" s="395" t="s">
        <v>396</v>
      </c>
      <c r="B54" s="263">
        <v>1</v>
      </c>
      <c r="C54" s="263">
        <v>1</v>
      </c>
      <c r="D54" s="263">
        <v>1</v>
      </c>
      <c r="E54" s="263">
        <v>0.9</v>
      </c>
      <c r="F54" s="263">
        <v>0.8</v>
      </c>
      <c r="G54" s="263">
        <v>0.7</v>
      </c>
      <c r="H54" s="263">
        <v>0.6</v>
      </c>
      <c r="I54" s="461">
        <v>0.5</v>
      </c>
      <c r="J54" s="263">
        <v>0.46666666666666662</v>
      </c>
      <c r="K54" s="263">
        <v>0.45</v>
      </c>
      <c r="L54" s="264">
        <v>0.45</v>
      </c>
      <c r="M54" s="263">
        <v>0.75</v>
      </c>
      <c r="N54" s="342">
        <f t="shared" si="0"/>
        <v>0.66666666666666663</v>
      </c>
      <c r="O54" s="386" t="s">
        <v>463</v>
      </c>
      <c r="P54" s="387"/>
      <c r="Q54" s="387"/>
      <c r="R54" s="387"/>
      <c r="S54" s="387"/>
      <c r="T54" s="387"/>
      <c r="U54" s="387"/>
      <c r="V54" s="387"/>
      <c r="W54" s="387" t="s">
        <v>362</v>
      </c>
      <c r="X54" s="387"/>
      <c r="Y54" s="387"/>
      <c r="Z54" s="277" t="s">
        <v>362</v>
      </c>
    </row>
    <row r="55" spans="1:26" x14ac:dyDescent="0.25">
      <c r="A55" s="396" t="s">
        <v>397</v>
      </c>
      <c r="B55" s="262">
        <v>1</v>
      </c>
      <c r="C55" s="262">
        <v>1</v>
      </c>
      <c r="D55" s="262">
        <v>1</v>
      </c>
      <c r="E55" s="262">
        <v>1.1000000000000001</v>
      </c>
      <c r="F55" s="262">
        <v>1.2</v>
      </c>
      <c r="G55" s="262">
        <v>1.3</v>
      </c>
      <c r="H55" s="262">
        <v>1.4</v>
      </c>
      <c r="I55" s="459">
        <v>1.5</v>
      </c>
      <c r="J55" s="262">
        <v>1.5</v>
      </c>
      <c r="K55" s="262">
        <v>1.6</v>
      </c>
      <c r="L55" s="265">
        <v>1.6</v>
      </c>
      <c r="M55" s="262">
        <v>0.75</v>
      </c>
      <c r="N55" s="342">
        <f t="shared" si="0"/>
        <v>2</v>
      </c>
      <c r="O55" s="386" t="s">
        <v>463</v>
      </c>
      <c r="P55" s="387"/>
      <c r="Q55" s="387"/>
      <c r="R55" s="387"/>
      <c r="S55" s="387"/>
      <c r="T55" s="387"/>
      <c r="U55" s="387"/>
      <c r="V55" s="387"/>
      <c r="W55" s="387" t="s">
        <v>362</v>
      </c>
      <c r="X55" s="387"/>
      <c r="Y55" s="387"/>
      <c r="Z55" s="277" t="s">
        <v>362</v>
      </c>
    </row>
    <row r="56" spans="1:26" x14ac:dyDescent="0.25">
      <c r="A56" s="396" t="s">
        <v>621</v>
      </c>
      <c r="B56" s="262">
        <v>1</v>
      </c>
      <c r="C56" s="262">
        <v>1</v>
      </c>
      <c r="D56" s="262">
        <v>1</v>
      </c>
      <c r="E56" s="262">
        <v>1</v>
      </c>
      <c r="F56" s="262">
        <v>1</v>
      </c>
      <c r="G56" s="262">
        <v>1</v>
      </c>
      <c r="H56" s="262">
        <v>1</v>
      </c>
      <c r="I56" s="459">
        <v>1</v>
      </c>
      <c r="J56" s="262">
        <v>1</v>
      </c>
      <c r="K56" s="262">
        <v>1</v>
      </c>
      <c r="L56" s="265">
        <v>1</v>
      </c>
      <c r="M56" s="262">
        <v>0.75</v>
      </c>
      <c r="N56" s="342">
        <f t="shared" si="0"/>
        <v>1.3333333333333333</v>
      </c>
      <c r="O56" s="386" t="s">
        <v>463</v>
      </c>
      <c r="P56" s="387"/>
      <c r="Q56" s="387"/>
      <c r="R56" s="387"/>
      <c r="S56" s="387"/>
      <c r="T56" s="387"/>
      <c r="U56" s="387"/>
      <c r="V56" s="387"/>
      <c r="W56" s="387" t="s">
        <v>362</v>
      </c>
      <c r="X56" s="387"/>
      <c r="Y56" s="387"/>
      <c r="Z56" s="277" t="s">
        <v>362</v>
      </c>
    </row>
    <row r="57" spans="1:26" x14ac:dyDescent="0.25">
      <c r="A57" s="397" t="s">
        <v>622</v>
      </c>
      <c r="B57" s="266">
        <v>1</v>
      </c>
      <c r="C57" s="266">
        <v>1</v>
      </c>
      <c r="D57" s="266">
        <v>1</v>
      </c>
      <c r="E57" s="266">
        <v>0.95</v>
      </c>
      <c r="F57" s="266">
        <v>0.9</v>
      </c>
      <c r="G57" s="266">
        <v>0.85</v>
      </c>
      <c r="H57" s="266">
        <v>0.8</v>
      </c>
      <c r="I57" s="460">
        <v>0.75</v>
      </c>
      <c r="J57" s="266">
        <v>0.7</v>
      </c>
      <c r="K57" s="266">
        <v>0.65</v>
      </c>
      <c r="L57" s="267">
        <v>0.6</v>
      </c>
      <c r="M57" s="266">
        <v>0.75</v>
      </c>
      <c r="N57" s="342">
        <f t="shared" si="0"/>
        <v>1</v>
      </c>
      <c r="O57" s="386" t="s">
        <v>463</v>
      </c>
      <c r="P57" s="387"/>
      <c r="Q57" s="387"/>
      <c r="R57" s="387"/>
      <c r="S57" s="387"/>
      <c r="T57" s="387"/>
      <c r="U57" s="387"/>
      <c r="V57" s="387"/>
      <c r="W57" s="387" t="s">
        <v>362</v>
      </c>
      <c r="X57" s="387"/>
      <c r="Y57" s="387"/>
      <c r="Z57" s="277" t="s">
        <v>362</v>
      </c>
    </row>
    <row r="58" spans="1:26" x14ac:dyDescent="0.25">
      <c r="B58" s="257"/>
      <c r="C58" s="257"/>
      <c r="D58" s="257"/>
      <c r="E58" s="257"/>
      <c r="F58" s="257"/>
      <c r="G58" s="257"/>
      <c r="H58" s="257"/>
      <c r="I58" s="344"/>
      <c r="J58" s="257"/>
      <c r="K58" s="257"/>
      <c r="L58" s="257"/>
      <c r="M58" s="257"/>
      <c r="N58" s="342" t="e">
        <f t="shared" si="0"/>
        <v>#DIV/0!</v>
      </c>
      <c r="O58" s="386"/>
    </row>
    <row r="59" spans="1:26" x14ac:dyDescent="0.25">
      <c r="A59" s="398" t="s">
        <v>342</v>
      </c>
      <c r="B59" s="330"/>
      <c r="C59" s="330"/>
      <c r="D59" s="330"/>
      <c r="E59" s="330"/>
      <c r="F59" s="330"/>
      <c r="G59" s="330"/>
      <c r="H59" s="330"/>
      <c r="I59" s="334"/>
      <c r="J59" s="330"/>
      <c r="K59" s="330"/>
      <c r="L59" s="330"/>
      <c r="M59" s="330"/>
      <c r="N59" s="342" t="e">
        <f t="shared" si="0"/>
        <v>#DIV/0!</v>
      </c>
      <c r="O59" s="386"/>
    </row>
    <row r="60" spans="1:26" x14ac:dyDescent="0.25">
      <c r="A60" s="395" t="s">
        <v>453</v>
      </c>
      <c r="B60" s="262">
        <v>1</v>
      </c>
      <c r="C60" s="262">
        <v>1</v>
      </c>
      <c r="D60" s="262">
        <v>1</v>
      </c>
      <c r="E60" s="263">
        <v>1</v>
      </c>
      <c r="F60" s="263">
        <v>1</v>
      </c>
      <c r="G60" s="263">
        <v>1</v>
      </c>
      <c r="H60" s="263">
        <v>1</v>
      </c>
      <c r="I60" s="461">
        <v>1</v>
      </c>
      <c r="J60" s="263">
        <v>1</v>
      </c>
      <c r="K60" s="263">
        <v>1</v>
      </c>
      <c r="L60" s="264">
        <v>1</v>
      </c>
      <c r="M60" s="263">
        <v>1</v>
      </c>
      <c r="N60" s="342">
        <f t="shared" si="0"/>
        <v>1</v>
      </c>
      <c r="O60" s="386"/>
      <c r="P60" s="387"/>
      <c r="Q60" s="387"/>
      <c r="R60" s="387"/>
      <c r="S60" s="387"/>
      <c r="T60" s="387"/>
      <c r="U60" s="387"/>
      <c r="V60" s="387"/>
      <c r="W60" s="387"/>
      <c r="X60" s="387" t="s">
        <v>371</v>
      </c>
      <c r="Y60" s="387"/>
      <c r="Z60" s="277" t="s">
        <v>371</v>
      </c>
    </row>
    <row r="61" spans="1:26" x14ac:dyDescent="0.25">
      <c r="A61" s="396" t="s">
        <v>452</v>
      </c>
      <c r="B61" s="262">
        <v>1</v>
      </c>
      <c r="C61" s="262">
        <v>1</v>
      </c>
      <c r="D61" s="262">
        <v>1</v>
      </c>
      <c r="E61" s="262">
        <v>1</v>
      </c>
      <c r="F61" s="262">
        <v>1</v>
      </c>
      <c r="G61" s="262">
        <v>1</v>
      </c>
      <c r="H61" s="262">
        <v>1</v>
      </c>
      <c r="I61" s="459">
        <v>1</v>
      </c>
      <c r="J61" s="262">
        <v>1</v>
      </c>
      <c r="K61" s="262">
        <v>1</v>
      </c>
      <c r="L61" s="265">
        <v>1</v>
      </c>
      <c r="M61" s="262">
        <v>1</v>
      </c>
      <c r="N61" s="342">
        <f t="shared" si="0"/>
        <v>1</v>
      </c>
      <c r="O61" s="386"/>
      <c r="P61" s="387"/>
      <c r="Q61" s="387"/>
      <c r="R61" s="387" t="s">
        <v>371</v>
      </c>
      <c r="S61" s="387"/>
      <c r="T61" s="387"/>
      <c r="U61" s="387"/>
      <c r="V61" s="387"/>
      <c r="W61" s="387"/>
      <c r="X61" s="387"/>
      <c r="Y61" s="387"/>
      <c r="Z61" s="277" t="s">
        <v>371</v>
      </c>
    </row>
    <row r="62" spans="1:26" x14ac:dyDescent="0.25">
      <c r="A62" s="396" t="s">
        <v>454</v>
      </c>
      <c r="B62" s="262">
        <v>1</v>
      </c>
      <c r="C62" s="262">
        <v>1</v>
      </c>
      <c r="D62" s="262">
        <v>1</v>
      </c>
      <c r="E62" s="262">
        <v>1</v>
      </c>
      <c r="F62" s="262">
        <v>1</v>
      </c>
      <c r="G62" s="262">
        <v>1</v>
      </c>
      <c r="H62" s="262">
        <v>1</v>
      </c>
      <c r="I62" s="459">
        <v>1</v>
      </c>
      <c r="J62" s="262">
        <v>1</v>
      </c>
      <c r="K62" s="262">
        <v>1</v>
      </c>
      <c r="L62" s="265">
        <v>1</v>
      </c>
      <c r="M62" s="262">
        <v>1</v>
      </c>
      <c r="N62" s="342">
        <f t="shared" si="0"/>
        <v>1</v>
      </c>
      <c r="O62" s="386"/>
      <c r="P62" s="387"/>
      <c r="Q62" s="387"/>
      <c r="R62" s="387" t="s">
        <v>371</v>
      </c>
      <c r="S62" s="387"/>
      <c r="T62" s="387"/>
      <c r="U62" s="387"/>
      <c r="V62" s="387"/>
      <c r="W62" s="387"/>
      <c r="X62" s="387"/>
      <c r="Y62" s="387"/>
      <c r="Z62" s="277" t="s">
        <v>371</v>
      </c>
    </row>
    <row r="63" spans="1:26" x14ac:dyDescent="0.25">
      <c r="A63" s="397" t="s">
        <v>455</v>
      </c>
      <c r="B63" s="266">
        <v>1</v>
      </c>
      <c r="C63" s="266">
        <v>1</v>
      </c>
      <c r="D63" s="266">
        <v>1</v>
      </c>
      <c r="E63" s="266">
        <v>1</v>
      </c>
      <c r="F63" s="266">
        <v>1</v>
      </c>
      <c r="G63" s="266">
        <v>1</v>
      </c>
      <c r="H63" s="266">
        <v>1</v>
      </c>
      <c r="I63" s="460">
        <v>1</v>
      </c>
      <c r="J63" s="266">
        <v>1</v>
      </c>
      <c r="K63" s="266">
        <v>1</v>
      </c>
      <c r="L63" s="267">
        <v>1</v>
      </c>
      <c r="M63" s="266">
        <v>1</v>
      </c>
      <c r="N63" s="342">
        <f t="shared" si="0"/>
        <v>1</v>
      </c>
      <c r="O63" s="386"/>
      <c r="P63" s="387"/>
      <c r="Q63" s="387"/>
      <c r="R63" s="387"/>
      <c r="S63" s="387"/>
      <c r="T63" s="387"/>
      <c r="U63" s="387"/>
      <c r="V63" s="387"/>
      <c r="W63" s="387" t="s">
        <v>371</v>
      </c>
      <c r="X63" s="387"/>
      <c r="Y63" s="387"/>
      <c r="Z63" s="277" t="s">
        <v>371</v>
      </c>
    </row>
    <row r="64" spans="1:26" x14ac:dyDescent="0.25">
      <c r="O64" s="386"/>
    </row>
    <row r="66" spans="2:12" x14ac:dyDescent="0.25">
      <c r="B66" s="389"/>
      <c r="C66" s="389"/>
      <c r="D66" s="389"/>
      <c r="E66" s="389"/>
      <c r="F66" s="389"/>
      <c r="G66" s="389"/>
      <c r="H66" s="389"/>
      <c r="I66" s="389"/>
      <c r="J66" s="389"/>
      <c r="K66" s="389"/>
      <c r="L66" s="389"/>
    </row>
    <row r="67" spans="2:12" x14ac:dyDescent="0.25">
      <c r="B67" s="390"/>
      <c r="C67" s="390"/>
      <c r="D67" s="390"/>
      <c r="E67" s="390"/>
      <c r="F67" s="390"/>
      <c r="G67" s="390"/>
      <c r="H67" s="390"/>
      <c r="I67" s="390"/>
      <c r="J67" s="390"/>
      <c r="K67" s="390"/>
      <c r="L67" s="390"/>
    </row>
    <row r="68" spans="2:12" x14ac:dyDescent="0.25">
      <c r="B68" s="390"/>
      <c r="C68" s="390"/>
      <c r="D68" s="390"/>
      <c r="E68" s="390"/>
      <c r="F68" s="390"/>
      <c r="G68" s="390"/>
      <c r="H68" s="390"/>
      <c r="I68" s="390"/>
      <c r="J68" s="390"/>
      <c r="K68" s="390"/>
      <c r="L68" s="390"/>
    </row>
    <row r="69" spans="2:12" x14ac:dyDescent="0.25">
      <c r="B69" s="390"/>
      <c r="C69" s="390"/>
      <c r="D69" s="390"/>
      <c r="E69" s="390"/>
      <c r="F69" s="390"/>
      <c r="G69" s="390"/>
      <c r="H69" s="390"/>
      <c r="I69" s="390"/>
      <c r="J69" s="390"/>
      <c r="K69" s="390"/>
      <c r="L69" s="390"/>
    </row>
    <row r="70" spans="2:12" x14ac:dyDescent="0.25">
      <c r="B70" s="390"/>
      <c r="C70" s="390"/>
      <c r="D70" s="390"/>
      <c r="E70" s="390"/>
      <c r="F70" s="390"/>
      <c r="G70" s="390"/>
      <c r="H70" s="390"/>
      <c r="I70" s="390"/>
      <c r="J70" s="390"/>
      <c r="K70" s="390"/>
      <c r="L70" s="390"/>
    </row>
    <row r="71" spans="2:12" x14ac:dyDescent="0.25">
      <c r="B71" s="390"/>
      <c r="C71" s="390"/>
      <c r="D71" s="390"/>
      <c r="E71" s="390"/>
      <c r="F71" s="390"/>
      <c r="G71" s="390"/>
      <c r="H71" s="390"/>
      <c r="I71" s="390"/>
      <c r="J71" s="390"/>
      <c r="K71" s="390"/>
      <c r="L71" s="390"/>
    </row>
    <row r="72" spans="2:12" x14ac:dyDescent="0.25">
      <c r="B72" s="390"/>
      <c r="C72" s="390"/>
      <c r="D72" s="390"/>
      <c r="E72" s="390"/>
      <c r="F72" s="390"/>
      <c r="G72" s="390"/>
      <c r="H72" s="390"/>
      <c r="I72" s="390"/>
      <c r="J72" s="390"/>
      <c r="K72" s="390"/>
      <c r="L72" s="390"/>
    </row>
    <row r="73" spans="2:12" x14ac:dyDescent="0.25">
      <c r="B73" s="390"/>
      <c r="C73" s="390"/>
      <c r="D73" s="390"/>
      <c r="E73" s="390"/>
      <c r="F73" s="390"/>
      <c r="G73" s="390"/>
      <c r="H73" s="390"/>
      <c r="I73" s="390"/>
      <c r="J73" s="390"/>
      <c r="K73" s="390"/>
      <c r="L73" s="390"/>
    </row>
    <row r="74" spans="2:12" x14ac:dyDescent="0.25">
      <c r="B74" s="390"/>
      <c r="C74" s="390"/>
      <c r="D74" s="390"/>
      <c r="E74" s="390"/>
      <c r="F74" s="390"/>
      <c r="G74" s="390"/>
      <c r="H74" s="390"/>
      <c r="I74" s="390"/>
      <c r="J74" s="390"/>
      <c r="K74" s="390"/>
      <c r="L74" s="390"/>
    </row>
    <row r="75" spans="2:12" x14ac:dyDescent="0.25">
      <c r="B75" s="390"/>
      <c r="C75" s="390"/>
      <c r="D75" s="390"/>
      <c r="E75" s="390"/>
      <c r="F75" s="390"/>
      <c r="G75" s="390"/>
      <c r="H75" s="390"/>
      <c r="I75" s="390"/>
      <c r="J75" s="390"/>
      <c r="K75" s="390"/>
      <c r="L75" s="390"/>
    </row>
    <row r="76" spans="2:12" x14ac:dyDescent="0.25">
      <c r="B76" s="390"/>
      <c r="C76" s="390"/>
      <c r="D76" s="390"/>
      <c r="E76" s="390"/>
      <c r="F76" s="390"/>
      <c r="G76" s="390"/>
      <c r="H76" s="390"/>
      <c r="I76" s="390"/>
      <c r="J76" s="390"/>
      <c r="K76" s="390"/>
      <c r="L76" s="390"/>
    </row>
    <row r="77" spans="2:12" x14ac:dyDescent="0.25">
      <c r="B77" s="390"/>
      <c r="C77" s="390"/>
      <c r="D77" s="390"/>
      <c r="E77" s="390"/>
      <c r="F77" s="390"/>
      <c r="G77" s="390"/>
      <c r="H77" s="390"/>
      <c r="I77" s="390"/>
      <c r="J77" s="390"/>
      <c r="K77" s="390"/>
      <c r="L77" s="390"/>
    </row>
    <row r="78" spans="2:12" x14ac:dyDescent="0.25">
      <c r="B78" s="390"/>
      <c r="C78" s="390"/>
      <c r="D78" s="390"/>
      <c r="E78" s="390"/>
      <c r="F78" s="390"/>
      <c r="G78" s="390"/>
      <c r="H78" s="390"/>
      <c r="I78" s="390"/>
      <c r="J78" s="390"/>
      <c r="K78" s="390"/>
      <c r="L78" s="390"/>
    </row>
    <row r="79" spans="2:12" x14ac:dyDescent="0.25">
      <c r="B79" s="390"/>
      <c r="C79" s="390"/>
      <c r="D79" s="390"/>
      <c r="E79" s="390"/>
      <c r="F79" s="390"/>
      <c r="G79" s="390"/>
      <c r="H79" s="390"/>
      <c r="I79" s="390"/>
      <c r="J79" s="390"/>
      <c r="K79" s="390"/>
      <c r="L79" s="390"/>
    </row>
    <row r="80" spans="2:12" x14ac:dyDescent="0.25">
      <c r="B80" s="390"/>
      <c r="C80" s="390"/>
      <c r="D80" s="390"/>
      <c r="E80" s="390"/>
      <c r="F80" s="390"/>
      <c r="G80" s="390"/>
      <c r="H80" s="390"/>
      <c r="I80" s="390"/>
      <c r="J80" s="390"/>
      <c r="K80" s="390"/>
      <c r="L80" s="390"/>
    </row>
  </sheetData>
  <mergeCells count="1">
    <mergeCell ref="P1:Y1"/>
  </mergeCells>
  <conditionalFormatting sqref="B31:L34 E6:L9 E11:L30 B37:L39 B42:L63">
    <cfRule type="colorScale" priority="27">
      <colorScale>
        <cfvo type="num" val="0.5"/>
        <cfvo type="num" val="1"/>
        <cfvo type="num" val="1.5"/>
        <color rgb="FFF8696B"/>
        <color rgb="FFFFEB84"/>
        <color rgb="FF63BE7B"/>
      </colorScale>
    </cfRule>
    <cfRule type="colorScale" priority="28">
      <colorScale>
        <cfvo type="min"/>
        <cfvo type="percentile" val="50"/>
        <cfvo type="max"/>
        <color rgb="FFF8696B"/>
        <color rgb="FFFFEB84"/>
        <color rgb="FF63BE7B"/>
      </colorScale>
    </cfRule>
  </conditionalFormatting>
  <conditionalFormatting sqref="B19:D30">
    <cfRule type="colorScale" priority="25">
      <colorScale>
        <cfvo type="num" val="0.5"/>
        <cfvo type="num" val="1"/>
        <cfvo type="num" val="1.5"/>
        <color rgb="FFF8696B"/>
        <color rgb="FFFFEB84"/>
        <color rgb="FF63BE7B"/>
      </colorScale>
    </cfRule>
    <cfRule type="colorScale" priority="26">
      <colorScale>
        <cfvo type="min"/>
        <cfvo type="percentile" val="50"/>
        <cfvo type="max"/>
        <color rgb="FFF8696B"/>
        <color rgb="FFFFEB84"/>
        <color rgb="FF63BE7B"/>
      </colorScale>
    </cfRule>
  </conditionalFormatting>
  <conditionalFormatting sqref="B6:D9 B11:D18">
    <cfRule type="colorScale" priority="23">
      <colorScale>
        <cfvo type="num" val="0.5"/>
        <cfvo type="num" val="1"/>
        <cfvo type="num" val="1.5"/>
        <color rgb="FFF8696B"/>
        <color rgb="FFFFEB84"/>
        <color rgb="FF63BE7B"/>
      </colorScale>
    </cfRule>
    <cfRule type="colorScale" priority="24">
      <colorScale>
        <cfvo type="min"/>
        <cfvo type="percentile" val="50"/>
        <cfvo type="max"/>
        <color rgb="FFF8696B"/>
        <color rgb="FFFFEB84"/>
        <color rgb="FF63BE7B"/>
      </colorScale>
    </cfRule>
  </conditionalFormatting>
  <conditionalFormatting sqref="E10:L10">
    <cfRule type="colorScale" priority="21">
      <colorScale>
        <cfvo type="num" val="0.5"/>
        <cfvo type="num" val="1"/>
        <cfvo type="num" val="1.5"/>
        <color rgb="FFF8696B"/>
        <color rgb="FFFFEB84"/>
        <color rgb="FF63BE7B"/>
      </colorScale>
    </cfRule>
    <cfRule type="colorScale" priority="22">
      <colorScale>
        <cfvo type="min"/>
        <cfvo type="percentile" val="50"/>
        <cfvo type="max"/>
        <color rgb="FFF8696B"/>
        <color rgb="FFFFEB84"/>
        <color rgb="FF63BE7B"/>
      </colorScale>
    </cfRule>
  </conditionalFormatting>
  <conditionalFormatting sqref="B10:D10">
    <cfRule type="colorScale" priority="19">
      <colorScale>
        <cfvo type="num" val="0.5"/>
        <cfvo type="num" val="1"/>
        <cfvo type="num" val="1.5"/>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4:L5">
    <cfRule type="colorScale" priority="17">
      <colorScale>
        <cfvo type="num" val="0.5"/>
        <cfvo type="num" val="1"/>
        <cfvo type="num" val="1.5"/>
        <color rgb="FFF8696B"/>
        <color rgb="FFFFEB84"/>
        <color rgb="FF63BE7B"/>
      </colorScale>
    </cfRule>
    <cfRule type="colorScale" priority="18">
      <colorScale>
        <cfvo type="min"/>
        <cfvo type="percentile" val="50"/>
        <cfvo type="max"/>
        <color rgb="FFF8696B"/>
        <color rgb="FFFFEB84"/>
        <color rgb="FF63BE7B"/>
      </colorScale>
    </cfRule>
  </conditionalFormatting>
  <conditionalFormatting sqref="B4:D5">
    <cfRule type="colorScale" priority="15">
      <colorScale>
        <cfvo type="num" val="0.5"/>
        <cfvo type="num" val="1"/>
        <cfvo type="num" val="1.5"/>
        <color rgb="FFF8696B"/>
        <color rgb="FFFFEB84"/>
        <color rgb="FF63BE7B"/>
      </colorScale>
    </cfRule>
    <cfRule type="colorScale" priority="16">
      <colorScale>
        <cfvo type="min"/>
        <cfvo type="percentile" val="50"/>
        <cfvo type="max"/>
        <color rgb="FFF8696B"/>
        <color rgb="FFFFEB84"/>
        <color rgb="FF63BE7B"/>
      </colorScale>
    </cfRule>
  </conditionalFormatting>
  <conditionalFormatting sqref="E35:L36">
    <cfRule type="colorScale" priority="13">
      <colorScale>
        <cfvo type="num" val="0.5"/>
        <cfvo type="num" val="1"/>
        <cfvo type="num" val="1.5"/>
        <color rgb="FFF8696B"/>
        <color rgb="FFFFEB84"/>
        <color rgb="FF63BE7B"/>
      </colorScale>
    </cfRule>
    <cfRule type="colorScale" priority="14">
      <colorScale>
        <cfvo type="min"/>
        <cfvo type="percentile" val="50"/>
        <cfvo type="max"/>
        <color rgb="FFF8696B"/>
        <color rgb="FFFFEB84"/>
        <color rgb="FF63BE7B"/>
      </colorScale>
    </cfRule>
  </conditionalFormatting>
  <conditionalFormatting sqref="B35:D36">
    <cfRule type="colorScale" priority="11">
      <colorScale>
        <cfvo type="num" val="0.5"/>
        <cfvo type="num" val="1"/>
        <cfvo type="num" val="1.5"/>
        <color rgb="FFF8696B"/>
        <color rgb="FFFFEB84"/>
        <color rgb="FF63BE7B"/>
      </colorScale>
    </cfRule>
    <cfRule type="colorScale" priority="12">
      <colorScale>
        <cfvo type="min"/>
        <cfvo type="percentile" val="50"/>
        <cfvo type="max"/>
        <color rgb="FFF8696B"/>
        <color rgb="FFFFEB84"/>
        <color rgb="FF63BE7B"/>
      </colorScale>
    </cfRule>
  </conditionalFormatting>
  <conditionalFormatting sqref="E40:L41 B41:D41">
    <cfRule type="colorScale" priority="9">
      <colorScale>
        <cfvo type="num" val="0.5"/>
        <cfvo type="num" val="1"/>
        <cfvo type="num" val="1.5"/>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B40:D41">
    <cfRule type="colorScale" priority="7">
      <colorScale>
        <cfvo type="num" val="0.5"/>
        <cfvo type="num" val="1"/>
        <cfvo type="num" val="1.5"/>
        <color rgb="FFF8696B"/>
        <color rgb="FFFFEB84"/>
        <color rgb="FF63BE7B"/>
      </colorScale>
    </cfRule>
    <cfRule type="colorScale" priority="8">
      <colorScale>
        <cfvo type="min"/>
        <cfvo type="percentile" val="50"/>
        <cfvo type="max"/>
        <color rgb="FFF8696B"/>
        <color rgb="FFFFEB84"/>
        <color rgb="FF63BE7B"/>
      </colorScale>
    </cfRule>
  </conditionalFormatting>
  <conditionalFormatting sqref="M6:M8 M4 M10:M63">
    <cfRule type="colorScale" priority="5">
      <colorScale>
        <cfvo type="num" val="0.5"/>
        <cfvo type="num" val="1"/>
        <cfvo type="num" val="1.5"/>
        <color rgb="FFF8696B"/>
        <color rgb="FFFFEB84"/>
        <color rgb="FF63BE7B"/>
      </colorScale>
    </cfRule>
    <cfRule type="colorScale" priority="6">
      <colorScale>
        <cfvo type="min"/>
        <cfvo type="percentile" val="50"/>
        <cfvo type="max"/>
        <color rgb="FFF8696B"/>
        <color rgb="FFFFEB84"/>
        <color rgb="FF63BE7B"/>
      </colorScale>
    </cfRule>
  </conditionalFormatting>
  <conditionalFormatting sqref="M5">
    <cfRule type="colorScale" priority="3">
      <colorScale>
        <cfvo type="num" val="0.5"/>
        <cfvo type="num" val="1"/>
        <cfvo type="num" val="1.5"/>
        <color rgb="FFF8696B"/>
        <color rgb="FFFFEB84"/>
        <color rgb="FF63BE7B"/>
      </colorScale>
    </cfRule>
    <cfRule type="colorScale" priority="4">
      <colorScale>
        <cfvo type="min"/>
        <cfvo type="percentile" val="50"/>
        <cfvo type="max"/>
        <color rgb="FFF8696B"/>
        <color rgb="FFFFEB84"/>
        <color rgb="FF63BE7B"/>
      </colorScale>
    </cfRule>
  </conditionalFormatting>
  <conditionalFormatting sqref="M9">
    <cfRule type="colorScale" priority="1">
      <colorScale>
        <cfvo type="num" val="0.5"/>
        <cfvo type="num" val="1"/>
        <cfvo type="num" val="1.5"/>
        <color rgb="FFF8696B"/>
        <color rgb="FFFFEB84"/>
        <color rgb="FF63BE7B"/>
      </colorScale>
    </cfRule>
    <cfRule type="colorScale" priority="2">
      <colorScale>
        <cfvo type="min"/>
        <cfvo type="percentile" val="50"/>
        <cfvo type="max"/>
        <color rgb="FFF8696B"/>
        <color rgb="FFFFEB84"/>
        <color rgb="FF63BE7B"/>
      </colorScale>
    </cfRule>
  </conditionalFormatting>
  <hyperlinks>
    <hyperlink ref="A1" location="'Main Menu'!A1" display="Return to Main Menu"/>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G135"/>
  <sheetViews>
    <sheetView showGridLines="0" topLeftCell="A7" zoomScale="90" zoomScaleNormal="90" workbookViewId="0">
      <selection activeCell="C65" sqref="C65"/>
    </sheetView>
  </sheetViews>
  <sheetFormatPr defaultRowHeight="15" x14ac:dyDescent="0.25"/>
  <cols>
    <col min="1" max="1" width="29" customWidth="1"/>
    <col min="2" max="2" width="11.140625" style="2" bestFit="1" customWidth="1"/>
    <col min="3" max="7" width="13.85546875" style="1" bestFit="1" customWidth="1"/>
    <col min="8" max="8" width="5.140625" customWidth="1"/>
    <col min="9" max="9" width="25" customWidth="1"/>
    <col min="10" max="10" width="9.5703125" style="22" customWidth="1"/>
    <col min="16" max="16" width="15.42578125" style="1" customWidth="1"/>
    <col min="17" max="17" width="11.140625" style="1" customWidth="1"/>
    <col min="18" max="20" width="13.85546875" style="1" customWidth="1"/>
    <col min="21" max="21" width="9.140625" customWidth="1"/>
    <col min="22" max="22" width="16" customWidth="1"/>
    <col min="23" max="26" width="9.5703125" bestFit="1" customWidth="1"/>
    <col min="28" max="28" width="12.42578125" style="22" customWidth="1"/>
    <col min="29" max="29" width="12.42578125" customWidth="1"/>
    <col min="32" max="32" width="17.7109375" customWidth="1"/>
  </cols>
  <sheetData>
    <row r="1" spans="1:33" ht="35.25" customHeight="1" x14ac:dyDescent="0.25">
      <c r="A1" s="127" t="s">
        <v>34</v>
      </c>
      <c r="B1" s="107"/>
      <c r="C1" s="107"/>
      <c r="D1" s="107"/>
      <c r="E1" s="107"/>
      <c r="F1" s="107"/>
      <c r="G1" s="107"/>
      <c r="H1" s="105"/>
      <c r="I1" s="105"/>
      <c r="J1" s="105"/>
      <c r="K1" s="105"/>
      <c r="L1" s="105"/>
      <c r="M1" s="105"/>
      <c r="N1" s="105"/>
      <c r="O1" s="105"/>
      <c r="P1" s="107"/>
      <c r="Q1" s="107"/>
      <c r="R1" s="107"/>
      <c r="S1" s="107"/>
      <c r="T1" s="107"/>
      <c r="U1" s="105"/>
      <c r="V1" s="105"/>
      <c r="W1" s="105"/>
      <c r="X1" s="105"/>
      <c r="Y1" s="105"/>
      <c r="Z1" s="105"/>
      <c r="AA1" s="105"/>
      <c r="AB1" s="105"/>
      <c r="AC1" s="105"/>
    </row>
    <row r="2" spans="1:33" ht="15.75" thickBot="1" x14ac:dyDescent="0.3">
      <c r="B2" s="107"/>
      <c r="C2" s="107"/>
      <c r="D2" s="107"/>
      <c r="E2" s="107"/>
      <c r="F2" s="107"/>
      <c r="G2" s="107"/>
      <c r="H2" s="105"/>
      <c r="I2" s="105"/>
      <c r="J2" s="105"/>
      <c r="K2" s="105"/>
      <c r="L2" s="105"/>
      <c r="M2" s="105"/>
      <c r="N2" s="105"/>
      <c r="O2" s="105"/>
      <c r="P2" s="107"/>
      <c r="Q2" s="107"/>
      <c r="R2" s="107"/>
      <c r="S2" s="107"/>
      <c r="T2" s="107"/>
      <c r="U2" s="485" t="s">
        <v>35</v>
      </c>
      <c r="V2" s="486"/>
      <c r="W2" s="486"/>
      <c r="X2" s="486"/>
      <c r="Y2" s="486"/>
      <c r="Z2" s="486"/>
      <c r="AA2" s="486"/>
      <c r="AB2" s="128"/>
      <c r="AC2" s="105"/>
    </row>
    <row r="3" spans="1:33" ht="15.75" thickBot="1" x14ac:dyDescent="0.3">
      <c r="A3" s="132" t="s">
        <v>302</v>
      </c>
      <c r="B3" s="129"/>
      <c r="C3" s="107"/>
      <c r="D3" s="107"/>
      <c r="E3" s="107"/>
      <c r="F3" s="107"/>
      <c r="G3" s="107"/>
      <c r="H3" s="105"/>
      <c r="I3" s="150" t="s">
        <v>625</v>
      </c>
      <c r="J3" s="149"/>
      <c r="K3" s="105"/>
      <c r="L3" s="105"/>
      <c r="M3" s="105"/>
      <c r="N3" s="105"/>
      <c r="O3" s="105"/>
      <c r="P3" s="235" t="s">
        <v>626</v>
      </c>
      <c r="Q3" s="129"/>
      <c r="R3" s="235" t="s">
        <v>626</v>
      </c>
      <c r="S3" s="129"/>
      <c r="T3" s="107"/>
      <c r="U3" s="491" t="s">
        <v>23</v>
      </c>
      <c r="V3" s="486"/>
      <c r="W3" s="486"/>
      <c r="X3" s="486"/>
      <c r="Y3" s="486"/>
      <c r="Z3" s="486"/>
      <c r="AA3" s="486"/>
      <c r="AB3" s="486"/>
      <c r="AC3" s="486"/>
    </row>
    <row r="4" spans="1:33" ht="15.75" customHeight="1" thickBot="1" x14ac:dyDescent="0.3">
      <c r="A4" s="133" t="s">
        <v>305</v>
      </c>
      <c r="B4" s="103"/>
      <c r="C4" s="107"/>
      <c r="D4" s="107"/>
      <c r="E4" s="107"/>
      <c r="F4" s="107"/>
      <c r="G4" s="107"/>
      <c r="H4" s="105"/>
      <c r="I4" s="149"/>
      <c r="J4" s="149"/>
      <c r="K4" s="105"/>
      <c r="L4" s="105"/>
      <c r="M4" s="105"/>
      <c r="N4" s="105"/>
      <c r="O4" s="105"/>
      <c r="P4" s="244"/>
      <c r="Q4" s="245"/>
      <c r="R4" s="244"/>
      <c r="S4" s="245"/>
      <c r="T4" s="107"/>
      <c r="U4" s="130"/>
      <c r="V4" s="131"/>
      <c r="W4" s="492" t="s">
        <v>26</v>
      </c>
      <c r="X4" s="493"/>
      <c r="Y4" s="493"/>
      <c r="Z4" s="493"/>
      <c r="AA4" s="493"/>
      <c r="AB4" s="494"/>
      <c r="AC4" s="495" t="s">
        <v>25</v>
      </c>
    </row>
    <row r="5" spans="1:33" s="18" customFormat="1" ht="45.75" thickBot="1" x14ac:dyDescent="0.3">
      <c r="A5" s="125"/>
      <c r="B5" s="400" t="s">
        <v>219</v>
      </c>
      <c r="C5" s="126" t="s">
        <v>37</v>
      </c>
      <c r="D5" s="126" t="s">
        <v>38</v>
      </c>
      <c r="E5" s="126" t="s">
        <v>39</v>
      </c>
      <c r="F5" s="126" t="s">
        <v>40</v>
      </c>
      <c r="G5" s="126" t="s">
        <v>41</v>
      </c>
      <c r="H5" s="116"/>
      <c r="I5" s="150"/>
      <c r="J5" s="116" t="s">
        <v>219</v>
      </c>
      <c r="K5" s="116" t="s">
        <v>37</v>
      </c>
      <c r="L5" s="116" t="s">
        <v>38</v>
      </c>
      <c r="M5" s="116" t="s">
        <v>39</v>
      </c>
      <c r="N5" s="116" t="s">
        <v>40</v>
      </c>
      <c r="O5" s="116" t="s">
        <v>41</v>
      </c>
      <c r="P5" s="255" t="s">
        <v>541</v>
      </c>
      <c r="Q5" s="256" t="s">
        <v>627</v>
      </c>
      <c r="R5" s="238" t="s">
        <v>623</v>
      </c>
      <c r="S5" s="239" t="s">
        <v>624</v>
      </c>
      <c r="T5" s="233"/>
      <c r="U5" s="134"/>
      <c r="V5" s="135"/>
      <c r="W5" s="136" t="s">
        <v>37</v>
      </c>
      <c r="X5" s="137" t="s">
        <v>38</v>
      </c>
      <c r="Y5" s="137" t="s">
        <v>39</v>
      </c>
      <c r="Z5" s="137" t="s">
        <v>40</v>
      </c>
      <c r="AA5" s="137" t="s">
        <v>41</v>
      </c>
      <c r="AB5" s="137" t="s">
        <v>301</v>
      </c>
      <c r="AC5" s="496"/>
      <c r="AF5" s="22"/>
      <c r="AG5" s="22"/>
    </row>
    <row r="6" spans="1:33" ht="15.75" customHeight="1" x14ac:dyDescent="0.25">
      <c r="A6" s="154" t="s">
        <v>660</v>
      </c>
      <c r="B6" s="401">
        <v>1235655</v>
      </c>
      <c r="C6" s="269">
        <v>1235655</v>
      </c>
      <c r="D6" s="269">
        <v>868251</v>
      </c>
      <c r="E6" s="269">
        <v>996019</v>
      </c>
      <c r="F6" s="269">
        <v>1145997</v>
      </c>
      <c r="G6" s="269">
        <v>624007</v>
      </c>
      <c r="H6" s="105"/>
      <c r="I6" s="149" t="s">
        <v>42</v>
      </c>
      <c r="J6" s="105">
        <v>1162405</v>
      </c>
      <c r="K6" s="105">
        <v>1162405</v>
      </c>
      <c r="L6" s="105">
        <v>805699</v>
      </c>
      <c r="M6" s="105">
        <v>845894</v>
      </c>
      <c r="N6" s="105">
        <v>1389377</v>
      </c>
      <c r="O6" s="105">
        <v>651605</v>
      </c>
      <c r="P6" s="246" t="e">
        <f>#REF!</f>
        <v>#REF!</v>
      </c>
      <c r="Q6" s="247" t="e">
        <f t="shared" ref="Q6:Q12" si="0">P6/J6-1</f>
        <v>#REF!</v>
      </c>
      <c r="R6" s="240">
        <f t="shared" ref="R6:R12" si="1">J6/B6-1</f>
        <v>-5.9280300731191171E-2</v>
      </c>
      <c r="S6" s="241" t="e">
        <f t="shared" ref="S6:S12" si="2">P6/B6-1</f>
        <v>#REF!</v>
      </c>
      <c r="T6" s="234"/>
      <c r="U6" s="487" t="s">
        <v>19</v>
      </c>
      <c r="V6" s="138" t="s">
        <v>18</v>
      </c>
      <c r="W6" s="139">
        <v>885333</v>
      </c>
      <c r="X6" s="140">
        <v>804276</v>
      </c>
      <c r="Y6" s="140">
        <v>818680</v>
      </c>
      <c r="Z6" s="140">
        <v>767592</v>
      </c>
      <c r="AA6" s="140">
        <v>693930</v>
      </c>
      <c r="AB6" s="140">
        <v>40754519</v>
      </c>
      <c r="AC6" s="141">
        <v>44724330</v>
      </c>
      <c r="AF6" s="22"/>
      <c r="AG6" s="22"/>
    </row>
    <row r="7" spans="1:33" x14ac:dyDescent="0.25">
      <c r="A7" s="154" t="s">
        <v>661</v>
      </c>
      <c r="B7" s="401">
        <v>1016966</v>
      </c>
      <c r="C7" s="269">
        <v>1016966</v>
      </c>
      <c r="D7" s="269">
        <v>883043</v>
      </c>
      <c r="E7" s="269">
        <v>854707</v>
      </c>
      <c r="F7" s="269">
        <v>1059985</v>
      </c>
      <c r="G7" s="269">
        <v>634882</v>
      </c>
      <c r="H7" s="105"/>
      <c r="I7" s="149" t="s">
        <v>43</v>
      </c>
      <c r="J7" s="105">
        <v>1094195</v>
      </c>
      <c r="K7" s="105">
        <v>1094195</v>
      </c>
      <c r="L7" s="105">
        <v>977123</v>
      </c>
      <c r="M7" s="105">
        <v>820712</v>
      </c>
      <c r="N7" s="105">
        <v>1297555</v>
      </c>
      <c r="O7" s="105">
        <v>722628</v>
      </c>
      <c r="P7" s="246" t="e">
        <f>#REF!</f>
        <v>#REF!</v>
      </c>
      <c r="Q7" s="247" t="e">
        <f t="shared" si="0"/>
        <v>#REF!</v>
      </c>
      <c r="R7" s="240">
        <f t="shared" si="1"/>
        <v>7.5940591917527334E-2</v>
      </c>
      <c r="S7" s="241" t="e">
        <f t="shared" si="2"/>
        <v>#REF!</v>
      </c>
      <c r="T7" s="234"/>
      <c r="U7" s="488"/>
      <c r="V7" s="142" t="s">
        <v>17</v>
      </c>
      <c r="W7" s="143">
        <v>818797</v>
      </c>
      <c r="X7" s="144">
        <v>1017560</v>
      </c>
      <c r="Y7" s="144">
        <v>1004975</v>
      </c>
      <c r="Z7" s="144">
        <v>914572</v>
      </c>
      <c r="AA7" s="144">
        <v>668988</v>
      </c>
      <c r="AB7" s="144">
        <v>46893730</v>
      </c>
      <c r="AC7" s="145">
        <v>51318622</v>
      </c>
      <c r="AF7" s="22"/>
      <c r="AG7" s="22"/>
    </row>
    <row r="8" spans="1:33" x14ac:dyDescent="0.25">
      <c r="A8" s="154" t="s">
        <v>44</v>
      </c>
      <c r="B8" s="401">
        <v>1202379</v>
      </c>
      <c r="C8" s="269">
        <v>1202379</v>
      </c>
      <c r="D8" s="269">
        <v>1108508</v>
      </c>
      <c r="E8" s="269">
        <v>1076257</v>
      </c>
      <c r="F8" s="269">
        <v>1170075</v>
      </c>
      <c r="G8" s="269">
        <v>791833</v>
      </c>
      <c r="H8" s="105"/>
      <c r="I8" s="149" t="s">
        <v>44</v>
      </c>
      <c r="J8" s="105">
        <v>1215998</v>
      </c>
      <c r="K8" s="105">
        <v>1215998</v>
      </c>
      <c r="L8" s="105">
        <v>921663</v>
      </c>
      <c r="M8" s="105">
        <v>847728</v>
      </c>
      <c r="N8" s="105">
        <v>1304074</v>
      </c>
      <c r="O8" s="105">
        <v>764834</v>
      </c>
      <c r="P8" s="246" t="e">
        <f>#REF!</f>
        <v>#REF!</v>
      </c>
      <c r="Q8" s="247" t="e">
        <f t="shared" si="0"/>
        <v>#REF!</v>
      </c>
      <c r="R8" s="240">
        <f t="shared" si="1"/>
        <v>1.1326711461194794E-2</v>
      </c>
      <c r="S8" s="241" t="e">
        <f t="shared" si="2"/>
        <v>#REF!</v>
      </c>
      <c r="T8" s="234"/>
      <c r="U8" s="488"/>
      <c r="V8" s="142" t="s">
        <v>16</v>
      </c>
      <c r="W8" s="143">
        <v>1359366</v>
      </c>
      <c r="X8" s="144">
        <v>1386816</v>
      </c>
      <c r="Y8" s="144">
        <v>1341092</v>
      </c>
      <c r="Z8" s="144">
        <v>1256690</v>
      </c>
      <c r="AA8" s="144">
        <v>821939</v>
      </c>
      <c r="AB8" s="144">
        <v>63610144</v>
      </c>
      <c r="AC8" s="145">
        <v>69776047</v>
      </c>
      <c r="AF8" s="22"/>
      <c r="AG8" s="22"/>
    </row>
    <row r="9" spans="1:33" x14ac:dyDescent="0.25">
      <c r="A9" s="154" t="s">
        <v>45</v>
      </c>
      <c r="B9" s="401">
        <v>1169330</v>
      </c>
      <c r="C9" s="269">
        <v>1169330</v>
      </c>
      <c r="D9" s="269">
        <v>816337</v>
      </c>
      <c r="E9" s="269">
        <v>833017</v>
      </c>
      <c r="F9" s="269">
        <v>828675</v>
      </c>
      <c r="G9" s="269">
        <v>583358</v>
      </c>
      <c r="H9" s="105"/>
      <c r="I9" s="149" t="s">
        <v>45</v>
      </c>
      <c r="J9" s="105">
        <v>1073203</v>
      </c>
      <c r="K9" s="105">
        <v>1073203</v>
      </c>
      <c r="L9" s="105">
        <v>1001081</v>
      </c>
      <c r="M9" s="105">
        <v>971315</v>
      </c>
      <c r="N9" s="105">
        <v>1176982</v>
      </c>
      <c r="O9" s="105">
        <v>748403</v>
      </c>
      <c r="P9" s="246" t="e">
        <f>#REF!</f>
        <v>#REF!</v>
      </c>
      <c r="Q9" s="247" t="e">
        <f t="shared" si="0"/>
        <v>#REF!</v>
      </c>
      <c r="R9" s="240">
        <f t="shared" si="1"/>
        <v>-8.2206904808736603E-2</v>
      </c>
      <c r="S9" s="241" t="e">
        <f t="shared" si="2"/>
        <v>#REF!</v>
      </c>
      <c r="T9" s="234"/>
      <c r="U9" s="488"/>
      <c r="V9" s="142" t="s">
        <v>15</v>
      </c>
      <c r="W9" s="143">
        <v>991820</v>
      </c>
      <c r="X9" s="144">
        <v>1357882</v>
      </c>
      <c r="Y9" s="144">
        <v>1016856</v>
      </c>
      <c r="Z9" s="144">
        <v>924880</v>
      </c>
      <c r="AA9" s="144">
        <v>748958</v>
      </c>
      <c r="AB9" s="144">
        <v>56221464</v>
      </c>
      <c r="AC9" s="145">
        <v>61261860</v>
      </c>
      <c r="AF9" s="22"/>
      <c r="AG9" s="22"/>
    </row>
    <row r="10" spans="1:33" x14ac:dyDescent="0.25">
      <c r="A10" s="154" t="s">
        <v>46</v>
      </c>
      <c r="B10" s="401">
        <v>666817</v>
      </c>
      <c r="C10" s="269">
        <v>666817</v>
      </c>
      <c r="D10" s="269">
        <v>442679</v>
      </c>
      <c r="E10" s="269">
        <v>438451</v>
      </c>
      <c r="F10" s="269">
        <v>356735</v>
      </c>
      <c r="G10" s="269">
        <v>256790</v>
      </c>
      <c r="H10" s="105"/>
      <c r="I10" s="149" t="s">
        <v>46</v>
      </c>
      <c r="J10" s="105">
        <v>534461</v>
      </c>
      <c r="K10" s="105">
        <v>534461</v>
      </c>
      <c r="L10" s="105">
        <v>556962</v>
      </c>
      <c r="M10" s="105">
        <v>539239</v>
      </c>
      <c r="N10" s="105">
        <v>570524</v>
      </c>
      <c r="O10" s="105">
        <v>383004</v>
      </c>
      <c r="P10" s="246" t="e">
        <f>#REF!</f>
        <v>#REF!</v>
      </c>
      <c r="Q10" s="247" t="e">
        <f t="shared" si="0"/>
        <v>#REF!</v>
      </c>
      <c r="R10" s="240">
        <f t="shared" si="1"/>
        <v>-0.19848924067622753</v>
      </c>
      <c r="S10" s="241" t="e">
        <f t="shared" si="2"/>
        <v>#REF!</v>
      </c>
      <c r="T10" s="234"/>
      <c r="U10" s="488"/>
      <c r="V10" s="142" t="s">
        <v>14</v>
      </c>
      <c r="W10" s="143">
        <v>563949</v>
      </c>
      <c r="X10" s="144">
        <v>726172</v>
      </c>
      <c r="Y10" s="144">
        <v>615482</v>
      </c>
      <c r="Z10" s="144">
        <v>486098</v>
      </c>
      <c r="AA10" s="144">
        <v>515130</v>
      </c>
      <c r="AB10" s="144">
        <v>35343253</v>
      </c>
      <c r="AC10" s="145">
        <v>38250084</v>
      </c>
      <c r="AF10" s="22"/>
      <c r="AG10" s="22"/>
    </row>
    <row r="11" spans="1:33" x14ac:dyDescent="0.25">
      <c r="A11" s="154" t="s">
        <v>47</v>
      </c>
      <c r="B11" s="401">
        <v>217963</v>
      </c>
      <c r="C11" s="269">
        <v>217963</v>
      </c>
      <c r="D11" s="269">
        <v>272526</v>
      </c>
      <c r="E11" s="269">
        <v>254106</v>
      </c>
      <c r="F11" s="269">
        <v>153940</v>
      </c>
      <c r="G11" s="269">
        <v>153008</v>
      </c>
      <c r="H11" s="105"/>
      <c r="I11" s="149" t="s">
        <v>47</v>
      </c>
      <c r="J11" s="105">
        <v>188598</v>
      </c>
      <c r="K11" s="105">
        <v>188598</v>
      </c>
      <c r="L11" s="105">
        <v>289874</v>
      </c>
      <c r="M11" s="105">
        <v>271362</v>
      </c>
      <c r="N11" s="105">
        <v>208288</v>
      </c>
      <c r="O11" s="105">
        <v>169335</v>
      </c>
      <c r="P11" s="246" t="e">
        <f>#REF!</f>
        <v>#REF!</v>
      </c>
      <c r="Q11" s="247" t="e">
        <f t="shared" si="0"/>
        <v>#REF!</v>
      </c>
      <c r="R11" s="240">
        <f t="shared" si="1"/>
        <v>-0.13472470098135925</v>
      </c>
      <c r="S11" s="241" t="e">
        <f t="shared" si="2"/>
        <v>#REF!</v>
      </c>
      <c r="T11" s="234"/>
      <c r="U11" s="488"/>
      <c r="V11" s="142" t="s">
        <v>13</v>
      </c>
      <c r="W11" s="143">
        <v>187053</v>
      </c>
      <c r="X11" s="144">
        <v>314211</v>
      </c>
      <c r="Y11" s="144">
        <v>378814</v>
      </c>
      <c r="Z11" s="144">
        <v>175421</v>
      </c>
      <c r="AA11" s="144">
        <v>218280</v>
      </c>
      <c r="AB11" s="144">
        <v>16449151</v>
      </c>
      <c r="AC11" s="145">
        <v>17722930</v>
      </c>
      <c r="AF11" s="22"/>
      <c r="AG11" s="22"/>
    </row>
    <row r="12" spans="1:33" ht="15.75" customHeight="1" thickBot="1" x14ac:dyDescent="0.3">
      <c r="A12" s="154" t="s">
        <v>24</v>
      </c>
      <c r="B12" s="401">
        <v>5509110</v>
      </c>
      <c r="C12" s="269">
        <v>5509110</v>
      </c>
      <c r="D12" s="269">
        <v>4391344</v>
      </c>
      <c r="E12" s="269">
        <v>4452557</v>
      </c>
      <c r="F12" s="269">
        <v>4715407</v>
      </c>
      <c r="G12" s="269">
        <v>3043878</v>
      </c>
      <c r="H12" s="105"/>
      <c r="I12" s="149" t="s">
        <v>24</v>
      </c>
      <c r="J12" s="105">
        <v>5268860</v>
      </c>
      <c r="K12" s="105">
        <v>5268860</v>
      </c>
      <c r="L12" s="105">
        <v>4552402</v>
      </c>
      <c r="M12" s="105">
        <v>4296250</v>
      </c>
      <c r="N12" s="105">
        <v>5946800</v>
      </c>
      <c r="O12" s="105">
        <v>3439809</v>
      </c>
      <c r="P12" s="246" t="e">
        <f>SUM(P6:P11)</f>
        <v>#REF!</v>
      </c>
      <c r="Q12" s="247" t="e">
        <f t="shared" si="0"/>
        <v>#REF!</v>
      </c>
      <c r="R12" s="240">
        <f t="shared" si="1"/>
        <v>-4.3609584851273642E-2</v>
      </c>
      <c r="S12" s="241" t="e">
        <f t="shared" si="2"/>
        <v>#REF!</v>
      </c>
      <c r="T12" s="234"/>
      <c r="U12" s="483" t="s">
        <v>25</v>
      </c>
      <c r="V12" s="484"/>
      <c r="W12" s="146">
        <v>4806318</v>
      </c>
      <c r="X12" s="147">
        <v>5606917</v>
      </c>
      <c r="Y12" s="147">
        <v>5175899</v>
      </c>
      <c r="Z12" s="147">
        <v>4525253</v>
      </c>
      <c r="AA12" s="147">
        <v>3667225</v>
      </c>
      <c r="AB12" s="147">
        <v>259272261</v>
      </c>
      <c r="AC12" s="148">
        <v>283053873</v>
      </c>
      <c r="AF12" s="22"/>
      <c r="AG12" s="22"/>
    </row>
    <row r="13" spans="1:33" ht="15" customHeight="1" x14ac:dyDescent="0.25">
      <c r="A13" s="155"/>
      <c r="B13" s="107"/>
      <c r="C13" s="107"/>
      <c r="D13" s="107"/>
      <c r="E13" s="107"/>
      <c r="F13" s="107"/>
      <c r="G13" s="107"/>
      <c r="H13" s="105"/>
      <c r="I13" s="149"/>
      <c r="J13" s="105"/>
      <c r="K13" s="105"/>
      <c r="L13" s="105"/>
      <c r="M13" s="105"/>
      <c r="N13" s="105"/>
      <c r="O13" s="105"/>
      <c r="P13" s="236"/>
      <c r="Q13" s="237"/>
      <c r="R13" s="240"/>
      <c r="S13" s="241"/>
      <c r="T13" s="234"/>
      <c r="U13" s="27"/>
      <c r="V13" s="27"/>
      <c r="W13" s="27"/>
      <c r="X13" s="27"/>
      <c r="Y13" s="27"/>
      <c r="Z13" s="27"/>
      <c r="AA13" s="27"/>
      <c r="AB13" s="27"/>
      <c r="AC13" s="27"/>
      <c r="AF13" s="22"/>
      <c r="AG13" s="22"/>
    </row>
    <row r="14" spans="1:33" ht="15.75" customHeight="1" x14ac:dyDescent="0.25">
      <c r="A14" s="155"/>
      <c r="B14" s="107"/>
      <c r="C14" s="107"/>
      <c r="D14" s="107"/>
      <c r="E14" s="107"/>
      <c r="F14" s="107"/>
      <c r="G14" s="107"/>
      <c r="H14" s="105"/>
      <c r="I14" s="149"/>
      <c r="J14" s="105"/>
      <c r="K14" s="105"/>
      <c r="L14" s="105"/>
      <c r="M14" s="105"/>
      <c r="N14" s="105"/>
      <c r="O14" s="105"/>
      <c r="P14" s="236"/>
      <c r="Q14" s="237"/>
      <c r="R14" s="240"/>
      <c r="S14" s="241"/>
      <c r="T14" s="234"/>
      <c r="U14" s="497" t="s">
        <v>158</v>
      </c>
      <c r="V14" s="490"/>
      <c r="W14" s="490"/>
      <c r="X14" s="490"/>
      <c r="Y14" s="490"/>
      <c r="Z14" s="490"/>
      <c r="AA14" s="490"/>
      <c r="AB14" s="490"/>
      <c r="AC14" s="490"/>
      <c r="AF14" s="22"/>
      <c r="AG14" s="22"/>
    </row>
    <row r="15" spans="1:33" ht="15.75" thickBot="1" x14ac:dyDescent="0.3">
      <c r="A15" s="155"/>
      <c r="B15" s="107"/>
      <c r="C15" s="107"/>
      <c r="D15" s="107"/>
      <c r="E15" s="107"/>
      <c r="F15" s="107"/>
      <c r="G15" s="107"/>
      <c r="H15" s="105"/>
      <c r="I15" s="149"/>
      <c r="J15" s="105"/>
      <c r="K15" s="105"/>
      <c r="L15" s="105"/>
      <c r="M15" s="105"/>
      <c r="N15" s="105"/>
      <c r="O15" s="105"/>
      <c r="P15" s="236"/>
      <c r="Q15" s="237"/>
      <c r="R15" s="240"/>
      <c r="S15" s="241"/>
      <c r="T15" s="234"/>
      <c r="U15" s="489" t="s">
        <v>23</v>
      </c>
      <c r="V15" s="490"/>
      <c r="W15" s="490"/>
      <c r="X15" s="490"/>
      <c r="Y15" s="490"/>
      <c r="Z15" s="490"/>
      <c r="AA15" s="490"/>
      <c r="AB15" s="490"/>
      <c r="AC15" s="490"/>
      <c r="AF15" s="22"/>
      <c r="AG15" s="22"/>
    </row>
    <row r="16" spans="1:33" ht="15.75" customHeight="1" thickBot="1" x14ac:dyDescent="0.3">
      <c r="A16" s="155"/>
      <c r="B16" s="107"/>
      <c r="C16" s="107"/>
      <c r="D16" s="107"/>
      <c r="E16" s="107"/>
      <c r="F16" s="107"/>
      <c r="G16" s="107"/>
      <c r="H16" s="105"/>
      <c r="I16" s="149"/>
      <c r="J16" s="105"/>
      <c r="K16" s="105"/>
      <c r="L16" s="105"/>
      <c r="M16" s="105"/>
      <c r="N16" s="105"/>
      <c r="O16" s="105"/>
      <c r="P16" s="236"/>
      <c r="Q16" s="237"/>
      <c r="R16" s="240"/>
      <c r="S16" s="241"/>
      <c r="T16" s="234"/>
      <c r="U16" s="14"/>
      <c r="V16" s="13"/>
      <c r="W16" s="498" t="s">
        <v>26</v>
      </c>
      <c r="X16" s="499"/>
      <c r="Y16" s="499"/>
      <c r="Z16" s="499"/>
      <c r="AA16" s="499"/>
      <c r="AB16" s="500"/>
      <c r="AC16" s="501" t="s">
        <v>25</v>
      </c>
      <c r="AF16" s="22"/>
      <c r="AG16" s="22"/>
    </row>
    <row r="17" spans="1:33" s="18" customFormat="1" ht="30.75" thickBot="1" x14ac:dyDescent="0.3">
      <c r="A17" s="156"/>
      <c r="B17" s="400" t="s">
        <v>219</v>
      </c>
      <c r="C17" s="126" t="s">
        <v>37</v>
      </c>
      <c r="D17" s="126" t="s">
        <v>38</v>
      </c>
      <c r="E17" s="126" t="s">
        <v>39</v>
      </c>
      <c r="F17" s="126" t="s">
        <v>40</v>
      </c>
      <c r="G17" s="126" t="s">
        <v>41</v>
      </c>
      <c r="I17" s="151"/>
      <c r="J17" s="18" t="s">
        <v>219</v>
      </c>
      <c r="K17" s="417" t="s">
        <v>37</v>
      </c>
      <c r="L17" s="18" t="s">
        <v>38</v>
      </c>
      <c r="M17" s="18" t="s">
        <v>39</v>
      </c>
      <c r="N17" s="18" t="s">
        <v>40</v>
      </c>
      <c r="O17" s="18" t="s">
        <v>41</v>
      </c>
      <c r="P17" s="248" t="s">
        <v>541</v>
      </c>
      <c r="Q17" s="249" t="s">
        <v>542</v>
      </c>
      <c r="R17" s="238" t="s">
        <v>623</v>
      </c>
      <c r="S17" s="239" t="s">
        <v>624</v>
      </c>
      <c r="T17" s="233"/>
      <c r="U17" s="12"/>
      <c r="V17" s="47"/>
      <c r="W17" s="91" t="s">
        <v>37</v>
      </c>
      <c r="X17" s="92" t="s">
        <v>38</v>
      </c>
      <c r="Y17" s="92" t="s">
        <v>39</v>
      </c>
      <c r="Z17" s="92" t="s">
        <v>40</v>
      </c>
      <c r="AA17" s="92" t="s">
        <v>41</v>
      </c>
      <c r="AB17" s="92" t="s">
        <v>301</v>
      </c>
      <c r="AC17" s="502"/>
      <c r="AF17" s="22"/>
      <c r="AG17" s="22"/>
    </row>
    <row r="18" spans="1:33" ht="17.25" customHeight="1" x14ac:dyDescent="0.25">
      <c r="A18" s="153" t="s">
        <v>48</v>
      </c>
      <c r="B18" s="402">
        <v>737310</v>
      </c>
      <c r="C18" s="268">
        <v>737310</v>
      </c>
      <c r="D18" s="268">
        <v>705566</v>
      </c>
      <c r="E18" s="268">
        <v>657950</v>
      </c>
      <c r="F18" s="268">
        <v>561653</v>
      </c>
      <c r="G18" s="268">
        <v>486420</v>
      </c>
      <c r="I18" s="152" t="s">
        <v>48</v>
      </c>
      <c r="J18" s="22">
        <v>705156</v>
      </c>
      <c r="K18" s="419">
        <v>705156</v>
      </c>
      <c r="L18">
        <v>740661</v>
      </c>
      <c r="M18">
        <v>677918</v>
      </c>
      <c r="N18">
        <v>684964</v>
      </c>
      <c r="O18">
        <v>567301</v>
      </c>
      <c r="P18" s="246" t="e">
        <f>#REF!</f>
        <v>#REF!</v>
      </c>
      <c r="Q18" s="247" t="e">
        <f>P18/J18-1</f>
        <v>#REF!</v>
      </c>
      <c r="R18" s="240">
        <f>J18/B18-1</f>
        <v>-4.3609879155307785E-2</v>
      </c>
      <c r="S18" s="241" t="e">
        <f>P18/B18-1</f>
        <v>#REF!</v>
      </c>
      <c r="T18" s="234"/>
      <c r="U18" s="481" t="s">
        <v>159</v>
      </c>
      <c r="V18" s="11" t="s">
        <v>3</v>
      </c>
      <c r="W18" s="10">
        <v>858922</v>
      </c>
      <c r="X18" s="9">
        <v>1240883</v>
      </c>
      <c r="Y18" s="9">
        <v>1156568</v>
      </c>
      <c r="Z18" s="9">
        <v>794734</v>
      </c>
      <c r="AA18" s="9">
        <v>628497</v>
      </c>
      <c r="AB18" s="9">
        <v>52725528</v>
      </c>
      <c r="AC18" s="24">
        <v>57405132</v>
      </c>
      <c r="AF18" s="22"/>
      <c r="AG18" s="22"/>
    </row>
    <row r="19" spans="1:33" ht="14.25" customHeight="1" x14ac:dyDescent="0.25">
      <c r="A19" s="153" t="s">
        <v>49</v>
      </c>
      <c r="B19" s="402">
        <v>1358379</v>
      </c>
      <c r="C19" s="268">
        <v>1358379</v>
      </c>
      <c r="D19" s="268">
        <v>1181541.8083254262</v>
      </c>
      <c r="E19" s="268">
        <v>1130915.345225184</v>
      </c>
      <c r="F19" s="268">
        <v>1041493.2201308362</v>
      </c>
      <c r="G19" s="268">
        <v>766996.73163933714</v>
      </c>
      <c r="I19" s="152" t="s">
        <v>49</v>
      </c>
      <c r="J19" s="22">
        <v>1299140.7400375765</v>
      </c>
      <c r="K19" s="419">
        <v>1299140.7400375765</v>
      </c>
      <c r="L19">
        <v>1266697.5385589707</v>
      </c>
      <c r="M19">
        <v>1158962.8028462748</v>
      </c>
      <c r="N19">
        <v>1388243.3881770463</v>
      </c>
      <c r="O19">
        <v>906231.03506343672</v>
      </c>
      <c r="P19" s="246" t="e">
        <f>#REF!</f>
        <v>#REF!</v>
      </c>
      <c r="Q19" s="247" t="e">
        <f>P19/J19-1</f>
        <v>#REF!</v>
      </c>
      <c r="R19" s="240">
        <f>J19/B19-1</f>
        <v>-4.360952279328778E-2</v>
      </c>
      <c r="S19" s="241" t="e">
        <f>P19/B19-1</f>
        <v>#REF!</v>
      </c>
      <c r="T19" s="234"/>
      <c r="U19" s="482"/>
      <c r="V19" s="8" t="s">
        <v>2</v>
      </c>
      <c r="W19" s="7">
        <v>1285928</v>
      </c>
      <c r="X19" s="6">
        <v>1513347</v>
      </c>
      <c r="Y19" s="6">
        <v>1270695</v>
      </c>
      <c r="Z19" s="6">
        <v>1099973</v>
      </c>
      <c r="AA19" s="6">
        <v>965944</v>
      </c>
      <c r="AB19" s="6">
        <v>73934031</v>
      </c>
      <c r="AC19" s="25">
        <v>80069918</v>
      </c>
      <c r="AF19" s="22"/>
      <c r="AG19" s="22"/>
    </row>
    <row r="20" spans="1:33" x14ac:dyDescent="0.25">
      <c r="A20" s="153" t="s">
        <v>50</v>
      </c>
      <c r="B20" s="402">
        <v>854305</v>
      </c>
      <c r="C20" s="268">
        <v>854305</v>
      </c>
      <c r="D20" s="268">
        <v>471905.99657672393</v>
      </c>
      <c r="E20" s="268">
        <v>700633.7755542621</v>
      </c>
      <c r="F20" s="268">
        <v>645310.99799556017</v>
      </c>
      <c r="G20" s="268">
        <v>385326.81167549919</v>
      </c>
      <c r="I20" s="152" t="s">
        <v>50</v>
      </c>
      <c r="J20" s="22">
        <v>817049.43661383749</v>
      </c>
      <c r="K20" s="419">
        <v>817049.43661383749</v>
      </c>
      <c r="L20">
        <v>522616.80334928911</v>
      </c>
      <c r="M20">
        <v>683662.76867367304</v>
      </c>
      <c r="N20">
        <v>911253.26132864901</v>
      </c>
      <c r="O20" s="20">
        <v>438999.48916399223</v>
      </c>
      <c r="P20" s="246" t="e">
        <f>#REF!</f>
        <v>#REF!</v>
      </c>
      <c r="Q20" s="247" t="e">
        <f>P20/J20-1</f>
        <v>#REF!</v>
      </c>
      <c r="R20" s="240">
        <f>J20/B20-1</f>
        <v>-4.3609206765923725E-2</v>
      </c>
      <c r="S20" s="241" t="e">
        <f>P20/B20-1</f>
        <v>#REF!</v>
      </c>
      <c r="T20" s="234"/>
      <c r="U20" s="482"/>
      <c r="V20" s="8" t="s">
        <v>1</v>
      </c>
      <c r="W20" s="7">
        <v>646741</v>
      </c>
      <c r="X20" s="6">
        <v>784772</v>
      </c>
      <c r="Y20" s="6">
        <v>633240</v>
      </c>
      <c r="Z20" s="6">
        <v>708577</v>
      </c>
      <c r="AA20" s="6">
        <v>251614</v>
      </c>
      <c r="AB20" s="6">
        <v>34052176</v>
      </c>
      <c r="AC20" s="25">
        <v>37077120</v>
      </c>
      <c r="AF20" s="22"/>
      <c r="AG20" s="22"/>
    </row>
    <row r="21" spans="1:33" ht="14.25" customHeight="1" x14ac:dyDescent="0.25">
      <c r="A21" s="153" t="s">
        <v>51</v>
      </c>
      <c r="B21" s="401">
        <v>2559116</v>
      </c>
      <c r="C21" s="269">
        <v>2559116</v>
      </c>
      <c r="D21" s="269">
        <v>2032330.1950978502</v>
      </c>
      <c r="E21" s="269">
        <v>1963057.8792205544</v>
      </c>
      <c r="F21" s="269">
        <v>2466949.7818736034</v>
      </c>
      <c r="G21" s="269">
        <v>1405134.4566851635</v>
      </c>
      <c r="I21" s="152" t="s">
        <v>51</v>
      </c>
      <c r="J21" s="22">
        <v>2447513.823348586</v>
      </c>
      <c r="K21" s="419">
        <v>2447513.823348586</v>
      </c>
      <c r="L21">
        <v>2022426.6580917402</v>
      </c>
      <c r="M21">
        <v>1775706.4284800522</v>
      </c>
      <c r="N21">
        <v>2962339.3504943037</v>
      </c>
      <c r="O21">
        <v>1527277.4757725715</v>
      </c>
      <c r="P21" s="246" t="e">
        <f>#REF!</f>
        <v>#REF!</v>
      </c>
      <c r="Q21" s="247" t="e">
        <f>P21/J21-1</f>
        <v>#REF!</v>
      </c>
      <c r="R21" s="240">
        <f>J21/B21-1</f>
        <v>-4.3609659214906227E-2</v>
      </c>
      <c r="S21" s="241" t="e">
        <f>P21/B21-1</f>
        <v>#REF!</v>
      </c>
      <c r="T21" s="234"/>
      <c r="U21" s="482"/>
      <c r="V21" s="8" t="s">
        <v>0</v>
      </c>
      <c r="W21" s="7">
        <v>2014727</v>
      </c>
      <c r="X21" s="6">
        <v>2067915</v>
      </c>
      <c r="Y21" s="6">
        <v>2115396</v>
      </c>
      <c r="Z21" s="6">
        <v>1921969</v>
      </c>
      <c r="AA21" s="6">
        <v>1821170</v>
      </c>
      <c r="AB21" s="6">
        <v>98560524</v>
      </c>
      <c r="AC21" s="25">
        <v>108501701</v>
      </c>
      <c r="AF21" s="22"/>
      <c r="AG21" s="22"/>
    </row>
    <row r="22" spans="1:33" ht="15.75" customHeight="1" thickBot="1" x14ac:dyDescent="0.3">
      <c r="A22" s="153" t="s">
        <v>24</v>
      </c>
      <c r="B22" s="402">
        <v>5509110</v>
      </c>
      <c r="C22" s="268">
        <v>5509110</v>
      </c>
      <c r="D22" s="268">
        <v>4391344</v>
      </c>
      <c r="E22" s="268">
        <v>4452557.0000000009</v>
      </c>
      <c r="F22" s="268">
        <v>4715407</v>
      </c>
      <c r="G22" s="268">
        <v>3043878</v>
      </c>
      <c r="I22" s="152" t="s">
        <v>24</v>
      </c>
      <c r="J22" s="22">
        <v>5268860</v>
      </c>
      <c r="K22" s="419">
        <v>5268860</v>
      </c>
      <c r="L22">
        <v>4552402</v>
      </c>
      <c r="M22">
        <v>4296250</v>
      </c>
      <c r="N22">
        <v>5946799.9999999991</v>
      </c>
      <c r="O22">
        <v>3439809.0000000005</v>
      </c>
      <c r="P22" s="250" t="e">
        <f>SUM(P18:P21)</f>
        <v>#REF!</v>
      </c>
      <c r="Q22" s="247" t="e">
        <f>P22/J22-1</f>
        <v>#REF!</v>
      </c>
      <c r="R22" s="240">
        <f>J22/B22-1</f>
        <v>-4.3609584851273642E-2</v>
      </c>
      <c r="S22" s="241" t="e">
        <f>P22/B22-1</f>
        <v>#REF!</v>
      </c>
      <c r="T22" s="234"/>
      <c r="U22" s="479" t="s">
        <v>25</v>
      </c>
      <c r="V22" s="480"/>
      <c r="W22" s="5">
        <v>4806318</v>
      </c>
      <c r="X22" s="4">
        <v>5606917</v>
      </c>
      <c r="Y22" s="4">
        <v>5175899</v>
      </c>
      <c r="Z22" s="4">
        <v>4525253</v>
      </c>
      <c r="AA22" s="4">
        <v>3667225</v>
      </c>
      <c r="AB22" s="4">
        <v>259272259</v>
      </c>
      <c r="AC22" s="26">
        <v>283053871</v>
      </c>
      <c r="AF22" s="22"/>
      <c r="AG22" s="22"/>
    </row>
    <row r="23" spans="1:33" x14ac:dyDescent="0.25">
      <c r="A23" s="157"/>
      <c r="B23" s="87"/>
      <c r="I23" s="152"/>
      <c r="P23" s="251"/>
      <c r="Q23" s="252"/>
      <c r="R23" s="240"/>
      <c r="S23" s="241"/>
      <c r="T23" s="234"/>
      <c r="U23" s="27"/>
      <c r="V23" s="27"/>
      <c r="W23" s="27"/>
      <c r="X23" s="27"/>
      <c r="Y23" s="27"/>
      <c r="Z23" s="27"/>
      <c r="AA23" s="27"/>
      <c r="AB23" s="27"/>
      <c r="AC23" s="27"/>
      <c r="AF23" s="22"/>
      <c r="AG23" s="22"/>
    </row>
    <row r="24" spans="1:33" s="22" customFormat="1" x14ac:dyDescent="0.25">
      <c r="A24" s="157"/>
      <c r="B24" s="1"/>
      <c r="C24" s="1"/>
      <c r="D24" s="1"/>
      <c r="E24" s="1"/>
      <c r="F24" s="1"/>
      <c r="G24" s="1"/>
      <c r="I24" s="152"/>
      <c r="P24" s="251"/>
      <c r="Q24" s="252"/>
      <c r="R24" s="240"/>
      <c r="S24" s="241"/>
      <c r="T24" s="234"/>
      <c r="U24" s="505" t="s">
        <v>31</v>
      </c>
      <c r="V24" s="506"/>
      <c r="W24" s="506"/>
      <c r="X24" s="506"/>
      <c r="Y24" s="506"/>
      <c r="Z24" s="506"/>
      <c r="AA24" s="506"/>
      <c r="AB24" s="506"/>
      <c r="AC24" s="506"/>
    </row>
    <row r="25" spans="1:33" s="22" customFormat="1" ht="15.75" thickBot="1" x14ac:dyDescent="0.3">
      <c r="A25" s="157"/>
      <c r="B25" s="1"/>
      <c r="C25" s="1"/>
      <c r="D25" s="1"/>
      <c r="E25" s="1"/>
      <c r="F25" s="1"/>
      <c r="G25" s="1"/>
      <c r="I25" s="152"/>
      <c r="P25" s="251"/>
      <c r="Q25" s="252"/>
      <c r="R25" s="240"/>
      <c r="S25" s="241"/>
      <c r="T25" s="234"/>
      <c r="U25" s="507" t="s">
        <v>23</v>
      </c>
      <c r="V25" s="506"/>
      <c r="W25" s="506"/>
      <c r="X25" s="506"/>
      <c r="Y25" s="506"/>
      <c r="Z25" s="506"/>
      <c r="AA25" s="506"/>
      <c r="AB25" s="506"/>
      <c r="AC25" s="506"/>
    </row>
    <row r="26" spans="1:33" s="22" customFormat="1" ht="15.75" customHeight="1" thickBot="1" x14ac:dyDescent="0.3">
      <c r="A26" s="157"/>
      <c r="B26" s="1"/>
      <c r="C26" s="1"/>
      <c r="D26" s="1"/>
      <c r="E26" s="1"/>
      <c r="F26" s="1"/>
      <c r="G26" s="1"/>
      <c r="I26" s="152"/>
      <c r="P26" s="251"/>
      <c r="Q26" s="252"/>
      <c r="R26" s="240"/>
      <c r="S26" s="241"/>
      <c r="T26" s="234"/>
      <c r="U26" s="176"/>
      <c r="V26" s="205"/>
      <c r="W26" s="508" t="s">
        <v>26</v>
      </c>
      <c r="X26" s="509"/>
      <c r="Y26" s="509"/>
      <c r="Z26" s="509"/>
      <c r="AA26" s="509"/>
      <c r="AB26" s="510"/>
      <c r="AC26" s="511" t="s">
        <v>25</v>
      </c>
    </row>
    <row r="27" spans="1:33" s="18" customFormat="1" ht="30.75" thickBot="1" x14ac:dyDescent="0.3">
      <c r="A27" s="156"/>
      <c r="B27" s="410" t="s">
        <v>219</v>
      </c>
      <c r="C27" s="126" t="s">
        <v>37</v>
      </c>
      <c r="D27" s="126" t="s">
        <v>38</v>
      </c>
      <c r="E27" s="126" t="s">
        <v>39</v>
      </c>
      <c r="F27" s="126" t="s">
        <v>40</v>
      </c>
      <c r="G27" s="126" t="s">
        <v>41</v>
      </c>
      <c r="I27" s="151"/>
      <c r="J27" s="18" t="s">
        <v>219</v>
      </c>
      <c r="K27" s="417" t="s">
        <v>37</v>
      </c>
      <c r="L27" s="18" t="s">
        <v>38</v>
      </c>
      <c r="M27" s="18" t="s">
        <v>39</v>
      </c>
      <c r="N27" s="18" t="s">
        <v>40</v>
      </c>
      <c r="O27" s="18" t="s">
        <v>41</v>
      </c>
      <c r="P27" s="248" t="s">
        <v>541</v>
      </c>
      <c r="Q27" s="249" t="s">
        <v>542</v>
      </c>
      <c r="R27" s="238" t="s">
        <v>623</v>
      </c>
      <c r="S27" s="239" t="s">
        <v>624</v>
      </c>
      <c r="T27" s="233"/>
      <c r="U27" s="206"/>
      <c r="V27" s="204"/>
      <c r="W27" s="178" t="s">
        <v>524</v>
      </c>
      <c r="X27" s="179" t="s">
        <v>525</v>
      </c>
      <c r="Y27" s="179" t="s">
        <v>526</v>
      </c>
      <c r="Z27" s="179" t="s">
        <v>527</v>
      </c>
      <c r="AA27" s="179" t="s">
        <v>528</v>
      </c>
      <c r="AB27" s="179" t="s">
        <v>574</v>
      </c>
      <c r="AC27" s="512"/>
      <c r="AF27" s="22"/>
      <c r="AG27" s="22"/>
    </row>
    <row r="28" spans="1:33" s="22" customFormat="1" ht="15.75" customHeight="1" x14ac:dyDescent="0.25">
      <c r="A28" s="224" t="s">
        <v>550</v>
      </c>
      <c r="B28" s="408">
        <v>358969</v>
      </c>
      <c r="C28" s="268">
        <v>358969</v>
      </c>
      <c r="D28" s="268">
        <v>167588.08480130637</v>
      </c>
      <c r="E28" s="268">
        <v>95827.682088880058</v>
      </c>
      <c r="F28" s="268">
        <v>759250.21915530448</v>
      </c>
      <c r="G28" s="268">
        <v>109671.66186451932</v>
      </c>
      <c r="I28" s="226" t="s">
        <v>550</v>
      </c>
      <c r="J28" s="20">
        <v>343314.98050843575</v>
      </c>
      <c r="K28" s="418">
        <v>343314.98050843575</v>
      </c>
      <c r="L28" s="20">
        <v>214056.84969915028</v>
      </c>
      <c r="M28" s="20">
        <v>110009.22615935533</v>
      </c>
      <c r="N28" s="20">
        <v>1250217.6189795486</v>
      </c>
      <c r="O28" s="20">
        <v>209220.54624788888</v>
      </c>
      <c r="P28" s="246" t="e">
        <f>#REF!</f>
        <v>#REF!</v>
      </c>
      <c r="Q28" s="247" t="e">
        <f t="shared" ref="Q28:Q40" si="3">P28/J28-1</f>
        <v>#REF!</v>
      </c>
      <c r="R28" s="240">
        <f t="shared" ref="R28:R40" si="4">J28/B28-1</f>
        <v>-4.3608276735774498E-2</v>
      </c>
      <c r="S28" s="241" t="e">
        <f t="shared" ref="S28:S40" si="5">P28/B28-1</f>
        <v>#REF!</v>
      </c>
      <c r="T28" s="234"/>
      <c r="U28" s="513" t="s">
        <v>30</v>
      </c>
      <c r="V28" s="181" t="s">
        <v>562</v>
      </c>
      <c r="W28" s="215">
        <v>262043</v>
      </c>
      <c r="X28" s="216">
        <v>242098</v>
      </c>
      <c r="Y28" s="216">
        <v>242916</v>
      </c>
      <c r="Z28" s="216">
        <v>711448</v>
      </c>
      <c r="AA28" s="216">
        <v>177291</v>
      </c>
      <c r="AB28" s="216">
        <v>22759539</v>
      </c>
      <c r="AC28" s="217">
        <v>24395335</v>
      </c>
    </row>
    <row r="29" spans="1:33" s="22" customFormat="1" ht="14.25" customHeight="1" x14ac:dyDescent="0.25">
      <c r="A29" s="225" t="s">
        <v>551</v>
      </c>
      <c r="B29" s="408">
        <v>45521</v>
      </c>
      <c r="C29" s="268">
        <v>45521</v>
      </c>
      <c r="D29" s="268">
        <v>37311.274834634474</v>
      </c>
      <c r="E29" s="268">
        <v>11846.241873813569</v>
      </c>
      <c r="F29" s="268">
        <v>122184.94901742379</v>
      </c>
      <c r="G29" s="268">
        <v>6377.9767276203174</v>
      </c>
      <c r="I29" s="227" t="s">
        <v>551</v>
      </c>
      <c r="J29" s="20">
        <v>43536.055072160067</v>
      </c>
      <c r="K29" s="418">
        <v>43536.055072160067</v>
      </c>
      <c r="L29" s="20">
        <v>93885.840403316732</v>
      </c>
      <c r="M29" s="20">
        <v>29048.66310077719</v>
      </c>
      <c r="N29" s="20">
        <v>278400.89967427711</v>
      </c>
      <c r="O29" s="20">
        <v>17906.947028228726</v>
      </c>
      <c r="P29" s="246" t="e">
        <f>#REF!</f>
        <v>#REF!</v>
      </c>
      <c r="Q29" s="247" t="e">
        <f t="shared" si="3"/>
        <v>#REF!</v>
      </c>
      <c r="R29" s="240">
        <f t="shared" si="4"/>
        <v>-4.3605037847145978E-2</v>
      </c>
      <c r="S29" s="241" t="e">
        <f t="shared" si="5"/>
        <v>#REF!</v>
      </c>
      <c r="T29" s="234"/>
      <c r="U29" s="514"/>
      <c r="V29" s="185" t="s">
        <v>563</v>
      </c>
      <c r="W29" s="218">
        <v>42689</v>
      </c>
      <c r="X29" s="219">
        <v>125307</v>
      </c>
      <c r="Y29" s="219">
        <v>59831</v>
      </c>
      <c r="Z29" s="219">
        <v>192470</v>
      </c>
      <c r="AA29" s="219">
        <v>0</v>
      </c>
      <c r="AB29" s="219">
        <v>6616719</v>
      </c>
      <c r="AC29" s="220">
        <v>7037016</v>
      </c>
    </row>
    <row r="30" spans="1:33" s="22" customFormat="1" ht="14.25" customHeight="1" x14ac:dyDescent="0.25">
      <c r="A30" s="225" t="s">
        <v>552</v>
      </c>
      <c r="B30" s="408">
        <v>167870</v>
      </c>
      <c r="C30" s="268">
        <v>167870</v>
      </c>
      <c r="D30" s="268">
        <v>76705.640364059174</v>
      </c>
      <c r="E30" s="268">
        <v>19244.076037306364</v>
      </c>
      <c r="F30" s="268">
        <v>472041.83182727185</v>
      </c>
      <c r="G30" s="268">
        <v>46403.36140786035</v>
      </c>
      <c r="I30" s="227" t="s">
        <v>552</v>
      </c>
      <c r="J30" s="20">
        <v>160548.96441940416</v>
      </c>
      <c r="K30" s="418">
        <v>160548.96441940416</v>
      </c>
      <c r="L30" s="20">
        <v>102573.30989753301</v>
      </c>
      <c r="M30" s="20">
        <v>29007.110739867479</v>
      </c>
      <c r="N30" s="20">
        <v>570793.48134617438</v>
      </c>
      <c r="O30" s="20">
        <v>82348.506723882383</v>
      </c>
      <c r="P30" s="246" t="e">
        <f>#REF!</f>
        <v>#REF!</v>
      </c>
      <c r="Q30" s="247" t="e">
        <f t="shared" si="3"/>
        <v>#REF!</v>
      </c>
      <c r="R30" s="240">
        <f t="shared" si="4"/>
        <v>-4.361133961157948E-2</v>
      </c>
      <c r="S30" s="241" t="e">
        <f t="shared" si="5"/>
        <v>#REF!</v>
      </c>
      <c r="T30" s="234"/>
      <c r="U30" s="514"/>
      <c r="V30" s="185" t="s">
        <v>564</v>
      </c>
      <c r="W30" s="218">
        <v>141102</v>
      </c>
      <c r="X30" s="219">
        <v>155694</v>
      </c>
      <c r="Y30" s="219">
        <v>44557</v>
      </c>
      <c r="Z30" s="219">
        <v>507494</v>
      </c>
      <c r="AA30" s="219">
        <v>88559</v>
      </c>
      <c r="AB30" s="219">
        <v>9929254</v>
      </c>
      <c r="AC30" s="220">
        <v>10866660</v>
      </c>
    </row>
    <row r="31" spans="1:33" s="22" customFormat="1" ht="14.25" customHeight="1" x14ac:dyDescent="0.25">
      <c r="A31" s="225" t="s">
        <v>553</v>
      </c>
      <c r="B31" s="408">
        <v>1658242</v>
      </c>
      <c r="C31" s="268">
        <v>1658242</v>
      </c>
      <c r="D31" s="268">
        <v>146270.18616356776</v>
      </c>
      <c r="E31" s="268">
        <v>1020311.7589417979</v>
      </c>
      <c r="F31" s="268">
        <v>769471.14235565509</v>
      </c>
      <c r="G31" s="268">
        <v>168642.00028256071</v>
      </c>
      <c r="I31" s="227" t="s">
        <v>553</v>
      </c>
      <c r="J31" s="20">
        <v>1585926.4528433587</v>
      </c>
      <c r="K31" s="418">
        <v>1585926.4528433587</v>
      </c>
      <c r="L31" s="20">
        <v>149644.99198197707</v>
      </c>
      <c r="M31" s="20">
        <v>987446.22978548636</v>
      </c>
      <c r="N31" s="20">
        <v>989200.2664737975</v>
      </c>
      <c r="O31" s="20">
        <v>215735.45094232733</v>
      </c>
      <c r="P31" s="246" t="e">
        <f>#REF!</f>
        <v>#REF!</v>
      </c>
      <c r="Q31" s="247" t="e">
        <f t="shared" si="3"/>
        <v>#REF!</v>
      </c>
      <c r="R31" s="240">
        <f t="shared" si="4"/>
        <v>-4.3609766943932926E-2</v>
      </c>
      <c r="S31" s="241" t="e">
        <f t="shared" si="5"/>
        <v>#REF!</v>
      </c>
      <c r="T31" s="234"/>
      <c r="U31" s="514"/>
      <c r="V31" s="185" t="s">
        <v>565</v>
      </c>
      <c r="W31" s="218">
        <v>1363738</v>
      </c>
      <c r="X31" s="219">
        <v>168274</v>
      </c>
      <c r="Y31" s="219">
        <v>1099410</v>
      </c>
      <c r="Z31" s="219">
        <v>686185</v>
      </c>
      <c r="AA31" s="219">
        <v>116919</v>
      </c>
      <c r="AB31" s="219">
        <v>27805444</v>
      </c>
      <c r="AC31" s="220">
        <v>31239970</v>
      </c>
    </row>
    <row r="32" spans="1:33" s="22" customFormat="1" ht="14.25" customHeight="1" x14ac:dyDescent="0.25">
      <c r="A32" s="225" t="s">
        <v>554</v>
      </c>
      <c r="B32" s="408">
        <v>62595</v>
      </c>
      <c r="C32" s="268">
        <v>62595</v>
      </c>
      <c r="D32" s="268">
        <v>40594.089675093885</v>
      </c>
      <c r="E32" s="268">
        <v>9358.8693578936272</v>
      </c>
      <c r="F32" s="268">
        <v>9555.5476550313961</v>
      </c>
      <c r="G32" s="268">
        <v>3118.1742381076874</v>
      </c>
      <c r="I32" s="227" t="s">
        <v>554</v>
      </c>
      <c r="J32" s="20">
        <v>59865.382090772851</v>
      </c>
      <c r="K32" s="418">
        <v>59865.382090772851</v>
      </c>
      <c r="L32" s="20">
        <v>84411.236187442264</v>
      </c>
      <c r="M32" s="20">
        <v>16909.514697142138</v>
      </c>
      <c r="N32" s="20">
        <v>18053.10091667654</v>
      </c>
      <c r="O32" s="20">
        <v>5923.8455406430048</v>
      </c>
      <c r="P32" s="246" t="e">
        <f>#REF!</f>
        <v>#REF!</v>
      </c>
      <c r="Q32" s="247" t="e">
        <f t="shared" si="3"/>
        <v>#REF!</v>
      </c>
      <c r="R32" s="240">
        <f t="shared" si="4"/>
        <v>-4.3607602991087902E-2</v>
      </c>
      <c r="S32" s="241" t="e">
        <f t="shared" si="5"/>
        <v>#REF!</v>
      </c>
      <c r="T32" s="234"/>
      <c r="U32" s="514"/>
      <c r="V32" s="185" t="s">
        <v>566</v>
      </c>
      <c r="W32" s="218">
        <v>62710</v>
      </c>
      <c r="X32" s="219">
        <v>117458</v>
      </c>
      <c r="Y32" s="219">
        <v>20752</v>
      </c>
      <c r="Z32" s="219">
        <v>12964</v>
      </c>
      <c r="AA32" s="219">
        <v>0</v>
      </c>
      <c r="AB32" s="219">
        <v>1091947</v>
      </c>
      <c r="AC32" s="220">
        <v>1305831</v>
      </c>
    </row>
    <row r="33" spans="1:29" s="22" customFormat="1" ht="14.25" customHeight="1" x14ac:dyDescent="0.25">
      <c r="A33" s="225" t="s">
        <v>555</v>
      </c>
      <c r="B33" s="408">
        <v>84080</v>
      </c>
      <c r="C33" s="268">
        <v>84080</v>
      </c>
      <c r="D33" s="268">
        <v>89818.724161338367</v>
      </c>
      <c r="E33" s="268">
        <v>2177.3717003085185</v>
      </c>
      <c r="F33" s="268">
        <v>18735.309989313442</v>
      </c>
      <c r="G33" s="268">
        <v>2887.8254793316091</v>
      </c>
      <c r="I33" s="227" t="s">
        <v>555</v>
      </c>
      <c r="J33" s="20">
        <v>80413.165065868234</v>
      </c>
      <c r="K33" s="418">
        <v>80413.165065868234</v>
      </c>
      <c r="L33" s="20">
        <v>99254.771830580663</v>
      </c>
      <c r="M33" s="20">
        <v>2418.2555173714431</v>
      </c>
      <c r="N33" s="20">
        <v>18784.632609525954</v>
      </c>
      <c r="O33" s="20">
        <v>3467.7035170296822</v>
      </c>
      <c r="P33" s="246" t="e">
        <f>#REF!</f>
        <v>#REF!</v>
      </c>
      <c r="Q33" s="247" t="e">
        <f t="shared" si="3"/>
        <v>#REF!</v>
      </c>
      <c r="R33" s="240">
        <f t="shared" si="4"/>
        <v>-4.3611262299378728E-2</v>
      </c>
      <c r="S33" s="241" t="e">
        <f t="shared" si="5"/>
        <v>#REF!</v>
      </c>
      <c r="T33" s="234"/>
      <c r="U33" s="514"/>
      <c r="V33" s="185" t="s">
        <v>567</v>
      </c>
      <c r="W33" s="218">
        <v>75500</v>
      </c>
      <c r="X33" s="219">
        <v>157071</v>
      </c>
      <c r="Y33" s="219">
        <v>0</v>
      </c>
      <c r="Z33" s="219">
        <v>17348</v>
      </c>
      <c r="AA33" s="219">
        <v>0</v>
      </c>
      <c r="AB33" s="219">
        <v>1216976</v>
      </c>
      <c r="AC33" s="220">
        <v>1466895</v>
      </c>
    </row>
    <row r="34" spans="1:29" s="22" customFormat="1" ht="14.25" customHeight="1" x14ac:dyDescent="0.25">
      <c r="A34" s="225" t="s">
        <v>556</v>
      </c>
      <c r="B34" s="408">
        <v>66515</v>
      </c>
      <c r="C34" s="268">
        <v>66515</v>
      </c>
      <c r="D34" s="268">
        <v>69658.56064700961</v>
      </c>
      <c r="E34" s="268">
        <v>8652.2891538675321</v>
      </c>
      <c r="F34" s="268">
        <v>76825.124360699614</v>
      </c>
      <c r="G34" s="268">
        <v>188237.73562292245</v>
      </c>
      <c r="I34" s="227" t="s">
        <v>556</v>
      </c>
      <c r="J34" s="20">
        <v>63614.816988494393</v>
      </c>
      <c r="K34" s="418">
        <v>63614.816988494393</v>
      </c>
      <c r="L34" s="20">
        <v>113844.23902829844</v>
      </c>
      <c r="M34" s="20">
        <v>11874.422535552585</v>
      </c>
      <c r="N34" s="20">
        <v>151446.65145011511</v>
      </c>
      <c r="O34" s="20">
        <v>293929.24834985379</v>
      </c>
      <c r="P34" s="246" t="e">
        <f>#REF!</f>
        <v>#REF!</v>
      </c>
      <c r="Q34" s="247" t="e">
        <f t="shared" si="3"/>
        <v>#REF!</v>
      </c>
      <c r="R34" s="240">
        <f t="shared" si="4"/>
        <v>-4.3601939585140248E-2</v>
      </c>
      <c r="S34" s="241" t="e">
        <f t="shared" si="5"/>
        <v>#REF!</v>
      </c>
      <c r="T34" s="234"/>
      <c r="U34" s="514"/>
      <c r="V34" s="185" t="s">
        <v>568</v>
      </c>
      <c r="W34" s="218">
        <v>23686</v>
      </c>
      <c r="X34" s="219">
        <v>47999</v>
      </c>
      <c r="Y34" s="219">
        <v>20369</v>
      </c>
      <c r="Z34" s="219">
        <v>50498</v>
      </c>
      <c r="AA34" s="219">
        <v>52704</v>
      </c>
      <c r="AB34" s="219">
        <v>2998335</v>
      </c>
      <c r="AC34" s="220">
        <v>3193591</v>
      </c>
    </row>
    <row r="35" spans="1:29" s="22" customFormat="1" ht="14.25" customHeight="1" x14ac:dyDescent="0.25">
      <c r="A35" s="225" t="s">
        <v>557</v>
      </c>
      <c r="B35" s="408">
        <v>38350</v>
      </c>
      <c r="C35" s="268">
        <v>38350</v>
      </c>
      <c r="D35" s="268">
        <v>5838.9088576734384</v>
      </c>
      <c r="E35" s="268">
        <v>9336.6182853232622</v>
      </c>
      <c r="F35" s="268">
        <v>34780.492703574913</v>
      </c>
      <c r="G35" s="268">
        <v>6269.4158637380579</v>
      </c>
      <c r="I35" s="227" t="s">
        <v>557</v>
      </c>
      <c r="J35" s="20">
        <v>36677.355673627892</v>
      </c>
      <c r="K35" s="418">
        <v>36677.355673627892</v>
      </c>
      <c r="L35" s="20">
        <v>14869.542122773637</v>
      </c>
      <c r="M35" s="20">
        <v>24253.406377052135</v>
      </c>
      <c r="N35" s="20">
        <v>86202.654889825018</v>
      </c>
      <c r="O35" s="20">
        <v>14133.343561618463</v>
      </c>
      <c r="P35" s="246" t="e">
        <f>#REF!</f>
        <v>#REF!</v>
      </c>
      <c r="Q35" s="247" t="e">
        <f t="shared" si="3"/>
        <v>#REF!</v>
      </c>
      <c r="R35" s="240">
        <f t="shared" si="4"/>
        <v>-4.3615236672023716E-2</v>
      </c>
      <c r="S35" s="241" t="e">
        <f t="shared" si="5"/>
        <v>#REF!</v>
      </c>
      <c r="T35" s="234"/>
      <c r="U35" s="514"/>
      <c r="V35" s="185" t="s">
        <v>569</v>
      </c>
      <c r="W35" s="218">
        <v>24718</v>
      </c>
      <c r="X35" s="219">
        <v>9787</v>
      </c>
      <c r="Y35" s="219">
        <v>22059</v>
      </c>
      <c r="Z35" s="219">
        <v>48275</v>
      </c>
      <c r="AA35" s="219">
        <v>1711</v>
      </c>
      <c r="AB35" s="219">
        <v>1651395</v>
      </c>
      <c r="AC35" s="220">
        <v>1757945</v>
      </c>
    </row>
    <row r="36" spans="1:29" s="22" customFormat="1" ht="14.25" customHeight="1" x14ac:dyDescent="0.25">
      <c r="A36" s="225" t="s">
        <v>558</v>
      </c>
      <c r="B36" s="408">
        <v>182739</v>
      </c>
      <c r="C36" s="268">
        <v>182739</v>
      </c>
      <c r="D36" s="268">
        <v>142044.53049531695</v>
      </c>
      <c r="E36" s="268">
        <v>98492.092560809207</v>
      </c>
      <c r="F36" s="268">
        <v>132667.38293572547</v>
      </c>
      <c r="G36" s="268">
        <v>100708.8485133395</v>
      </c>
      <c r="I36" s="227" t="s">
        <v>558</v>
      </c>
      <c r="J36" s="20">
        <v>174769.82733787771</v>
      </c>
      <c r="K36" s="418">
        <v>174769.82733787771</v>
      </c>
      <c r="L36" s="20">
        <v>192237.21884892791</v>
      </c>
      <c r="M36" s="20">
        <v>127270.17108739528</v>
      </c>
      <c r="N36" s="20">
        <v>174499.69366005986</v>
      </c>
      <c r="O36" s="20">
        <v>143500.40808852774</v>
      </c>
      <c r="P36" s="246" t="e">
        <f>#REF!</f>
        <v>#REF!</v>
      </c>
      <c r="Q36" s="247" t="e">
        <f t="shared" si="3"/>
        <v>#REF!</v>
      </c>
      <c r="R36" s="240">
        <f t="shared" si="4"/>
        <v>-4.3609588878795957E-2</v>
      </c>
      <c r="S36" s="241" t="e">
        <f t="shared" si="5"/>
        <v>#REF!</v>
      </c>
      <c r="T36" s="234"/>
      <c r="U36" s="514"/>
      <c r="V36" s="185" t="s">
        <v>570</v>
      </c>
      <c r="W36" s="218">
        <v>105570</v>
      </c>
      <c r="X36" s="219">
        <v>143897</v>
      </c>
      <c r="Y36" s="219">
        <v>106677</v>
      </c>
      <c r="Z36" s="219">
        <v>125677</v>
      </c>
      <c r="AA36" s="219">
        <v>29677</v>
      </c>
      <c r="AB36" s="219">
        <v>2682111</v>
      </c>
      <c r="AC36" s="220">
        <v>3193609</v>
      </c>
    </row>
    <row r="37" spans="1:29" s="22" customFormat="1" ht="14.25" customHeight="1" x14ac:dyDescent="0.25">
      <c r="A37" s="225" t="s">
        <v>559</v>
      </c>
      <c r="B37" s="408">
        <v>2684742</v>
      </c>
      <c r="C37" s="268">
        <v>2684742</v>
      </c>
      <c r="D37" s="268">
        <v>3405765.1683881162</v>
      </c>
      <c r="E37" s="268">
        <v>2990706.2698154547</v>
      </c>
      <c r="F37" s="268">
        <v>2211639.5141283409</v>
      </c>
      <c r="G37" s="268">
        <v>2193502.6022299975</v>
      </c>
      <c r="I37" s="227" t="s">
        <v>559</v>
      </c>
      <c r="J37" s="20">
        <v>2567661.1095914617</v>
      </c>
      <c r="K37" s="418">
        <v>2567661.1095914617</v>
      </c>
      <c r="L37" s="20">
        <v>3333948.48183676</v>
      </c>
      <c r="M37" s="20">
        <v>2851105.5579233272</v>
      </c>
      <c r="N37" s="20">
        <v>2250755.2382779247</v>
      </c>
      <c r="O37" s="20">
        <v>2166550.0975846206</v>
      </c>
      <c r="P37" s="246" t="e">
        <f>#REF!</f>
        <v>#REF!</v>
      </c>
      <c r="Q37" s="247" t="e">
        <f t="shared" si="3"/>
        <v>#REF!</v>
      </c>
      <c r="R37" s="240">
        <f t="shared" si="4"/>
        <v>-4.3609736208744976E-2</v>
      </c>
      <c r="S37" s="241" t="e">
        <f t="shared" si="5"/>
        <v>#REF!</v>
      </c>
      <c r="T37" s="234"/>
      <c r="U37" s="514"/>
      <c r="V37" s="185" t="s">
        <v>571</v>
      </c>
      <c r="W37" s="218">
        <v>2534520</v>
      </c>
      <c r="X37" s="219">
        <v>4223607</v>
      </c>
      <c r="Y37" s="219">
        <v>3441839</v>
      </c>
      <c r="Z37" s="219">
        <v>2006148</v>
      </c>
      <c r="AA37" s="219">
        <v>2878998</v>
      </c>
      <c r="AB37" s="219">
        <v>173628752</v>
      </c>
      <c r="AC37" s="220">
        <v>188713864</v>
      </c>
    </row>
    <row r="38" spans="1:29" s="22" customFormat="1" ht="15" customHeight="1" x14ac:dyDescent="0.25">
      <c r="A38" s="225" t="s">
        <v>560</v>
      </c>
      <c r="B38" s="408">
        <v>53843</v>
      </c>
      <c r="C38" s="268">
        <v>53843</v>
      </c>
      <c r="D38" s="268">
        <v>96215.72663259822</v>
      </c>
      <c r="E38" s="268">
        <v>103781.27048296954</v>
      </c>
      <c r="F38" s="268">
        <v>40447.01062396988</v>
      </c>
      <c r="G38" s="268">
        <v>94606.433170533928</v>
      </c>
      <c r="I38" s="227" t="s">
        <v>560</v>
      </c>
      <c r="J38" s="20">
        <v>51495.235925228051</v>
      </c>
      <c r="K38" s="418">
        <v>51495.235925228051</v>
      </c>
      <c r="L38" s="20">
        <v>94448.608297310653</v>
      </c>
      <c r="M38" s="20">
        <v>71723.06663923194</v>
      </c>
      <c r="N38" s="20">
        <v>83847.085919833189</v>
      </c>
      <c r="O38" s="20">
        <v>157329.01815117532</v>
      </c>
      <c r="P38" s="246" t="e">
        <f>#REF!</f>
        <v>#REF!</v>
      </c>
      <c r="Q38" s="247" t="e">
        <f t="shared" si="3"/>
        <v>#REF!</v>
      </c>
      <c r="R38" s="240">
        <f t="shared" si="4"/>
        <v>-4.3603886759132071E-2</v>
      </c>
      <c r="S38" s="241" t="e">
        <f t="shared" si="5"/>
        <v>#REF!</v>
      </c>
      <c r="T38" s="234"/>
      <c r="U38" s="514"/>
      <c r="V38" s="185" t="s">
        <v>572</v>
      </c>
      <c r="W38" s="218">
        <v>61640</v>
      </c>
      <c r="X38" s="219">
        <v>125923</v>
      </c>
      <c r="Y38" s="219">
        <v>86019</v>
      </c>
      <c r="Z38" s="219">
        <v>77766</v>
      </c>
      <c r="AA38" s="219">
        <v>133403</v>
      </c>
      <c r="AB38" s="219">
        <v>5053102</v>
      </c>
      <c r="AC38" s="220">
        <v>5537853</v>
      </c>
    </row>
    <row r="39" spans="1:29" s="22" customFormat="1" ht="14.25" customHeight="1" x14ac:dyDescent="0.25">
      <c r="A39" s="225" t="s">
        <v>561</v>
      </c>
      <c r="B39" s="408">
        <v>105644</v>
      </c>
      <c r="C39" s="268">
        <v>105644</v>
      </c>
      <c r="D39" s="268">
        <v>113533.10497928543</v>
      </c>
      <c r="E39" s="268">
        <v>82822.459701575921</v>
      </c>
      <c r="F39" s="268">
        <v>67808.47524768913</v>
      </c>
      <c r="G39" s="268">
        <v>123451.96459946854</v>
      </c>
      <c r="I39" s="227" t="s">
        <v>561</v>
      </c>
      <c r="J39" s="20">
        <v>101036.65448331038</v>
      </c>
      <c r="K39" s="418">
        <v>101036.65448331038</v>
      </c>
      <c r="L39" s="20">
        <v>59226.909865929258</v>
      </c>
      <c r="M39" s="20">
        <v>35184.375437440991</v>
      </c>
      <c r="N39" s="20">
        <v>74598.6758022422</v>
      </c>
      <c r="O39" s="20">
        <v>129763.88426420437</v>
      </c>
      <c r="P39" s="246" t="e">
        <f>#REF!</f>
        <v>#REF!</v>
      </c>
      <c r="Q39" s="247" t="e">
        <f t="shared" si="3"/>
        <v>#REF!</v>
      </c>
      <c r="R39" s="240">
        <f t="shared" si="4"/>
        <v>-4.3611994213486938E-2</v>
      </c>
      <c r="S39" s="241" t="e">
        <f t="shared" si="5"/>
        <v>#REF!</v>
      </c>
      <c r="T39" s="234"/>
      <c r="U39" s="514"/>
      <c r="V39" s="185" t="s">
        <v>573</v>
      </c>
      <c r="W39" s="218">
        <v>108401</v>
      </c>
      <c r="X39" s="219">
        <v>89803</v>
      </c>
      <c r="Y39" s="219">
        <v>31470</v>
      </c>
      <c r="Z39" s="219">
        <v>88980</v>
      </c>
      <c r="AA39" s="219">
        <v>187963</v>
      </c>
      <c r="AB39" s="219">
        <v>3838685</v>
      </c>
      <c r="AC39" s="220">
        <v>4345302</v>
      </c>
    </row>
    <row r="40" spans="1:29" s="22" customFormat="1" ht="15.75" customHeight="1" thickBot="1" x14ac:dyDescent="0.3">
      <c r="A40" s="153" t="s">
        <v>24</v>
      </c>
      <c r="B40" s="408">
        <v>5509110</v>
      </c>
      <c r="C40" s="268">
        <v>5509110</v>
      </c>
      <c r="D40" s="268">
        <v>4391344</v>
      </c>
      <c r="E40" s="268">
        <v>4452557</v>
      </c>
      <c r="F40" s="268">
        <v>4715407</v>
      </c>
      <c r="G40" s="268">
        <v>3043878</v>
      </c>
      <c r="I40" s="228" t="s">
        <v>24</v>
      </c>
      <c r="J40" s="20">
        <f t="shared" ref="J40:O40" si="6">SUM(J28:J39)</f>
        <v>5268860</v>
      </c>
      <c r="K40" s="418">
        <f>SUM(K28:K39)</f>
        <v>5268860</v>
      </c>
      <c r="L40" s="20">
        <f t="shared" si="6"/>
        <v>4552402</v>
      </c>
      <c r="M40" s="20">
        <f t="shared" si="6"/>
        <v>4296250</v>
      </c>
      <c r="N40" s="20">
        <f t="shared" si="6"/>
        <v>5946800</v>
      </c>
      <c r="O40" s="20">
        <f t="shared" si="6"/>
        <v>3439809</v>
      </c>
      <c r="P40" s="250" t="e">
        <f>SUM(P28:P39)</f>
        <v>#REF!</v>
      </c>
      <c r="Q40" s="247" t="e">
        <f t="shared" si="3"/>
        <v>#REF!</v>
      </c>
      <c r="R40" s="240">
        <f t="shared" si="4"/>
        <v>-4.3609584851273642E-2</v>
      </c>
      <c r="S40" s="241" t="e">
        <f t="shared" si="5"/>
        <v>#REF!</v>
      </c>
      <c r="T40" s="234"/>
      <c r="U40" s="503" t="s">
        <v>25</v>
      </c>
      <c r="V40" s="504"/>
      <c r="W40" s="221">
        <v>4806317</v>
      </c>
      <c r="X40" s="222">
        <v>5606918</v>
      </c>
      <c r="Y40" s="222">
        <v>5175899</v>
      </c>
      <c r="Z40" s="222">
        <v>4525253</v>
      </c>
      <c r="AA40" s="222">
        <v>3667225</v>
      </c>
      <c r="AB40" s="222">
        <v>259272259</v>
      </c>
      <c r="AC40" s="223">
        <v>283053871</v>
      </c>
    </row>
    <row r="41" spans="1:29" s="22" customFormat="1" x14ac:dyDescent="0.25">
      <c r="A41" s="90"/>
      <c r="B41" s="104"/>
      <c r="C41" s="104"/>
      <c r="D41" s="104"/>
      <c r="E41" s="104"/>
      <c r="F41" s="104"/>
      <c r="G41" s="104"/>
      <c r="P41" s="251"/>
      <c r="Q41" s="252"/>
      <c r="R41" s="240"/>
      <c r="S41" s="241"/>
      <c r="T41" s="234"/>
      <c r="U41" s="27"/>
      <c r="V41" s="27"/>
      <c r="W41" s="27"/>
      <c r="X41" s="27"/>
      <c r="Y41" s="27"/>
      <c r="Z41" s="27"/>
      <c r="AA41" s="27"/>
      <c r="AB41" s="27"/>
      <c r="AC41" s="27"/>
    </row>
    <row r="42" spans="1:29" ht="15.75" customHeight="1" x14ac:dyDescent="0.25">
      <c r="A42" s="90"/>
      <c r="B42" s="1"/>
      <c r="P42" s="251"/>
      <c r="Q42" s="252"/>
      <c r="R42" s="240"/>
      <c r="S42" s="241"/>
      <c r="T42" s="234"/>
      <c r="U42" s="497" t="s">
        <v>29</v>
      </c>
      <c r="V42" s="490"/>
      <c r="W42" s="490"/>
      <c r="X42" s="490"/>
      <c r="Y42" s="490"/>
      <c r="Z42" s="490"/>
      <c r="AA42" s="490"/>
      <c r="AB42" s="490"/>
      <c r="AC42" s="490"/>
    </row>
    <row r="43" spans="1:29" ht="15.75" thickBot="1" x14ac:dyDescent="0.3">
      <c r="A43" s="90"/>
      <c r="B43" s="1"/>
      <c r="P43" s="251"/>
      <c r="Q43" s="252"/>
      <c r="R43" s="240"/>
      <c r="S43" s="241"/>
      <c r="T43" s="234"/>
      <c r="U43" s="489" t="s">
        <v>23</v>
      </c>
      <c r="V43" s="490"/>
      <c r="W43" s="490"/>
      <c r="X43" s="490"/>
      <c r="Y43" s="490"/>
      <c r="Z43" s="490"/>
      <c r="AA43" s="490"/>
      <c r="AB43" s="490"/>
      <c r="AC43" s="490"/>
    </row>
    <row r="44" spans="1:29" ht="15.75" customHeight="1" thickBot="1" x14ac:dyDescent="0.3">
      <c r="A44" s="90"/>
      <c r="B44" s="1"/>
      <c r="P44" s="251"/>
      <c r="Q44" s="252"/>
      <c r="R44" s="240"/>
      <c r="S44" s="241"/>
      <c r="T44" s="234"/>
      <c r="U44" s="14"/>
      <c r="V44" s="13"/>
      <c r="W44" s="498" t="s">
        <v>26</v>
      </c>
      <c r="X44" s="499"/>
      <c r="Y44" s="499"/>
      <c r="Z44" s="499"/>
      <c r="AA44" s="499"/>
      <c r="AB44" s="500"/>
      <c r="AC44" s="501" t="s">
        <v>25</v>
      </c>
    </row>
    <row r="45" spans="1:29" s="18" customFormat="1" ht="30.75" thickBot="1" x14ac:dyDescent="0.3">
      <c r="A45" s="125"/>
      <c r="B45" s="410" t="s">
        <v>219</v>
      </c>
      <c r="C45" s="126" t="s">
        <v>37</v>
      </c>
      <c r="D45" s="126" t="s">
        <v>38</v>
      </c>
      <c r="E45" s="126" t="s">
        <v>39</v>
      </c>
      <c r="F45" s="126" t="s">
        <v>40</v>
      </c>
      <c r="G45" s="126" t="s">
        <v>41</v>
      </c>
      <c r="J45" s="18" t="s">
        <v>219</v>
      </c>
      <c r="K45" s="18" t="s">
        <v>37</v>
      </c>
      <c r="L45" s="18" t="s">
        <v>38</v>
      </c>
      <c r="M45" s="18" t="s">
        <v>39</v>
      </c>
      <c r="N45" s="18" t="s">
        <v>40</v>
      </c>
      <c r="O45" s="18" t="s">
        <v>41</v>
      </c>
      <c r="P45" s="248" t="s">
        <v>541</v>
      </c>
      <c r="Q45" s="249" t="s">
        <v>542</v>
      </c>
      <c r="R45" s="238" t="s">
        <v>623</v>
      </c>
      <c r="S45" s="239" t="s">
        <v>624</v>
      </c>
      <c r="T45" s="233"/>
      <c r="U45" s="12"/>
      <c r="V45" s="47"/>
      <c r="W45" s="91" t="s">
        <v>37</v>
      </c>
      <c r="X45" s="92" t="s">
        <v>38</v>
      </c>
      <c r="Y45" s="92" t="s">
        <v>39</v>
      </c>
      <c r="Z45" s="92" t="s">
        <v>40</v>
      </c>
      <c r="AA45" s="92" t="s">
        <v>41</v>
      </c>
      <c r="AB45" s="92" t="s">
        <v>301</v>
      </c>
      <c r="AC45" s="502"/>
    </row>
    <row r="46" spans="1:29" ht="18.75" customHeight="1" x14ac:dyDescent="0.25">
      <c r="A46" s="153" t="s">
        <v>53</v>
      </c>
      <c r="B46" s="408">
        <v>1192173</v>
      </c>
      <c r="C46" s="268">
        <v>1192173</v>
      </c>
      <c r="D46" s="268">
        <v>1312527.8571040158</v>
      </c>
      <c r="E46" s="268">
        <v>1162979.4486445596</v>
      </c>
      <c r="F46" s="268">
        <v>1835012.5121870909</v>
      </c>
      <c r="G46" s="268">
        <v>868318.6510159513</v>
      </c>
      <c r="I46" t="s">
        <v>53</v>
      </c>
      <c r="J46" s="20">
        <v>1653635.177067955</v>
      </c>
      <c r="K46" s="20">
        <v>1653635.177067955</v>
      </c>
      <c r="L46" s="20">
        <v>1360666.4478428555</v>
      </c>
      <c r="M46" s="20">
        <v>1122153.0586220881</v>
      </c>
      <c r="N46" s="20">
        <v>2314212.2000230714</v>
      </c>
      <c r="O46" s="20">
        <v>981264.79137223249</v>
      </c>
      <c r="P46" s="246" t="e">
        <f>#REF!</f>
        <v>#REF!</v>
      </c>
      <c r="Q46" s="247" t="e">
        <f>P46/J46-1</f>
        <v>#REF!</v>
      </c>
      <c r="R46" s="240">
        <f>J46/B46-1</f>
        <v>0.38707652083041211</v>
      </c>
      <c r="S46" s="241" t="e">
        <f>P46/B46-1</f>
        <v>#REF!</v>
      </c>
      <c r="T46" s="234"/>
      <c r="U46" s="481" t="s">
        <v>20</v>
      </c>
      <c r="V46" s="11" t="s">
        <v>7</v>
      </c>
      <c r="W46" s="10">
        <v>1328300</v>
      </c>
      <c r="X46" s="9">
        <v>1369448</v>
      </c>
      <c r="Y46" s="9">
        <v>1034664</v>
      </c>
      <c r="Z46" s="9">
        <v>1277608</v>
      </c>
      <c r="AA46" s="9">
        <v>701480</v>
      </c>
      <c r="AB46" s="9">
        <v>79283012</v>
      </c>
      <c r="AC46" s="24">
        <v>84994512</v>
      </c>
    </row>
    <row r="47" spans="1:29" ht="15.75" customHeight="1" x14ac:dyDescent="0.25">
      <c r="A47" s="153" t="s">
        <v>54</v>
      </c>
      <c r="B47" s="408">
        <v>2847837</v>
      </c>
      <c r="C47" s="268">
        <v>2847837</v>
      </c>
      <c r="D47" s="268">
        <v>2046529.6578729816</v>
      </c>
      <c r="E47" s="268">
        <v>2433808.1116418676</v>
      </c>
      <c r="F47" s="268">
        <v>2153780.4841523473</v>
      </c>
      <c r="G47" s="268">
        <v>1694994.8753642195</v>
      </c>
      <c r="I47" t="s">
        <v>54</v>
      </c>
      <c r="J47" s="20">
        <v>2666400.9674827689</v>
      </c>
      <c r="K47" s="20">
        <v>2666400.9674827689</v>
      </c>
      <c r="L47" s="20">
        <v>2121588.6770793353</v>
      </c>
      <c r="M47" s="20">
        <v>2348369.2852537031</v>
      </c>
      <c r="N47" s="20">
        <v>2716224.0254461975</v>
      </c>
      <c r="O47" s="20">
        <v>1915470.537003034</v>
      </c>
      <c r="P47" s="246" t="e">
        <f>#REF!</f>
        <v>#REF!</v>
      </c>
      <c r="Q47" s="247" t="e">
        <f>P47/J47-1</f>
        <v>#REF!</v>
      </c>
      <c r="R47" s="240">
        <f>J47/B47-1</f>
        <v>-6.371011842223806E-2</v>
      </c>
      <c r="S47" s="241" t="e">
        <f>P47/B47-1</f>
        <v>#REF!</v>
      </c>
      <c r="T47" s="234"/>
      <c r="U47" s="482"/>
      <c r="V47" s="8" t="s">
        <v>6</v>
      </c>
      <c r="W47" s="7">
        <v>2301373</v>
      </c>
      <c r="X47" s="6">
        <v>2591108</v>
      </c>
      <c r="Y47" s="6">
        <v>3166978</v>
      </c>
      <c r="Z47" s="6">
        <v>2032432</v>
      </c>
      <c r="AA47" s="6">
        <v>2127163</v>
      </c>
      <c r="AB47" s="6">
        <v>130166045</v>
      </c>
      <c r="AC47" s="25">
        <v>142385099</v>
      </c>
    </row>
    <row r="48" spans="1:29" ht="14.25" customHeight="1" x14ac:dyDescent="0.25">
      <c r="A48" s="153" t="s">
        <v>55</v>
      </c>
      <c r="B48" s="406">
        <v>1469100</v>
      </c>
      <c r="C48" s="269">
        <v>1469100</v>
      </c>
      <c r="D48" s="269">
        <v>1032286.4850230025</v>
      </c>
      <c r="E48" s="269">
        <v>855769.43971357332</v>
      </c>
      <c r="F48" s="269">
        <v>726614.0036605621</v>
      </c>
      <c r="G48" s="269">
        <v>480564.47361982916</v>
      </c>
      <c r="I48" t="s">
        <v>55</v>
      </c>
      <c r="J48" s="20">
        <v>948823.85544927604</v>
      </c>
      <c r="K48" s="20">
        <v>948823.85544927604</v>
      </c>
      <c r="L48" s="20">
        <v>1070146.8750778092</v>
      </c>
      <c r="M48" s="20">
        <v>825727.65612420882</v>
      </c>
      <c r="N48" s="20">
        <v>916363.77453073091</v>
      </c>
      <c r="O48" s="20">
        <v>543073.67162473372</v>
      </c>
      <c r="P48" s="246" t="e">
        <f>#REF!</f>
        <v>#REF!</v>
      </c>
      <c r="Q48" s="247" t="e">
        <f>P48/J48-1</f>
        <v>#REF!</v>
      </c>
      <c r="R48" s="240">
        <f>J48/B48-1</f>
        <v>-0.35414617422280581</v>
      </c>
      <c r="S48" s="241" t="e">
        <f>P48/B48-1</f>
        <v>#REF!</v>
      </c>
      <c r="T48" s="234"/>
      <c r="U48" s="482"/>
      <c r="V48" s="8" t="s">
        <v>5</v>
      </c>
      <c r="W48" s="7">
        <v>1176645</v>
      </c>
      <c r="X48" s="6">
        <v>1646360</v>
      </c>
      <c r="Y48" s="6">
        <v>974257</v>
      </c>
      <c r="Z48" s="6">
        <v>1215213</v>
      </c>
      <c r="AA48" s="6">
        <v>838583</v>
      </c>
      <c r="AB48" s="6">
        <v>49823203</v>
      </c>
      <c r="AC48" s="25">
        <v>55674261</v>
      </c>
    </row>
    <row r="49" spans="1:29" ht="15.75" customHeight="1" thickBot="1" x14ac:dyDescent="0.3">
      <c r="A49" s="153" t="s">
        <v>24</v>
      </c>
      <c r="B49" s="408">
        <v>5509110</v>
      </c>
      <c r="C49" s="268">
        <v>5509110</v>
      </c>
      <c r="D49" s="268">
        <v>4391344</v>
      </c>
      <c r="E49" s="268">
        <v>4452557</v>
      </c>
      <c r="F49" s="268">
        <v>4715407.0000000009</v>
      </c>
      <c r="G49" s="268">
        <v>3043878</v>
      </c>
      <c r="I49" t="s">
        <v>24</v>
      </c>
      <c r="J49" s="20">
        <v>5268860</v>
      </c>
      <c r="K49" s="20">
        <v>5268860</v>
      </c>
      <c r="L49" s="20">
        <v>4552402</v>
      </c>
      <c r="M49" s="20">
        <v>4296250</v>
      </c>
      <c r="N49" s="20">
        <v>5946800</v>
      </c>
      <c r="O49" s="20">
        <v>3439809</v>
      </c>
      <c r="P49" s="250" t="e">
        <f>SUM(P46:P48)</f>
        <v>#REF!</v>
      </c>
      <c r="Q49" s="247" t="e">
        <f>P49/J49-1</f>
        <v>#REF!</v>
      </c>
      <c r="R49" s="240">
        <f>J49/B49-1</f>
        <v>-4.3609584851273642E-2</v>
      </c>
      <c r="S49" s="241" t="e">
        <f>P49/B49-1</f>
        <v>#REF!</v>
      </c>
      <c r="T49" s="234"/>
      <c r="U49" s="479" t="s">
        <v>25</v>
      </c>
      <c r="V49" s="480"/>
      <c r="W49" s="5">
        <v>4806318</v>
      </c>
      <c r="X49" s="4">
        <v>5606916</v>
      </c>
      <c r="Y49" s="4">
        <v>5175899</v>
      </c>
      <c r="Z49" s="4">
        <v>4525253</v>
      </c>
      <c r="AA49" s="4">
        <v>3667226</v>
      </c>
      <c r="AB49" s="4">
        <v>259272260</v>
      </c>
      <c r="AC49" s="26">
        <v>283053872</v>
      </c>
    </row>
    <row r="50" spans="1:29" x14ac:dyDescent="0.25">
      <c r="A50" s="157"/>
      <c r="B50" s="87"/>
      <c r="P50" s="251"/>
      <c r="Q50" s="252"/>
      <c r="R50" s="240"/>
      <c r="S50" s="241"/>
      <c r="T50" s="234"/>
      <c r="U50" s="27"/>
      <c r="V50" s="27"/>
      <c r="W50" s="27"/>
      <c r="X50" s="27"/>
      <c r="Y50" s="27"/>
      <c r="Z50" s="27"/>
      <c r="AA50" s="27"/>
      <c r="AB50" s="27"/>
      <c r="AC50" s="27"/>
    </row>
    <row r="51" spans="1:29" ht="15.75" customHeight="1" x14ac:dyDescent="0.25">
      <c r="A51" s="157"/>
      <c r="B51" s="1"/>
      <c r="P51" s="251"/>
      <c r="Q51" s="252"/>
      <c r="R51" s="240"/>
      <c r="S51" s="241"/>
      <c r="T51" s="234"/>
      <c r="U51" s="497" t="s">
        <v>28</v>
      </c>
      <c r="V51" s="490"/>
      <c r="W51" s="490"/>
      <c r="X51" s="490"/>
      <c r="Y51" s="490"/>
      <c r="Z51" s="490"/>
      <c r="AA51" s="490"/>
      <c r="AB51" s="490"/>
      <c r="AC51" s="490"/>
    </row>
    <row r="52" spans="1:29" ht="15.75" thickBot="1" x14ac:dyDescent="0.3">
      <c r="A52" s="157"/>
      <c r="B52" s="1"/>
      <c r="P52" s="251"/>
      <c r="Q52" s="252"/>
      <c r="R52" s="240"/>
      <c r="S52" s="241"/>
      <c r="T52" s="234"/>
      <c r="U52" s="489" t="s">
        <v>23</v>
      </c>
      <c r="V52" s="490"/>
      <c r="W52" s="490"/>
      <c r="X52" s="490"/>
      <c r="Y52" s="490"/>
      <c r="Z52" s="490"/>
      <c r="AA52" s="490"/>
      <c r="AB52" s="490"/>
      <c r="AC52" s="490"/>
    </row>
    <row r="53" spans="1:29" ht="15.75" customHeight="1" thickBot="1" x14ac:dyDescent="0.3">
      <c r="A53" s="157"/>
      <c r="B53" s="87"/>
      <c r="C53" s="87"/>
      <c r="D53" s="87"/>
      <c r="E53" s="87"/>
      <c r="F53" s="87"/>
      <c r="G53" s="87"/>
      <c r="P53" s="251"/>
      <c r="Q53" s="252"/>
      <c r="R53" s="240"/>
      <c r="S53" s="241"/>
      <c r="T53" s="234"/>
      <c r="U53" s="14"/>
      <c r="V53" s="13"/>
      <c r="W53" s="498" t="s">
        <v>26</v>
      </c>
      <c r="X53" s="499"/>
      <c r="Y53" s="499"/>
      <c r="Z53" s="499"/>
      <c r="AA53" s="499"/>
      <c r="AB53" s="500"/>
      <c r="AC53" s="501" t="s">
        <v>25</v>
      </c>
    </row>
    <row r="54" spans="1:29" s="18" customFormat="1" ht="30.75" thickBot="1" x14ac:dyDescent="0.3">
      <c r="A54" s="156"/>
      <c r="B54" s="410" t="s">
        <v>219</v>
      </c>
      <c r="C54" s="126" t="s">
        <v>37</v>
      </c>
      <c r="D54" s="126" t="s">
        <v>38</v>
      </c>
      <c r="E54" s="126" t="s">
        <v>39</v>
      </c>
      <c r="F54" s="126" t="s">
        <v>40</v>
      </c>
      <c r="G54" s="126" t="s">
        <v>41</v>
      </c>
      <c r="J54" s="18" t="s">
        <v>219</v>
      </c>
      <c r="K54" s="18" t="s">
        <v>37</v>
      </c>
      <c r="L54" s="18" t="s">
        <v>38</v>
      </c>
      <c r="M54" s="18" t="s">
        <v>39</v>
      </c>
      <c r="N54" s="18" t="s">
        <v>40</v>
      </c>
      <c r="O54" s="18" t="s">
        <v>41</v>
      </c>
      <c r="P54" s="248" t="s">
        <v>541</v>
      </c>
      <c r="Q54" s="249" t="s">
        <v>542</v>
      </c>
      <c r="R54" s="238" t="s">
        <v>623</v>
      </c>
      <c r="S54" s="239" t="s">
        <v>624</v>
      </c>
      <c r="T54" s="233"/>
      <c r="U54" s="12"/>
      <c r="V54" s="47"/>
      <c r="W54" s="91" t="s">
        <v>37</v>
      </c>
      <c r="X54" s="92" t="s">
        <v>38</v>
      </c>
      <c r="Y54" s="92" t="s">
        <v>39</v>
      </c>
      <c r="Z54" s="92" t="s">
        <v>40</v>
      </c>
      <c r="AA54" s="92" t="s">
        <v>41</v>
      </c>
      <c r="AB54" s="92" t="s">
        <v>301</v>
      </c>
      <c r="AC54" s="502"/>
    </row>
    <row r="55" spans="1:29" ht="15.75" customHeight="1" x14ac:dyDescent="0.25">
      <c r="A55" s="153" t="s">
        <v>303</v>
      </c>
      <c r="B55" s="406">
        <v>2923940</v>
      </c>
      <c r="C55" s="269">
        <v>2923940</v>
      </c>
      <c r="D55" s="269">
        <v>2240183</v>
      </c>
      <c r="E55" s="269">
        <v>2056343</v>
      </c>
      <c r="F55" s="269">
        <v>2140728</v>
      </c>
      <c r="G55" s="269">
        <v>1545414</v>
      </c>
      <c r="I55" t="s">
        <v>52</v>
      </c>
      <c r="J55" s="22">
        <v>2483505</v>
      </c>
      <c r="K55">
        <v>2483505</v>
      </c>
      <c r="L55">
        <v>2326121</v>
      </c>
      <c r="M55">
        <v>1892139</v>
      </c>
      <c r="N55">
        <v>2713579</v>
      </c>
      <c r="O55">
        <v>1707994.9999998002</v>
      </c>
      <c r="P55" s="246" t="e">
        <f>#REF!</f>
        <v>#REF!</v>
      </c>
      <c r="Q55" s="247" t="e">
        <f>P55/J55-1</f>
        <v>#REF!</v>
      </c>
      <c r="R55" s="240">
        <f>J55/B55-1</f>
        <v>-0.15063065589581182</v>
      </c>
      <c r="S55" s="241" t="e">
        <f>P55/B55-1</f>
        <v>#REF!</v>
      </c>
      <c r="T55" s="234"/>
      <c r="U55" s="481" t="s">
        <v>21</v>
      </c>
      <c r="V55" s="11" t="s">
        <v>9</v>
      </c>
      <c r="W55" s="10">
        <v>2543070</v>
      </c>
      <c r="X55" s="9">
        <v>3240951</v>
      </c>
      <c r="Y55" s="9">
        <v>2860253</v>
      </c>
      <c r="Z55" s="9">
        <v>2450035</v>
      </c>
      <c r="AA55" s="9">
        <v>1935297</v>
      </c>
      <c r="AB55" s="9">
        <v>138343492</v>
      </c>
      <c r="AC55" s="24">
        <v>151373098</v>
      </c>
    </row>
    <row r="56" spans="1:29" x14ac:dyDescent="0.25">
      <c r="A56" s="153" t="s">
        <v>304</v>
      </c>
      <c r="B56" s="406">
        <v>2585170</v>
      </c>
      <c r="C56" s="268">
        <v>2585170</v>
      </c>
      <c r="D56" s="269">
        <v>2151161</v>
      </c>
      <c r="E56" s="269">
        <v>2396214</v>
      </c>
      <c r="F56" s="269">
        <v>2574679.0000000009</v>
      </c>
      <c r="G56" s="269">
        <v>1498464</v>
      </c>
      <c r="I56" t="s">
        <v>60</v>
      </c>
      <c r="J56" s="22">
        <v>2785355</v>
      </c>
      <c r="K56">
        <v>2785355</v>
      </c>
      <c r="L56">
        <v>2226281</v>
      </c>
      <c r="M56">
        <v>2404111</v>
      </c>
      <c r="N56">
        <v>3233221</v>
      </c>
      <c r="O56">
        <v>1731814.0000001998</v>
      </c>
      <c r="P56" s="246" t="e">
        <f>#REF!</f>
        <v>#REF!</v>
      </c>
      <c r="Q56" s="247" t="e">
        <f>P56/J56-1</f>
        <v>#REF!</v>
      </c>
      <c r="R56" s="240">
        <f>J56/B56-1</f>
        <v>7.7435913305508031E-2</v>
      </c>
      <c r="S56" s="241" t="e">
        <f>P56/B56-1</f>
        <v>#REF!</v>
      </c>
      <c r="T56" s="234"/>
      <c r="U56" s="482"/>
      <c r="V56" s="8" t="s">
        <v>8</v>
      </c>
      <c r="W56" s="7">
        <v>2263248</v>
      </c>
      <c r="X56" s="6">
        <v>2365966</v>
      </c>
      <c r="Y56" s="6">
        <v>2315646</v>
      </c>
      <c r="Z56" s="6">
        <v>2075218</v>
      </c>
      <c r="AA56" s="6">
        <v>1731929</v>
      </c>
      <c r="AB56" s="6">
        <v>120928767</v>
      </c>
      <c r="AC56" s="25">
        <v>131680774</v>
      </c>
    </row>
    <row r="57" spans="1:29" ht="15.75" customHeight="1" thickBot="1" x14ac:dyDescent="0.3">
      <c r="A57" s="153" t="s">
        <v>24</v>
      </c>
      <c r="B57" s="408">
        <v>5509110</v>
      </c>
      <c r="C57" s="268">
        <v>5509110</v>
      </c>
      <c r="D57" s="268">
        <v>4391344</v>
      </c>
      <c r="E57" s="268">
        <v>4452557</v>
      </c>
      <c r="F57" s="268">
        <v>4715407.0000000009</v>
      </c>
      <c r="G57" s="268">
        <v>3043878</v>
      </c>
      <c r="I57" t="s">
        <v>24</v>
      </c>
      <c r="J57" s="20">
        <v>5268860</v>
      </c>
      <c r="K57">
        <v>5268860</v>
      </c>
      <c r="L57">
        <v>4552402</v>
      </c>
      <c r="M57">
        <v>4296250</v>
      </c>
      <c r="N57">
        <v>5946800</v>
      </c>
      <c r="O57">
        <v>3439809</v>
      </c>
      <c r="P57" s="250" t="e">
        <f>SUM(P55:P56)</f>
        <v>#REF!</v>
      </c>
      <c r="Q57" s="247" t="e">
        <f>P57/J57-1</f>
        <v>#REF!</v>
      </c>
      <c r="R57" s="240">
        <f>J57/B57-1</f>
        <v>-4.3609584851273642E-2</v>
      </c>
      <c r="S57" s="241" t="e">
        <f>P57/B57-1</f>
        <v>#REF!</v>
      </c>
      <c r="T57" s="234"/>
      <c r="U57" s="479" t="s">
        <v>25</v>
      </c>
      <c r="V57" s="480"/>
      <c r="W57" s="5">
        <v>4806318</v>
      </c>
      <c r="X57" s="4">
        <v>5606917</v>
      </c>
      <c r="Y57" s="4">
        <v>5175899</v>
      </c>
      <c r="Z57" s="4">
        <v>4525253</v>
      </c>
      <c r="AA57" s="4">
        <v>3667226</v>
      </c>
      <c r="AB57" s="4">
        <v>259272259</v>
      </c>
      <c r="AC57" s="26">
        <v>283053872</v>
      </c>
    </row>
    <row r="58" spans="1:29" x14ac:dyDescent="0.25">
      <c r="A58" s="157"/>
      <c r="B58" s="1"/>
      <c r="P58" s="251"/>
      <c r="Q58" s="252"/>
      <c r="R58" s="240"/>
      <c r="S58" s="241"/>
      <c r="T58" s="234"/>
      <c r="U58" s="27"/>
      <c r="V58" s="27"/>
      <c r="W58" s="27"/>
      <c r="X58" s="27"/>
      <c r="Y58" s="27"/>
      <c r="Z58" s="27"/>
      <c r="AA58" s="27"/>
      <c r="AB58" s="27"/>
      <c r="AC58" s="27"/>
    </row>
    <row r="59" spans="1:29" ht="15.75" customHeight="1" x14ac:dyDescent="0.25">
      <c r="A59" s="157"/>
      <c r="B59" s="1"/>
      <c r="P59" s="251"/>
      <c r="Q59" s="252"/>
      <c r="R59" s="240"/>
      <c r="S59" s="241"/>
      <c r="T59" s="234"/>
      <c r="U59" s="497" t="s">
        <v>27</v>
      </c>
      <c r="V59" s="490"/>
      <c r="W59" s="490"/>
      <c r="X59" s="490"/>
      <c r="Y59" s="490"/>
      <c r="Z59" s="490"/>
      <c r="AA59" s="490"/>
      <c r="AB59" s="490"/>
      <c r="AC59" s="490"/>
    </row>
    <row r="60" spans="1:29" ht="15.75" thickBot="1" x14ac:dyDescent="0.3">
      <c r="A60" s="157"/>
      <c r="B60" s="1"/>
      <c r="P60" s="251"/>
      <c r="Q60" s="252"/>
      <c r="R60" s="240"/>
      <c r="S60" s="241"/>
      <c r="T60" s="234"/>
      <c r="U60" s="489" t="s">
        <v>23</v>
      </c>
      <c r="V60" s="490"/>
      <c r="W60" s="490"/>
      <c r="X60" s="490"/>
      <c r="Y60" s="490"/>
      <c r="Z60" s="490"/>
      <c r="AA60" s="490"/>
      <c r="AB60" s="490"/>
      <c r="AC60" s="490"/>
    </row>
    <row r="61" spans="1:29" ht="15.75" customHeight="1" thickBot="1" x14ac:dyDescent="0.3">
      <c r="A61" s="157"/>
      <c r="B61" s="1"/>
      <c r="P61" s="251"/>
      <c r="Q61" s="252"/>
      <c r="R61" s="240"/>
      <c r="S61" s="241"/>
      <c r="T61" s="234"/>
      <c r="U61" s="14"/>
      <c r="V61" s="13"/>
      <c r="W61" s="498" t="s">
        <v>26</v>
      </c>
      <c r="X61" s="499"/>
      <c r="Y61" s="499"/>
      <c r="Z61" s="499"/>
      <c r="AA61" s="499"/>
      <c r="AB61" s="500"/>
      <c r="AC61" s="501" t="s">
        <v>25</v>
      </c>
    </row>
    <row r="62" spans="1:29" s="18" customFormat="1" ht="30.75" thickBot="1" x14ac:dyDescent="0.3">
      <c r="A62" s="156"/>
      <c r="B62" s="410" t="s">
        <v>219</v>
      </c>
      <c r="C62" s="126" t="s">
        <v>37</v>
      </c>
      <c r="D62" s="126" t="s">
        <v>38</v>
      </c>
      <c r="E62" s="126" t="s">
        <v>39</v>
      </c>
      <c r="F62" s="126" t="s">
        <v>40</v>
      </c>
      <c r="G62" s="126" t="s">
        <v>41</v>
      </c>
      <c r="J62" s="18" t="s">
        <v>219</v>
      </c>
      <c r="K62" s="18" t="s">
        <v>37</v>
      </c>
      <c r="L62" s="18" t="s">
        <v>38</v>
      </c>
      <c r="M62" s="18" t="s">
        <v>39</v>
      </c>
      <c r="N62" s="18" t="s">
        <v>40</v>
      </c>
      <c r="O62" s="18" t="s">
        <v>41</v>
      </c>
      <c r="P62" s="248" t="s">
        <v>541</v>
      </c>
      <c r="Q62" s="249" t="s">
        <v>542</v>
      </c>
      <c r="R62" s="238" t="s">
        <v>623</v>
      </c>
      <c r="S62" s="239" t="s">
        <v>624</v>
      </c>
      <c r="T62" s="233"/>
      <c r="U62" s="12"/>
      <c r="V62" s="47"/>
      <c r="W62" s="91" t="s">
        <v>37</v>
      </c>
      <c r="X62" s="92" t="s">
        <v>38</v>
      </c>
      <c r="Y62" s="92" t="s">
        <v>39</v>
      </c>
      <c r="Z62" s="92" t="s">
        <v>40</v>
      </c>
      <c r="AA62" s="92" t="s">
        <v>41</v>
      </c>
      <c r="AB62" s="92" t="s">
        <v>301</v>
      </c>
      <c r="AC62" s="502"/>
    </row>
    <row r="63" spans="1:29" ht="15.75" customHeight="1" x14ac:dyDescent="0.25">
      <c r="A63" s="153" t="s">
        <v>119</v>
      </c>
      <c r="B63" s="424">
        <v>95490</v>
      </c>
      <c r="C63" s="425">
        <v>738878</v>
      </c>
      <c r="D63" s="425">
        <v>1039535</v>
      </c>
      <c r="E63" s="425">
        <v>535103</v>
      </c>
      <c r="F63" s="425">
        <v>421813</v>
      </c>
      <c r="G63" s="425">
        <v>316968</v>
      </c>
      <c r="I63" t="s">
        <v>56</v>
      </c>
      <c r="J63" s="22">
        <v>91326</v>
      </c>
      <c r="K63">
        <v>91326</v>
      </c>
      <c r="L63">
        <v>1189621</v>
      </c>
      <c r="M63">
        <v>245576</v>
      </c>
      <c r="N63">
        <v>643101</v>
      </c>
      <c r="O63">
        <v>428990</v>
      </c>
      <c r="P63" s="246" t="e">
        <f>#REF!</f>
        <v>#REF!</v>
      </c>
      <c r="Q63" s="247" t="e">
        <f>P63/J63-1</f>
        <v>#REF!</v>
      </c>
      <c r="R63" s="240">
        <f>J63/B63-1</f>
        <v>-4.36066603832862E-2</v>
      </c>
      <c r="S63" s="241" t="e">
        <f>P63/B63-1</f>
        <v>#REF!</v>
      </c>
      <c r="T63" s="234"/>
      <c r="U63" s="481" t="s">
        <v>22</v>
      </c>
      <c r="V63" s="11" t="s">
        <v>12</v>
      </c>
      <c r="W63" s="10">
        <v>162835</v>
      </c>
      <c r="X63" s="9">
        <v>1622796</v>
      </c>
      <c r="Y63" s="9">
        <v>356267</v>
      </c>
      <c r="Z63" s="9">
        <v>564412</v>
      </c>
      <c r="AA63" s="9">
        <v>347193</v>
      </c>
      <c r="AB63" s="9">
        <v>37990040</v>
      </c>
      <c r="AC63" s="24">
        <v>41043543</v>
      </c>
    </row>
    <row r="64" spans="1:29" x14ac:dyDescent="0.25">
      <c r="A64" s="153" t="s">
        <v>120</v>
      </c>
      <c r="B64" s="424">
        <v>3731816</v>
      </c>
      <c r="C64" s="425">
        <v>3791654</v>
      </c>
      <c r="D64" s="425">
        <v>2169065</v>
      </c>
      <c r="E64" s="425">
        <v>3310997</v>
      </c>
      <c r="F64" s="425">
        <v>3355476</v>
      </c>
      <c r="G64" s="425">
        <v>2137559</v>
      </c>
      <c r="I64" t="s">
        <v>57</v>
      </c>
      <c r="J64" s="22">
        <v>3569073</v>
      </c>
      <c r="K64">
        <v>3569073</v>
      </c>
      <c r="L64">
        <v>2221992</v>
      </c>
      <c r="M64">
        <v>3445352</v>
      </c>
      <c r="N64">
        <v>4265386</v>
      </c>
      <c r="O64">
        <v>2513491</v>
      </c>
      <c r="P64" s="246" t="e">
        <f>#REF!</f>
        <v>#REF!</v>
      </c>
      <c r="Q64" s="247" t="e">
        <f>P64/J64-1</f>
        <v>#REF!</v>
      </c>
      <c r="R64" s="240">
        <f>J64/B64-1</f>
        <v>-4.3609599187098169E-2</v>
      </c>
      <c r="S64" s="241" t="e">
        <f>P64/B64-1</f>
        <v>#REF!</v>
      </c>
      <c r="T64" s="234"/>
      <c r="U64" s="482"/>
      <c r="V64" s="8" t="s">
        <v>11</v>
      </c>
      <c r="W64" s="7">
        <v>3216803</v>
      </c>
      <c r="X64" s="6">
        <v>2691041</v>
      </c>
      <c r="Y64" s="6">
        <v>3668698</v>
      </c>
      <c r="Z64" s="6">
        <v>3324785</v>
      </c>
      <c r="AA64" s="6">
        <v>2713265</v>
      </c>
      <c r="AB64" s="6">
        <v>127179230</v>
      </c>
      <c r="AC64" s="25">
        <v>142793822</v>
      </c>
    </row>
    <row r="65" spans="1:29" x14ac:dyDescent="0.25">
      <c r="A65" s="153" t="s">
        <v>121</v>
      </c>
      <c r="B65" s="424">
        <v>1681804</v>
      </c>
      <c r="C65" s="425">
        <v>979345</v>
      </c>
      <c r="D65" s="425">
        <v>1182744</v>
      </c>
      <c r="E65" s="425">
        <v>606457</v>
      </c>
      <c r="F65" s="425">
        <v>938118</v>
      </c>
      <c r="G65" s="425">
        <v>589351</v>
      </c>
      <c r="I65" t="s">
        <v>58</v>
      </c>
      <c r="J65" s="22">
        <v>1608461</v>
      </c>
      <c r="K65">
        <v>1608461</v>
      </c>
      <c r="L65">
        <v>1140789</v>
      </c>
      <c r="M65">
        <v>605322</v>
      </c>
      <c r="N65">
        <v>1038313</v>
      </c>
      <c r="O65">
        <v>497328</v>
      </c>
      <c r="P65" s="246" t="e">
        <f>#REF!</f>
        <v>#REF!</v>
      </c>
      <c r="Q65" s="247" t="e">
        <f>P65/J65-1</f>
        <v>#REF!</v>
      </c>
      <c r="R65" s="240">
        <f>J65/B65-1</f>
        <v>-4.3609719087360999E-2</v>
      </c>
      <c r="S65" s="241" t="e">
        <f>P65/B65-1</f>
        <v>#REF!</v>
      </c>
      <c r="T65" s="234"/>
      <c r="U65" s="482"/>
      <c r="V65" s="8" t="s">
        <v>10</v>
      </c>
      <c r="W65" s="7">
        <v>1426680</v>
      </c>
      <c r="X65" s="6">
        <v>1293079</v>
      </c>
      <c r="Y65" s="6">
        <v>1150933</v>
      </c>
      <c r="Z65" s="6">
        <v>636056</v>
      </c>
      <c r="AA65" s="6">
        <v>606767</v>
      </c>
      <c r="AB65" s="6">
        <v>94102990</v>
      </c>
      <c r="AC65" s="25">
        <v>99216505</v>
      </c>
    </row>
    <row r="66" spans="1:29" ht="15.75" customHeight="1" thickBot="1" x14ac:dyDescent="0.3">
      <c r="A66" s="153" t="s">
        <v>24</v>
      </c>
      <c r="B66" s="424">
        <v>5509110</v>
      </c>
      <c r="C66" s="425">
        <v>5509110</v>
      </c>
      <c r="D66" s="425">
        <v>4391344</v>
      </c>
      <c r="E66" s="425">
        <v>4452557</v>
      </c>
      <c r="F66" s="425">
        <v>4715407</v>
      </c>
      <c r="G66" s="425">
        <v>3043878</v>
      </c>
      <c r="I66" t="s">
        <v>24</v>
      </c>
      <c r="J66" s="20">
        <v>5268860</v>
      </c>
      <c r="K66">
        <v>5268860</v>
      </c>
      <c r="L66">
        <v>4552402</v>
      </c>
      <c r="M66">
        <v>4296250</v>
      </c>
      <c r="N66">
        <v>5946800</v>
      </c>
      <c r="O66">
        <v>3439809</v>
      </c>
      <c r="P66" s="253" t="e">
        <f>SUM(P63:P65)</f>
        <v>#REF!</v>
      </c>
      <c r="Q66" s="254" t="e">
        <f>P66/J66-1</f>
        <v>#REF!</v>
      </c>
      <c r="R66" s="242">
        <f>J66/B66-1</f>
        <v>-4.3609584851273642E-2</v>
      </c>
      <c r="S66" s="243" t="e">
        <f>P66/B66-1</f>
        <v>#REF!</v>
      </c>
      <c r="T66" s="234"/>
      <c r="U66" s="479" t="s">
        <v>25</v>
      </c>
      <c r="V66" s="480"/>
      <c r="W66" s="5">
        <v>4806318</v>
      </c>
      <c r="X66" s="4">
        <v>5606916</v>
      </c>
      <c r="Y66" s="4">
        <v>5175898</v>
      </c>
      <c r="Z66" s="4">
        <v>4525253</v>
      </c>
      <c r="AA66" s="4">
        <v>3667225</v>
      </c>
      <c r="AB66" s="4">
        <v>259272260</v>
      </c>
      <c r="AC66" s="26">
        <v>283053870</v>
      </c>
    </row>
    <row r="68" spans="1:29" s="22" customFormat="1" x14ac:dyDescent="0.25">
      <c r="B68" s="2"/>
      <c r="C68" s="87">
        <f>C63*C$55/C$57</f>
        <v>392156.79834310804</v>
      </c>
      <c r="D68" s="87">
        <f t="shared" ref="D68:G68" si="7">D63*D$55/D$57</f>
        <v>530304.30658700387</v>
      </c>
      <c r="E68" s="87">
        <f t="shared" si="7"/>
        <v>247128.8538987822</v>
      </c>
      <c r="F68" s="87">
        <f t="shared" si="7"/>
        <v>191497.12842687807</v>
      </c>
      <c r="G68" s="87">
        <f t="shared" si="7"/>
        <v>160928.52103533715</v>
      </c>
      <c r="P68" s="1"/>
      <c r="Q68" s="1"/>
      <c r="R68" s="1"/>
      <c r="S68" s="1"/>
      <c r="T68" s="1"/>
    </row>
    <row r="69" spans="1:29" s="22" customFormat="1" x14ac:dyDescent="0.25">
      <c r="B69" s="2"/>
      <c r="C69" s="87">
        <f t="shared" ref="C69:G69" si="8">C64*C$55/C$57</f>
        <v>2012406.50427383</v>
      </c>
      <c r="D69" s="87">
        <f t="shared" si="8"/>
        <v>1106518.30940482</v>
      </c>
      <c r="E69" s="87">
        <f t="shared" si="8"/>
        <v>1529131.576298967</v>
      </c>
      <c r="F69" s="87">
        <f t="shared" si="8"/>
        <v>1523338.5848831285</v>
      </c>
      <c r="G69" s="87">
        <f t="shared" si="8"/>
        <v>1085264.785390873</v>
      </c>
      <c r="P69" s="1"/>
      <c r="Q69" s="1"/>
      <c r="R69" s="1"/>
      <c r="S69" s="1"/>
      <c r="T69" s="1"/>
    </row>
    <row r="70" spans="1:29" x14ac:dyDescent="0.25">
      <c r="C70" s="87">
        <f t="shared" ref="C70:G70" si="9">C65*C$55/C$57</f>
        <v>519783.77983013593</v>
      </c>
      <c r="D70" s="87">
        <f t="shared" si="9"/>
        <v>603360.38400817604</v>
      </c>
      <c r="E70" s="87">
        <f t="shared" si="9"/>
        <v>280082.56980225071</v>
      </c>
      <c r="F70" s="87">
        <f t="shared" si="9"/>
        <v>425892.28668999294</v>
      </c>
      <c r="G70" s="87">
        <f t="shared" si="9"/>
        <v>299220.69357378973</v>
      </c>
    </row>
    <row r="72" spans="1:29" x14ac:dyDescent="0.25">
      <c r="A72" s="18" t="s">
        <v>59</v>
      </c>
      <c r="I72" s="18" t="s">
        <v>90</v>
      </c>
      <c r="J72" s="18"/>
      <c r="V72" s="18" t="s">
        <v>36</v>
      </c>
    </row>
    <row r="73" spans="1:29" ht="3.75" customHeight="1" x14ac:dyDescent="0.25"/>
    <row r="74" spans="1:29" ht="3.75" customHeight="1" x14ac:dyDescent="0.25"/>
    <row r="75" spans="1:29" x14ac:dyDescent="0.25">
      <c r="C75" s="1" t="str">
        <f>C5</f>
        <v>Atlanta</v>
      </c>
      <c r="D75" s="1" t="str">
        <f>D5</f>
        <v>Boston</v>
      </c>
      <c r="E75" s="1" t="str">
        <f>E5</f>
        <v>Detroit</v>
      </c>
      <c r="F75" s="1" t="str">
        <f>F5</f>
        <v>Houston</v>
      </c>
      <c r="G75" s="1" t="str">
        <f>G5</f>
        <v>Seattle</v>
      </c>
      <c r="K75" t="str">
        <f>K5</f>
        <v>Atlanta</v>
      </c>
      <c r="L75" t="str">
        <f>L5</f>
        <v>Boston</v>
      </c>
      <c r="M75" t="str">
        <f>M5</f>
        <v>Detroit</v>
      </c>
      <c r="N75" t="str">
        <f>N5</f>
        <v>Houston</v>
      </c>
      <c r="O75" t="str">
        <f>O5</f>
        <v>Seattle</v>
      </c>
      <c r="W75" t="str">
        <f>W5</f>
        <v>Atlanta</v>
      </c>
      <c r="X75" t="str">
        <f>X5</f>
        <v>Boston</v>
      </c>
      <c r="Y75" t="str">
        <f>Y5</f>
        <v>Detroit</v>
      </c>
      <c r="Z75" t="str">
        <f>Z5</f>
        <v>Houston</v>
      </c>
      <c r="AA75" t="str">
        <f>AA5</f>
        <v>Seattle</v>
      </c>
    </row>
    <row r="76" spans="1:29" x14ac:dyDescent="0.25">
      <c r="A76" s="22" t="str">
        <f t="shared" ref="A76:A81" si="10">A6</f>
        <v>Age: 0-15</v>
      </c>
      <c r="C76" s="89">
        <f t="shared" ref="C76:G82" si="11">C6/C$12</f>
        <v>0.22429303462809783</v>
      </c>
      <c r="D76" s="89">
        <f t="shared" si="11"/>
        <v>0.19771873941098669</v>
      </c>
      <c r="E76" s="89">
        <f t="shared" si="11"/>
        <v>0.22369595717696594</v>
      </c>
      <c r="F76" s="89">
        <f t="shared" si="11"/>
        <v>0.24303246782303203</v>
      </c>
      <c r="G76" s="89">
        <f t="shared" si="11"/>
        <v>0.20500394562462754</v>
      </c>
      <c r="I76" t="str">
        <f t="shared" ref="I76:I81" si="12">I6</f>
        <v>Age: 0-14</v>
      </c>
      <c r="K76" s="3">
        <f t="shared" ref="K76:O82" si="13">K6/K$12</f>
        <v>0.22061793253189493</v>
      </c>
      <c r="L76" s="3">
        <f t="shared" si="13"/>
        <v>0.17698327168822087</v>
      </c>
      <c r="M76" s="3">
        <f t="shared" si="13"/>
        <v>0.19689124236252545</v>
      </c>
      <c r="N76" s="3">
        <f t="shared" si="13"/>
        <v>0.23363439160556937</v>
      </c>
      <c r="O76" s="3">
        <f t="shared" si="13"/>
        <v>0.18943057594186188</v>
      </c>
      <c r="V76" t="str">
        <f t="shared" ref="V76:V81" si="14">V6</f>
        <v>Age 0-15</v>
      </c>
      <c r="W76" s="3">
        <f t="shared" ref="W76:AA82" si="15">W6/W$12</f>
        <v>0.18420191922382165</v>
      </c>
      <c r="X76" s="3">
        <f t="shared" si="15"/>
        <v>0.14344353590395578</v>
      </c>
      <c r="Y76" s="3">
        <f t="shared" si="15"/>
        <v>0.15817155628423196</v>
      </c>
      <c r="Z76" s="3">
        <f t="shared" si="15"/>
        <v>0.16962410720461377</v>
      </c>
      <c r="AA76" s="3">
        <f t="shared" si="15"/>
        <v>0.18922482258383383</v>
      </c>
      <c r="AB76" s="3"/>
    </row>
    <row r="77" spans="1:29" x14ac:dyDescent="0.25">
      <c r="A77" s="22" t="str">
        <f t="shared" si="10"/>
        <v>Age: 16-29</v>
      </c>
      <c r="C77" s="89">
        <f t="shared" si="11"/>
        <v>0.184597149085787</v>
      </c>
      <c r="D77" s="89">
        <f t="shared" si="11"/>
        <v>0.20108718424245517</v>
      </c>
      <c r="E77" s="89">
        <f t="shared" si="11"/>
        <v>0.19195868800781213</v>
      </c>
      <c r="F77" s="89">
        <f t="shared" si="11"/>
        <v>0.22479183663255367</v>
      </c>
      <c r="G77" s="89">
        <f t="shared" si="11"/>
        <v>0.20857669065580159</v>
      </c>
      <c r="I77" t="str">
        <f t="shared" si="12"/>
        <v>Age: 15-29</v>
      </c>
      <c r="K77" s="3">
        <f t="shared" si="13"/>
        <v>0.20767205809226283</v>
      </c>
      <c r="L77" s="3">
        <f t="shared" si="13"/>
        <v>0.21463899717116372</v>
      </c>
      <c r="M77" s="3">
        <f t="shared" si="13"/>
        <v>0.19102985161478034</v>
      </c>
      <c r="N77" s="3">
        <f t="shared" si="13"/>
        <v>0.21819381852424832</v>
      </c>
      <c r="O77" s="3">
        <f t="shared" si="13"/>
        <v>0.21007794328115312</v>
      </c>
      <c r="V77" t="str">
        <f t="shared" si="14"/>
        <v>Age 16-29</v>
      </c>
      <c r="W77" s="3">
        <f t="shared" si="15"/>
        <v>0.17035847399194143</v>
      </c>
      <c r="X77" s="3">
        <f t="shared" si="15"/>
        <v>0.18148297897043955</v>
      </c>
      <c r="Y77" s="3">
        <f t="shared" si="15"/>
        <v>0.19416433744166955</v>
      </c>
      <c r="Z77" s="3">
        <f t="shared" si="15"/>
        <v>0.20210405915426166</v>
      </c>
      <c r="AA77" s="3">
        <f t="shared" si="15"/>
        <v>0.18242349460423071</v>
      </c>
      <c r="AB77" s="3"/>
    </row>
    <row r="78" spans="1:29" x14ac:dyDescent="0.25">
      <c r="A78" s="22" t="str">
        <f t="shared" si="10"/>
        <v>Age: 30-44</v>
      </c>
      <c r="C78" s="89">
        <f t="shared" si="11"/>
        <v>0.21825285753960258</v>
      </c>
      <c r="D78" s="89">
        <f t="shared" si="11"/>
        <v>0.252430235481438</v>
      </c>
      <c r="E78" s="89">
        <f t="shared" si="11"/>
        <v>0.24171661362223998</v>
      </c>
      <c r="F78" s="89">
        <f t="shared" si="11"/>
        <v>0.24813870785703121</v>
      </c>
      <c r="G78" s="89">
        <f t="shared" si="11"/>
        <v>0.26013953253054162</v>
      </c>
      <c r="I78" t="str">
        <f t="shared" si="12"/>
        <v>Age: 30-44</v>
      </c>
      <c r="K78" s="3">
        <f t="shared" si="13"/>
        <v>0.23078958256624774</v>
      </c>
      <c r="L78" s="3">
        <f t="shared" si="13"/>
        <v>0.20245641751321611</v>
      </c>
      <c r="M78" s="3">
        <f t="shared" si="13"/>
        <v>0.19731812627291243</v>
      </c>
      <c r="N78" s="3">
        <f t="shared" si="13"/>
        <v>0.21929003833994754</v>
      </c>
      <c r="O78" s="3">
        <f t="shared" si="13"/>
        <v>0.22234781059064618</v>
      </c>
      <c r="V78" t="str">
        <f t="shared" si="14"/>
        <v>Age 30-44</v>
      </c>
      <c r="W78" s="3">
        <f t="shared" si="15"/>
        <v>0.28282897635986631</v>
      </c>
      <c r="X78" s="3">
        <f t="shared" si="15"/>
        <v>0.24734020496468914</v>
      </c>
      <c r="Y78" s="3">
        <f t="shared" si="15"/>
        <v>0.25910320120234187</v>
      </c>
      <c r="Z78" s="3">
        <f t="shared" si="15"/>
        <v>0.27770601997280592</v>
      </c>
      <c r="AA78" s="3">
        <f t="shared" si="15"/>
        <v>0.2241310527715098</v>
      </c>
      <c r="AB78" s="3"/>
    </row>
    <row r="79" spans="1:29" x14ac:dyDescent="0.25">
      <c r="A79" s="22" t="str">
        <f t="shared" si="10"/>
        <v>Age: 45-59</v>
      </c>
      <c r="C79" s="89">
        <f t="shared" si="11"/>
        <v>0.21225388492878161</v>
      </c>
      <c r="D79" s="89">
        <f t="shared" si="11"/>
        <v>0.18589684615917132</v>
      </c>
      <c r="E79" s="89">
        <f t="shared" si="11"/>
        <v>0.18708732981969686</v>
      </c>
      <c r="F79" s="89">
        <f t="shared" si="11"/>
        <v>0.17573774649781027</v>
      </c>
      <c r="G79" s="89">
        <f t="shared" si="11"/>
        <v>0.19164959962258671</v>
      </c>
      <c r="I79" t="str">
        <f t="shared" si="12"/>
        <v>Age: 45-59</v>
      </c>
      <c r="K79" s="3">
        <f t="shared" si="13"/>
        <v>0.20368789453506073</v>
      </c>
      <c r="L79" s="3">
        <f t="shared" si="13"/>
        <v>0.21990171342513248</v>
      </c>
      <c r="M79" s="3">
        <f t="shared" si="13"/>
        <v>0.22608437590922317</v>
      </c>
      <c r="N79" s="3">
        <f t="shared" si="13"/>
        <v>0.19791854442725498</v>
      </c>
      <c r="O79" s="3">
        <f t="shared" si="13"/>
        <v>0.21757109188329934</v>
      </c>
      <c r="V79" t="str">
        <f t="shared" si="14"/>
        <v>Age 45-59</v>
      </c>
      <c r="W79" s="3">
        <f t="shared" si="15"/>
        <v>0.20635754854339641</v>
      </c>
      <c r="X79" s="3">
        <f t="shared" si="15"/>
        <v>0.2421797932803357</v>
      </c>
      <c r="Y79" s="3">
        <f t="shared" si="15"/>
        <v>0.19645978408774978</v>
      </c>
      <c r="Z79" s="3">
        <f t="shared" si="15"/>
        <v>0.20438194284385869</v>
      </c>
      <c r="AA79" s="3">
        <f t="shared" si="15"/>
        <v>0.20423017404168001</v>
      </c>
      <c r="AB79" s="3"/>
    </row>
    <row r="80" spans="1:29" x14ac:dyDescent="0.25">
      <c r="A80" s="22" t="str">
        <f t="shared" si="10"/>
        <v>Age: 60-74</v>
      </c>
      <c r="C80" s="89">
        <f t="shared" si="11"/>
        <v>0.12103896999696866</v>
      </c>
      <c r="D80" s="89">
        <f t="shared" si="11"/>
        <v>0.1008071788500286</v>
      </c>
      <c r="E80" s="89">
        <f t="shared" si="11"/>
        <v>9.84717320856308E-2</v>
      </c>
      <c r="F80" s="89">
        <f t="shared" si="11"/>
        <v>7.5653066638786431E-2</v>
      </c>
      <c r="G80" s="89">
        <f t="shared" si="11"/>
        <v>8.4362776694729552E-2</v>
      </c>
      <c r="I80" t="str">
        <f t="shared" si="12"/>
        <v>Age: 60-74</v>
      </c>
      <c r="K80" s="3">
        <f t="shared" si="13"/>
        <v>0.10143769240404946</v>
      </c>
      <c r="L80" s="3">
        <f t="shared" si="13"/>
        <v>0.12234464355300784</v>
      </c>
      <c r="M80" s="3">
        <f t="shared" si="13"/>
        <v>0.12551387838231015</v>
      </c>
      <c r="N80" s="3">
        <f t="shared" si="13"/>
        <v>9.5937983453285802E-2</v>
      </c>
      <c r="O80" s="3">
        <f t="shared" si="13"/>
        <v>0.11134455430519544</v>
      </c>
      <c r="V80" t="str">
        <f t="shared" si="14"/>
        <v>Age 60-74</v>
      </c>
      <c r="W80" s="3">
        <f t="shared" si="15"/>
        <v>0.11733493289457751</v>
      </c>
      <c r="X80" s="3">
        <f t="shared" si="15"/>
        <v>0.12951359900637016</v>
      </c>
      <c r="Y80" s="3">
        <f t="shared" si="15"/>
        <v>0.11891306225256713</v>
      </c>
      <c r="Z80" s="3">
        <f t="shared" si="15"/>
        <v>0.10741896640917094</v>
      </c>
      <c r="AA80" s="3">
        <f t="shared" si="15"/>
        <v>0.14046861046158882</v>
      </c>
      <c r="AB80" s="3"/>
    </row>
    <row r="81" spans="1:28" x14ac:dyDescent="0.25">
      <c r="A81" s="22" t="str">
        <f t="shared" si="10"/>
        <v>Age:75+</v>
      </c>
      <c r="C81" s="89">
        <f t="shared" si="11"/>
        <v>3.9564103820762336E-2</v>
      </c>
      <c r="D81" s="89">
        <f t="shared" si="11"/>
        <v>6.2059815855920193E-2</v>
      </c>
      <c r="E81" s="89">
        <f t="shared" si="11"/>
        <v>5.706967928765426E-2</v>
      </c>
      <c r="F81" s="89">
        <f t="shared" si="11"/>
        <v>3.2646174550786389E-2</v>
      </c>
      <c r="G81" s="89">
        <f t="shared" si="11"/>
        <v>5.026745487171299E-2</v>
      </c>
      <c r="I81" t="str">
        <f t="shared" si="12"/>
        <v>Age:75+</v>
      </c>
      <c r="K81" s="3">
        <f t="shared" si="13"/>
        <v>3.5794839870484318E-2</v>
      </c>
      <c r="L81" s="3">
        <f t="shared" si="13"/>
        <v>6.3674956649259012E-2</v>
      </c>
      <c r="M81" s="3">
        <f t="shared" si="13"/>
        <v>6.3162525458248478E-2</v>
      </c>
      <c r="N81" s="3">
        <f t="shared" si="13"/>
        <v>3.5025223649693953E-2</v>
      </c>
      <c r="O81" s="3">
        <f t="shared" si="13"/>
        <v>4.9228023997844067E-2</v>
      </c>
      <c r="V81" t="str">
        <f t="shared" si="14"/>
        <v>Age 75 up</v>
      </c>
      <c r="W81" s="3">
        <f t="shared" si="15"/>
        <v>3.8918148986396658E-2</v>
      </c>
      <c r="X81" s="3">
        <f t="shared" si="15"/>
        <v>5.603988787420966E-2</v>
      </c>
      <c r="Y81" s="3">
        <f t="shared" si="15"/>
        <v>7.3188058731439701E-2</v>
      </c>
      <c r="Z81" s="3">
        <f t="shared" si="15"/>
        <v>3.8764904415289049E-2</v>
      </c>
      <c r="AA81" s="3">
        <f t="shared" si="15"/>
        <v>5.9521845537156844E-2</v>
      </c>
      <c r="AB81" s="3"/>
    </row>
    <row r="82" spans="1:28" x14ac:dyDescent="0.25">
      <c r="A82" s="22" t="s">
        <v>24</v>
      </c>
      <c r="C82" s="89">
        <f t="shared" si="11"/>
        <v>1</v>
      </c>
      <c r="D82" s="89">
        <f t="shared" si="11"/>
        <v>1</v>
      </c>
      <c r="E82" s="89">
        <f t="shared" si="11"/>
        <v>1</v>
      </c>
      <c r="F82" s="89">
        <f t="shared" si="11"/>
        <v>1</v>
      </c>
      <c r="G82" s="89">
        <f t="shared" si="11"/>
        <v>1</v>
      </c>
      <c r="I82" t="s">
        <v>24</v>
      </c>
      <c r="K82" s="3">
        <f t="shared" si="13"/>
        <v>1</v>
      </c>
      <c r="L82" s="3">
        <f t="shared" si="13"/>
        <v>1</v>
      </c>
      <c r="M82" s="3">
        <f t="shared" si="13"/>
        <v>1</v>
      </c>
      <c r="N82" s="3">
        <f t="shared" si="13"/>
        <v>1</v>
      </c>
      <c r="O82" s="3">
        <f t="shared" si="13"/>
        <v>1</v>
      </c>
      <c r="V82" t="s">
        <v>24</v>
      </c>
      <c r="W82" s="3">
        <f t="shared" si="15"/>
        <v>1</v>
      </c>
      <c r="X82" s="3">
        <f t="shared" si="15"/>
        <v>1</v>
      </c>
      <c r="Y82" s="3">
        <f t="shared" si="15"/>
        <v>1</v>
      </c>
      <c r="Z82" s="3">
        <f t="shared" si="15"/>
        <v>1</v>
      </c>
      <c r="AA82" s="3">
        <f t="shared" si="15"/>
        <v>1</v>
      </c>
      <c r="AB82" s="3"/>
    </row>
    <row r="83" spans="1:28" x14ac:dyDescent="0.25">
      <c r="A83" s="22"/>
    </row>
    <row r="84" spans="1:28" x14ac:dyDescent="0.25">
      <c r="A84" s="22"/>
    </row>
    <row r="85" spans="1:28" x14ac:dyDescent="0.25">
      <c r="A85" s="22"/>
    </row>
    <row r="86" spans="1:28" x14ac:dyDescent="0.25">
      <c r="A86" s="22"/>
    </row>
    <row r="87" spans="1:28" x14ac:dyDescent="0.25">
      <c r="A87" s="22"/>
      <c r="C87" s="1" t="str">
        <f>C17</f>
        <v>Atlanta</v>
      </c>
      <c r="D87" s="1" t="str">
        <f>D17</f>
        <v>Boston</v>
      </c>
      <c r="E87" s="1" t="str">
        <f>E17</f>
        <v>Detroit</v>
      </c>
      <c r="F87" s="1" t="str">
        <f>F17</f>
        <v>Houston</v>
      </c>
      <c r="G87" s="1" t="str">
        <f>G17</f>
        <v>Seattle</v>
      </c>
      <c r="K87" t="str">
        <f>K17</f>
        <v>Atlanta</v>
      </c>
      <c r="L87" t="str">
        <f>L17</f>
        <v>Boston</v>
      </c>
      <c r="M87" t="str">
        <f>M17</f>
        <v>Detroit</v>
      </c>
      <c r="N87" t="str">
        <f>N17</f>
        <v>Houston</v>
      </c>
      <c r="O87" t="str">
        <f>O17</f>
        <v>Seattle</v>
      </c>
      <c r="W87" t="str">
        <f>W17</f>
        <v>Atlanta</v>
      </c>
      <c r="X87" t="str">
        <f>X17</f>
        <v>Boston</v>
      </c>
      <c r="Y87" t="str">
        <f>Y17</f>
        <v>Detroit</v>
      </c>
      <c r="Z87" t="str">
        <f>Z17</f>
        <v>Houston</v>
      </c>
      <c r="AA87" t="str">
        <f>AA17</f>
        <v>Seattle</v>
      </c>
    </row>
    <row r="88" spans="1:28" x14ac:dyDescent="0.25">
      <c r="A88" s="22" t="str">
        <f>A18</f>
        <v>Single w/o Children</v>
      </c>
      <c r="C88" s="89">
        <f t="shared" ref="C88:G92" si="16">C18/C$22</f>
        <v>0.13383468473129054</v>
      </c>
      <c r="D88" s="89">
        <f t="shared" si="16"/>
        <v>0.16067199472416646</v>
      </c>
      <c r="E88" s="89">
        <f t="shared" si="16"/>
        <v>0.14776902350716675</v>
      </c>
      <c r="F88" s="89">
        <f t="shared" si="16"/>
        <v>0.11911018497448894</v>
      </c>
      <c r="G88" s="89">
        <f t="shared" si="16"/>
        <v>0.15980272533918902</v>
      </c>
      <c r="I88" t="str">
        <f>I18</f>
        <v>Single w/o Children</v>
      </c>
      <c r="K88" s="3">
        <f t="shared" ref="K88:O92" si="17">K18/K$22</f>
        <v>0.13383464354718097</v>
      </c>
      <c r="L88" s="3">
        <f t="shared" si="17"/>
        <v>0.16269674778281884</v>
      </c>
      <c r="M88" s="3">
        <f t="shared" si="17"/>
        <v>0.15779295897585102</v>
      </c>
      <c r="N88" s="3">
        <f t="shared" si="17"/>
        <v>0.11518194659312574</v>
      </c>
      <c r="O88" s="3">
        <f t="shared" si="17"/>
        <v>0.16492223841498174</v>
      </c>
      <c r="V88" t="str">
        <f>V18</f>
        <v>Single no k</v>
      </c>
      <c r="W88" s="3">
        <f t="shared" ref="W88:AA92" si="18">W18/W$22</f>
        <v>0.17870686042829459</v>
      </c>
      <c r="X88" s="3">
        <f t="shared" si="18"/>
        <v>0.22131288906184984</v>
      </c>
      <c r="Y88" s="3">
        <f t="shared" si="18"/>
        <v>0.22345258282667416</v>
      </c>
      <c r="Z88" s="3">
        <f t="shared" si="18"/>
        <v>0.17562200389679869</v>
      </c>
      <c r="AA88" s="3">
        <f t="shared" si="18"/>
        <v>0.17138217589594312</v>
      </c>
      <c r="AB88" s="3"/>
    </row>
    <row r="89" spans="1:28" x14ac:dyDescent="0.25">
      <c r="A89" s="22" t="str">
        <f>A19</f>
        <v>Couples w/o children</v>
      </c>
      <c r="C89" s="89">
        <f t="shared" si="16"/>
        <v>0.24656959109547641</v>
      </c>
      <c r="D89" s="89">
        <f t="shared" si="16"/>
        <v>0.26906154660746828</v>
      </c>
      <c r="E89" s="89">
        <f t="shared" si="16"/>
        <v>0.25399233411839167</v>
      </c>
      <c r="F89" s="89">
        <f t="shared" si="16"/>
        <v>0.22087027061096448</v>
      </c>
      <c r="G89" s="89">
        <f t="shared" si="16"/>
        <v>0.25198011603597026</v>
      </c>
      <c r="I89" t="str">
        <f>I19</f>
        <v>Couples w/o children</v>
      </c>
      <c r="K89" s="3">
        <f t="shared" si="17"/>
        <v>0.24656960709481301</v>
      </c>
      <c r="L89" s="3">
        <f t="shared" si="17"/>
        <v>0.27824817284566933</v>
      </c>
      <c r="M89" s="3">
        <f t="shared" si="17"/>
        <v>0.26976149033372704</v>
      </c>
      <c r="N89" s="3">
        <f t="shared" si="17"/>
        <v>0.23344376608882869</v>
      </c>
      <c r="O89" s="3">
        <f t="shared" si="17"/>
        <v>0.26345388219620236</v>
      </c>
      <c r="V89" t="str">
        <f>V19</f>
        <v>Couple no k</v>
      </c>
      <c r="W89" s="3">
        <f t="shared" si="18"/>
        <v>0.26754950463119587</v>
      </c>
      <c r="X89" s="3">
        <f t="shared" si="18"/>
        <v>0.2699071521836332</v>
      </c>
      <c r="Y89" s="3">
        <f t="shared" si="18"/>
        <v>0.2455022789277766</v>
      </c>
      <c r="Z89" s="3">
        <f t="shared" si="18"/>
        <v>0.24307436512389474</v>
      </c>
      <c r="AA89" s="3">
        <f t="shared" si="18"/>
        <v>0.26339916421817589</v>
      </c>
      <c r="AB89" s="3"/>
    </row>
    <row r="90" spans="1:28" x14ac:dyDescent="0.25">
      <c r="A90" s="22" t="str">
        <f>A20</f>
        <v>Single w/ children</v>
      </c>
      <c r="C90" s="89">
        <f t="shared" si="16"/>
        <v>0.15507132731058193</v>
      </c>
      <c r="D90" s="89">
        <f t="shared" si="16"/>
        <v>0.10746277143779306</v>
      </c>
      <c r="E90" s="89">
        <f t="shared" si="16"/>
        <v>0.15735537480020176</v>
      </c>
      <c r="F90" s="89">
        <f t="shared" si="16"/>
        <v>0.13685160114398612</v>
      </c>
      <c r="G90" s="89">
        <f t="shared" si="16"/>
        <v>0.1265907541877497</v>
      </c>
      <c r="I90" t="str">
        <f>I20</f>
        <v>Single w/ children</v>
      </c>
      <c r="K90" s="3">
        <f t="shared" si="17"/>
        <v>0.1550713886142045</v>
      </c>
      <c r="L90" s="3">
        <f t="shared" si="17"/>
        <v>0.11480023147105399</v>
      </c>
      <c r="M90" s="3">
        <f t="shared" si="17"/>
        <v>0.15913011781755554</v>
      </c>
      <c r="N90" s="3">
        <f t="shared" si="17"/>
        <v>0.15323422030817399</v>
      </c>
      <c r="O90" s="3">
        <f t="shared" si="17"/>
        <v>0.12762321662743256</v>
      </c>
      <c r="V90" t="str">
        <f>V20</f>
        <v>Single w/ k</v>
      </c>
      <c r="W90" s="3">
        <f t="shared" si="18"/>
        <v>0.13456059295285913</v>
      </c>
      <c r="X90" s="3">
        <f t="shared" si="18"/>
        <v>0.13996497540448699</v>
      </c>
      <c r="Y90" s="3">
        <f t="shared" si="18"/>
        <v>0.12234396382155062</v>
      </c>
      <c r="Z90" s="3">
        <f t="shared" si="18"/>
        <v>0.15658284741206735</v>
      </c>
      <c r="AA90" s="3">
        <f t="shared" si="18"/>
        <v>6.8611552331804021E-2</v>
      </c>
      <c r="AB90" s="3"/>
    </row>
    <row r="91" spans="1:28" x14ac:dyDescent="0.25">
      <c r="A91" s="22" t="str">
        <f>A21</f>
        <v>Couple with Children</v>
      </c>
      <c r="C91" s="89">
        <f t="shared" si="16"/>
        <v>0.46452439686265112</v>
      </c>
      <c r="D91" s="89">
        <f t="shared" si="16"/>
        <v>0.46280368723057225</v>
      </c>
      <c r="E91" s="89">
        <f t="shared" si="16"/>
        <v>0.44088326757423968</v>
      </c>
      <c r="F91" s="89">
        <f t="shared" si="16"/>
        <v>0.52316794327056038</v>
      </c>
      <c r="G91" s="89">
        <f t="shared" si="16"/>
        <v>0.46162640443709096</v>
      </c>
      <c r="I91" t="str">
        <f>I21</f>
        <v>Couple with Children</v>
      </c>
      <c r="K91" s="3">
        <f t="shared" si="17"/>
        <v>0.46452436074380149</v>
      </c>
      <c r="L91" s="3">
        <f t="shared" si="17"/>
        <v>0.44425484790045788</v>
      </c>
      <c r="M91" s="3">
        <f t="shared" si="17"/>
        <v>0.41331543287286637</v>
      </c>
      <c r="N91" s="3">
        <f t="shared" si="17"/>
        <v>0.49814006700987157</v>
      </c>
      <c r="O91" s="3">
        <f t="shared" si="17"/>
        <v>0.44400066276138334</v>
      </c>
      <c r="V91" t="str">
        <f>V21</f>
        <v>Couple w/ k</v>
      </c>
      <c r="W91" s="3">
        <f t="shared" si="18"/>
        <v>0.41918304198765044</v>
      </c>
      <c r="X91" s="3">
        <f t="shared" si="18"/>
        <v>0.36881498335002999</v>
      </c>
      <c r="Y91" s="3">
        <f t="shared" si="18"/>
        <v>0.40870117442399861</v>
      </c>
      <c r="Z91" s="3">
        <f t="shared" si="18"/>
        <v>0.42472078356723925</v>
      </c>
      <c r="AA91" s="3">
        <f t="shared" si="18"/>
        <v>0.496607107554077</v>
      </c>
      <c r="AB91" s="3"/>
    </row>
    <row r="92" spans="1:28" x14ac:dyDescent="0.25">
      <c r="A92" s="22" t="s">
        <v>24</v>
      </c>
      <c r="C92" s="89">
        <f t="shared" si="16"/>
        <v>1</v>
      </c>
      <c r="D92" s="89">
        <f t="shared" si="16"/>
        <v>1</v>
      </c>
      <c r="E92" s="89">
        <f t="shared" si="16"/>
        <v>1</v>
      </c>
      <c r="F92" s="89">
        <f t="shared" si="16"/>
        <v>1</v>
      </c>
      <c r="G92" s="89">
        <f t="shared" si="16"/>
        <v>1</v>
      </c>
      <c r="I92" t="s">
        <v>24</v>
      </c>
      <c r="K92" s="3">
        <f t="shared" si="17"/>
        <v>1</v>
      </c>
      <c r="L92" s="3">
        <f t="shared" si="17"/>
        <v>1</v>
      </c>
      <c r="M92" s="3">
        <f t="shared" si="17"/>
        <v>1</v>
      </c>
      <c r="N92" s="3">
        <f t="shared" si="17"/>
        <v>1</v>
      </c>
      <c r="O92" s="3">
        <f t="shared" si="17"/>
        <v>1</v>
      </c>
      <c r="V92" t="s">
        <v>24</v>
      </c>
      <c r="W92" s="3">
        <f t="shared" si="18"/>
        <v>1</v>
      </c>
      <c r="X92" s="3">
        <f t="shared" si="18"/>
        <v>1</v>
      </c>
      <c r="Y92" s="3">
        <f t="shared" si="18"/>
        <v>1</v>
      </c>
      <c r="Z92" s="3">
        <f t="shared" si="18"/>
        <v>1</v>
      </c>
      <c r="AA92" s="3">
        <f t="shared" si="18"/>
        <v>1</v>
      </c>
      <c r="AB92" s="3"/>
    </row>
    <row r="93" spans="1:28" x14ac:dyDescent="0.25">
      <c r="A93" s="22"/>
    </row>
    <row r="94" spans="1:28" x14ac:dyDescent="0.25">
      <c r="A94" s="22"/>
    </row>
    <row r="95" spans="1:28" s="22" customFormat="1" x14ac:dyDescent="0.25">
      <c r="B95" s="2"/>
      <c r="C95" s="1"/>
      <c r="D95" s="1"/>
      <c r="E95" s="1"/>
      <c r="F95" s="1"/>
      <c r="G95" s="1"/>
      <c r="P95" s="1"/>
      <c r="Q95" s="1"/>
      <c r="R95" s="1"/>
      <c r="S95" s="1"/>
      <c r="T95" s="1"/>
    </row>
    <row r="96" spans="1:28" s="22" customFormat="1" x14ac:dyDescent="0.25">
      <c r="A96" s="1"/>
      <c r="B96" s="1"/>
      <c r="C96" s="1" t="str">
        <f>C87</f>
        <v>Atlanta</v>
      </c>
      <c r="D96" s="1" t="str">
        <f t="shared" ref="D96:G96" si="19">D87</f>
        <v>Boston</v>
      </c>
      <c r="E96" s="1" t="str">
        <f t="shared" si="19"/>
        <v>Detroit</v>
      </c>
      <c r="F96" s="1" t="str">
        <f t="shared" si="19"/>
        <v>Houston</v>
      </c>
      <c r="G96" s="1" t="str">
        <f t="shared" si="19"/>
        <v>Seattle</v>
      </c>
      <c r="I96" s="1"/>
      <c r="J96" s="1"/>
      <c r="K96" s="1" t="str">
        <f t="shared" ref="K96:O96" si="20">K87</f>
        <v>Atlanta</v>
      </c>
      <c r="L96" s="1" t="str">
        <f t="shared" si="20"/>
        <v>Boston</v>
      </c>
      <c r="M96" s="1" t="str">
        <f t="shared" si="20"/>
        <v>Detroit</v>
      </c>
      <c r="N96" s="1" t="str">
        <f t="shared" si="20"/>
        <v>Houston</v>
      </c>
      <c r="O96" s="1" t="str">
        <f t="shared" si="20"/>
        <v>Seattle</v>
      </c>
      <c r="P96" s="1"/>
      <c r="Q96" s="1"/>
      <c r="R96" s="1"/>
      <c r="S96" s="1"/>
      <c r="T96" s="1"/>
      <c r="V96" s="1"/>
      <c r="W96" s="1"/>
      <c r="X96" s="1" t="str">
        <f>X87</f>
        <v>Boston</v>
      </c>
      <c r="Y96" s="1" t="str">
        <f t="shared" ref="Y96:AB96" si="21">Y87</f>
        <v>Detroit</v>
      </c>
      <c r="Z96" s="1" t="str">
        <f t="shared" si="21"/>
        <v>Houston</v>
      </c>
      <c r="AA96" s="1" t="str">
        <f t="shared" si="21"/>
        <v>Seattle</v>
      </c>
      <c r="AB96" s="1">
        <f t="shared" si="21"/>
        <v>0</v>
      </c>
    </row>
    <row r="97" spans="1:28" s="22" customFormat="1" x14ac:dyDescent="0.25">
      <c r="A97" s="229" t="str">
        <f>A28</f>
        <v>Hispanic-Native</v>
      </c>
      <c r="B97" s="2"/>
      <c r="C97" s="89">
        <f>C28/C$40</f>
        <v>6.5159163639861975E-2</v>
      </c>
      <c r="D97" s="89">
        <f t="shared" ref="D97:G97" si="22">D28/D$40</f>
        <v>3.8163278668513871E-2</v>
      </c>
      <c r="E97" s="89">
        <f t="shared" si="22"/>
        <v>2.1521943927698187E-2</v>
      </c>
      <c r="F97" s="89">
        <f t="shared" si="22"/>
        <v>0.1610147796691366</v>
      </c>
      <c r="G97" s="89">
        <f t="shared" si="22"/>
        <v>3.6030242297660851E-2</v>
      </c>
      <c r="I97" s="22" t="str">
        <f>A97</f>
        <v>Hispanic-Native</v>
      </c>
      <c r="J97" s="89"/>
      <c r="K97" s="89">
        <f t="shared" ref="K97:N97" si="23">K28/K$40</f>
        <v>6.5159252762160266E-2</v>
      </c>
      <c r="L97" s="89">
        <f t="shared" si="23"/>
        <v>4.7020638708785006E-2</v>
      </c>
      <c r="M97" s="89">
        <f t="shared" si="23"/>
        <v>2.5605871669329143E-2</v>
      </c>
      <c r="N97" s="89">
        <f t="shared" si="23"/>
        <v>0.21023367508232135</v>
      </c>
      <c r="O97" s="89">
        <f t="shared" ref="O97" si="24">O28/O$40</f>
        <v>6.0823303342682364E-2</v>
      </c>
      <c r="P97" s="1"/>
      <c r="Q97" s="1"/>
      <c r="R97" s="1"/>
      <c r="S97" s="1"/>
      <c r="T97" s="1"/>
      <c r="V97" s="229" t="str">
        <f>V28</f>
        <v>Hispanic-Native</v>
      </c>
      <c r="W97" s="2"/>
      <c r="X97" s="89">
        <f>X28/X$40</f>
        <v>4.3178444913943813E-2</v>
      </c>
      <c r="Y97" s="89">
        <f t="shared" ref="Y97:AB97" si="25">Y28/Y$40</f>
        <v>4.693213681333426E-2</v>
      </c>
      <c r="Z97" s="89">
        <f t="shared" si="25"/>
        <v>0.15721728707765067</v>
      </c>
      <c r="AA97" s="89">
        <f t="shared" si="25"/>
        <v>4.8344729325307284E-2</v>
      </c>
      <c r="AB97" s="89">
        <f t="shared" si="25"/>
        <v>8.778239171356933E-2</v>
      </c>
    </row>
    <row r="98" spans="1:28" s="22" customFormat="1" x14ac:dyDescent="0.25">
      <c r="A98" s="229" t="str">
        <f t="shared" ref="A98:A109" si="26">A29</f>
        <v>Hispanic-&gt;20 yr</v>
      </c>
      <c r="B98" s="2"/>
      <c r="C98" s="89">
        <f t="shared" ref="C98:G109" si="27">C29/C$40</f>
        <v>8.262859155108538E-3</v>
      </c>
      <c r="D98" s="89">
        <f t="shared" si="27"/>
        <v>8.4965502212157543E-3</v>
      </c>
      <c r="E98" s="89">
        <f t="shared" si="27"/>
        <v>2.6605480567264092E-3</v>
      </c>
      <c r="F98" s="89">
        <f t="shared" si="27"/>
        <v>2.591185639276181E-2</v>
      </c>
      <c r="G98" s="89">
        <f t="shared" si="27"/>
        <v>2.0953457160964787E-3</v>
      </c>
      <c r="I98" s="22" t="str">
        <f t="shared" ref="I98:I109" si="28">A98</f>
        <v>Hispanic-&gt;20 yr</v>
      </c>
      <c r="J98" s="89"/>
      <c r="K98" s="89">
        <f t="shared" ref="K98:N98" si="29">K29/K$40</f>
        <v>8.2628984395410141E-3</v>
      </c>
      <c r="L98" s="89">
        <f t="shared" si="29"/>
        <v>2.0623363315304039E-2</v>
      </c>
      <c r="M98" s="89">
        <f t="shared" si="29"/>
        <v>6.7613996161250368E-3</v>
      </c>
      <c r="N98" s="89">
        <f t="shared" si="29"/>
        <v>4.6815245119102226E-2</v>
      </c>
      <c r="O98" s="89">
        <f t="shared" ref="O98" si="30">O29/O$40</f>
        <v>5.2057968998362189E-3</v>
      </c>
      <c r="P98" s="1"/>
      <c r="Q98" s="1"/>
      <c r="R98" s="1"/>
      <c r="S98" s="1"/>
      <c r="T98" s="1"/>
      <c r="V98" s="229" t="str">
        <f t="shared" ref="V98:V108" si="31">V29</f>
        <v>Hispanic-&gt;20 yr</v>
      </c>
      <c r="W98" s="2"/>
      <c r="X98" s="89">
        <f t="shared" ref="X98:AB98" si="32">X29/X$40</f>
        <v>2.2348641446156337E-2</v>
      </c>
      <c r="Y98" s="89">
        <f t="shared" si="32"/>
        <v>1.15595377730516E-2</v>
      </c>
      <c r="Z98" s="89">
        <f t="shared" si="32"/>
        <v>4.2532428573606826E-2</v>
      </c>
      <c r="AA98" s="89">
        <f t="shared" si="32"/>
        <v>0</v>
      </c>
      <c r="AB98" s="89">
        <f t="shared" si="32"/>
        <v>2.5520350790787842E-2</v>
      </c>
    </row>
    <row r="99" spans="1:28" s="22" customFormat="1" x14ac:dyDescent="0.25">
      <c r="A99" s="229" t="str">
        <f t="shared" si="26"/>
        <v>Hispanic &lt;20 yr</v>
      </c>
      <c r="B99" s="2"/>
      <c r="C99" s="89">
        <f t="shared" si="27"/>
        <v>3.0471346551439342E-2</v>
      </c>
      <c r="D99" s="89">
        <f t="shared" si="27"/>
        <v>1.7467463346997905E-2</v>
      </c>
      <c r="E99" s="89">
        <f t="shared" si="27"/>
        <v>4.3220280026300311E-3</v>
      </c>
      <c r="F99" s="89">
        <f t="shared" si="27"/>
        <v>0.10010627541318742</v>
      </c>
      <c r="G99" s="89">
        <f t="shared" si="27"/>
        <v>1.5244816450547739E-2</v>
      </c>
      <c r="I99" s="22" t="str">
        <f t="shared" si="28"/>
        <v>Hispanic &lt;20 yr</v>
      </c>
      <c r="J99" s="89"/>
      <c r="K99" s="89">
        <f t="shared" ref="K99:N99" si="33">K30/K$40</f>
        <v>3.0471290643403728E-2</v>
      </c>
      <c r="L99" s="89">
        <f t="shared" si="33"/>
        <v>2.2531689841436019E-2</v>
      </c>
      <c r="M99" s="89">
        <f t="shared" si="33"/>
        <v>6.751727841691587E-3</v>
      </c>
      <c r="N99" s="89">
        <f t="shared" si="33"/>
        <v>9.5983298807118853E-2</v>
      </c>
      <c r="O99" s="89">
        <f t="shared" ref="O99" si="34">O30/O$40</f>
        <v>2.3939848614816225E-2</v>
      </c>
      <c r="P99" s="1"/>
      <c r="Q99" s="1"/>
      <c r="R99" s="1"/>
      <c r="S99" s="1"/>
      <c r="T99" s="1"/>
      <c r="V99" s="229" t="str">
        <f t="shared" si="31"/>
        <v>Hispanic &lt;20 yr</v>
      </c>
      <c r="W99" s="2"/>
      <c r="X99" s="89">
        <f t="shared" ref="X99:AB99" si="35">X30/X$40</f>
        <v>2.7768196360282067E-2</v>
      </c>
      <c r="Y99" s="89">
        <f t="shared" si="35"/>
        <v>8.6085528330440766E-3</v>
      </c>
      <c r="Z99" s="89">
        <f t="shared" si="35"/>
        <v>0.11214709984171051</v>
      </c>
      <c r="AA99" s="89">
        <f t="shared" si="35"/>
        <v>2.414877734526788E-2</v>
      </c>
      <c r="AB99" s="89">
        <f t="shared" si="35"/>
        <v>3.8296630878662571E-2</v>
      </c>
    </row>
    <row r="100" spans="1:28" x14ac:dyDescent="0.25">
      <c r="A100" s="229" t="str">
        <f t="shared" si="26"/>
        <v>Black-Native</v>
      </c>
      <c r="C100" s="89">
        <f t="shared" si="27"/>
        <v>0.30099998003307249</v>
      </c>
      <c r="D100" s="89">
        <f t="shared" si="27"/>
        <v>3.3308751526541253E-2</v>
      </c>
      <c r="E100" s="89">
        <f t="shared" si="27"/>
        <v>0.22915186912639141</v>
      </c>
      <c r="F100" s="89">
        <f t="shared" si="27"/>
        <v>0.16318233873675275</v>
      </c>
      <c r="G100" s="89">
        <f t="shared" si="27"/>
        <v>5.5403666074185863E-2</v>
      </c>
      <c r="I100" s="22" t="str">
        <f t="shared" si="28"/>
        <v>Black-Native</v>
      </c>
      <c r="J100" s="89"/>
      <c r="K100" s="89">
        <f t="shared" ref="K100:N100" si="36">K31/K$40</f>
        <v>0.30099992272395903</v>
      </c>
      <c r="L100" s="89">
        <f t="shared" si="36"/>
        <v>3.2871655882318183E-2</v>
      </c>
      <c r="M100" s="89">
        <f t="shared" si="36"/>
        <v>0.22983909916450077</v>
      </c>
      <c r="N100" s="89">
        <f t="shared" si="36"/>
        <v>0.16634160665800052</v>
      </c>
      <c r="O100" s="89">
        <f t="shared" ref="O100" si="37">O31/O$40</f>
        <v>6.2717276145950934E-2</v>
      </c>
      <c r="V100" s="229" t="str">
        <f t="shared" si="31"/>
        <v>Black-Native</v>
      </c>
      <c r="W100" s="2"/>
      <c r="X100" s="89">
        <f t="shared" ref="X100:AB100" si="38">X31/X$40</f>
        <v>3.0011853214190042E-2</v>
      </c>
      <c r="Y100" s="89">
        <f t="shared" si="38"/>
        <v>0.21240947707828148</v>
      </c>
      <c r="Z100" s="89">
        <f t="shared" si="38"/>
        <v>0.15163461578833271</v>
      </c>
      <c r="AA100" s="89">
        <f t="shared" si="38"/>
        <v>3.1882145218796232E-2</v>
      </c>
      <c r="AB100" s="89">
        <f t="shared" si="38"/>
        <v>0.10724419229131645</v>
      </c>
    </row>
    <row r="101" spans="1:28" x14ac:dyDescent="0.25">
      <c r="A101" s="229" t="str">
        <f t="shared" si="26"/>
        <v>Black-&gt;20 yr</v>
      </c>
      <c r="C101" s="89">
        <f t="shared" si="27"/>
        <v>1.1362089339294369E-2</v>
      </c>
      <c r="D101" s="89">
        <f t="shared" si="27"/>
        <v>9.2441151672685816E-3</v>
      </c>
      <c r="E101" s="89">
        <f t="shared" si="27"/>
        <v>2.1019089385927296E-3</v>
      </c>
      <c r="F101" s="89">
        <f t="shared" si="27"/>
        <v>2.026452362443241E-3</v>
      </c>
      <c r="G101" s="89">
        <f t="shared" si="27"/>
        <v>1.0244084152215324E-3</v>
      </c>
      <c r="I101" s="22" t="str">
        <f t="shared" si="28"/>
        <v>Black-&gt;20 yr</v>
      </c>
      <c r="J101" s="89"/>
      <c r="K101" s="89">
        <f t="shared" ref="K101:N101" si="39">K32/K$40</f>
        <v>1.1362112884148156E-2</v>
      </c>
      <c r="L101" s="89">
        <f t="shared" si="39"/>
        <v>1.8542131425880726E-2</v>
      </c>
      <c r="M101" s="89">
        <f t="shared" si="39"/>
        <v>3.9358777299137943E-3</v>
      </c>
      <c r="N101" s="89">
        <f t="shared" si="39"/>
        <v>3.0357672894122116E-3</v>
      </c>
      <c r="O101" s="89">
        <f t="shared" ref="O101" si="40">O32/O$40</f>
        <v>1.7221437413074403E-3</v>
      </c>
      <c r="V101" s="229" t="str">
        <f t="shared" si="31"/>
        <v>Black-&gt;20 yr</v>
      </c>
      <c r="W101" s="2"/>
      <c r="X101" s="89">
        <f t="shared" ref="X101:AB101" si="41">X32/X$40</f>
        <v>2.0948763652330924E-2</v>
      </c>
      <c r="Y101" s="89">
        <f t="shared" si="41"/>
        <v>4.0093518053578711E-3</v>
      </c>
      <c r="Z101" s="89">
        <f t="shared" si="41"/>
        <v>2.864812199450506E-3</v>
      </c>
      <c r="AA101" s="89">
        <f t="shared" si="41"/>
        <v>0</v>
      </c>
      <c r="AB101" s="89">
        <f t="shared" si="41"/>
        <v>4.2115843947655041E-3</v>
      </c>
    </row>
    <row r="102" spans="1:28" x14ac:dyDescent="0.25">
      <c r="A102" s="229" t="str">
        <f t="shared" si="26"/>
        <v>Black &lt;20 yr</v>
      </c>
      <c r="C102" s="89">
        <f t="shared" si="27"/>
        <v>1.5261993316524811E-2</v>
      </c>
      <c r="D102" s="89">
        <f t="shared" si="27"/>
        <v>2.0453584178633778E-2</v>
      </c>
      <c r="E102" s="89">
        <f t="shared" si="27"/>
        <v>4.8901601940379844E-4</v>
      </c>
      <c r="F102" s="89">
        <f t="shared" si="27"/>
        <v>3.9732116420307818E-3</v>
      </c>
      <c r="G102" s="89">
        <f t="shared" si="27"/>
        <v>9.4873233399354678E-4</v>
      </c>
      <c r="I102" s="22" t="str">
        <f t="shared" si="28"/>
        <v>Black &lt;20 yr</v>
      </c>
      <c r="J102" s="89"/>
      <c r="K102" s="89">
        <f t="shared" ref="K102:N102" si="42">K33/K$40</f>
        <v>1.5261966547956907E-2</v>
      </c>
      <c r="L102" s="89">
        <f t="shared" si="42"/>
        <v>2.1802725644743295E-2</v>
      </c>
      <c r="M102" s="89">
        <f t="shared" si="42"/>
        <v>5.6287588417141534E-4</v>
      </c>
      <c r="N102" s="89">
        <f t="shared" si="42"/>
        <v>3.1587799504819319E-3</v>
      </c>
      <c r="O102" s="89">
        <f t="shared" ref="O102" si="43">O33/O$40</f>
        <v>1.00810932148549E-3</v>
      </c>
      <c r="V102" s="229" t="str">
        <f t="shared" si="31"/>
        <v>Black &lt;20 yr</v>
      </c>
      <c r="W102" s="2"/>
      <c r="X102" s="89">
        <f t="shared" ref="X102:AB102" si="44">X33/X$40</f>
        <v>2.8013785826723345E-2</v>
      </c>
      <c r="Y102" s="89">
        <f t="shared" si="44"/>
        <v>0</v>
      </c>
      <c r="Z102" s="89">
        <f t="shared" si="44"/>
        <v>3.8335978121002297E-3</v>
      </c>
      <c r="AA102" s="89">
        <f t="shared" si="44"/>
        <v>0</v>
      </c>
      <c r="AB102" s="89">
        <f t="shared" si="44"/>
        <v>4.6938149291166553E-3</v>
      </c>
    </row>
    <row r="103" spans="1:28" x14ac:dyDescent="0.25">
      <c r="A103" s="229" t="str">
        <f t="shared" si="26"/>
        <v>Asian-Native</v>
      </c>
      <c r="C103" s="89">
        <f t="shared" si="27"/>
        <v>1.2073638028647096E-2</v>
      </c>
      <c r="D103" s="89">
        <f t="shared" si="27"/>
        <v>1.5862697307933427E-2</v>
      </c>
      <c r="E103" s="89">
        <f t="shared" si="27"/>
        <v>1.9432180551237259E-3</v>
      </c>
      <c r="F103" s="89">
        <f t="shared" si="27"/>
        <v>1.6292363386808312E-2</v>
      </c>
      <c r="G103" s="89">
        <f t="shared" si="27"/>
        <v>6.1841419275977041E-2</v>
      </c>
      <c r="I103" s="22" t="str">
        <f t="shared" si="28"/>
        <v>Asian-Native</v>
      </c>
      <c r="J103" s="89"/>
      <c r="K103" s="89">
        <f t="shared" ref="K103:N103" si="45">K34/K$40</f>
        <v>1.2073734543809172E-2</v>
      </c>
      <c r="L103" s="89">
        <f t="shared" si="45"/>
        <v>2.5007510107476986E-2</v>
      </c>
      <c r="M103" s="89">
        <f t="shared" si="45"/>
        <v>2.763903994309592E-3</v>
      </c>
      <c r="N103" s="89">
        <f t="shared" si="45"/>
        <v>2.5466915223332734E-2</v>
      </c>
      <c r="O103" s="89">
        <f t="shared" ref="O103" si="46">O34/O$40</f>
        <v>8.5449293361885434E-2</v>
      </c>
      <c r="V103" s="229" t="str">
        <f t="shared" si="31"/>
        <v>Asian-Native</v>
      </c>
      <c r="W103" s="2"/>
      <c r="X103" s="89">
        <f t="shared" ref="X103:AB103" si="47">X34/X$40</f>
        <v>8.560674509596895E-3</v>
      </c>
      <c r="Y103" s="89">
        <f t="shared" si="47"/>
        <v>3.935354998233157E-3</v>
      </c>
      <c r="Z103" s="89">
        <f t="shared" si="47"/>
        <v>1.115915507928507E-2</v>
      </c>
      <c r="AA103" s="89">
        <f t="shared" si="47"/>
        <v>1.4371629774557056E-2</v>
      </c>
      <c r="AB103" s="89">
        <f t="shared" si="47"/>
        <v>1.1564426566746579E-2</v>
      </c>
    </row>
    <row r="104" spans="1:28" x14ac:dyDescent="0.25">
      <c r="A104" s="229" t="str">
        <f t="shared" si="26"/>
        <v>Asian-&gt;20 yr</v>
      </c>
      <c r="C104" s="89">
        <f t="shared" si="27"/>
        <v>6.9611969991523132E-3</v>
      </c>
      <c r="D104" s="89">
        <f t="shared" si="27"/>
        <v>1.3296405058846308E-3</v>
      </c>
      <c r="E104" s="89">
        <f t="shared" si="27"/>
        <v>2.0969115690878887E-3</v>
      </c>
      <c r="F104" s="89">
        <f t="shared" si="27"/>
        <v>7.3759259176514168E-3</v>
      </c>
      <c r="G104" s="89">
        <f t="shared" si="27"/>
        <v>2.0596804023479448E-3</v>
      </c>
      <c r="I104" s="22" t="str">
        <f t="shared" si="28"/>
        <v>Asian-&gt;20 yr</v>
      </c>
      <c r="J104" s="89"/>
      <c r="K104" s="89">
        <f t="shared" ref="K104:N104" si="48">K35/K$40</f>
        <v>6.9611558617287024E-3</v>
      </c>
      <c r="L104" s="89">
        <f t="shared" si="48"/>
        <v>3.2663069128722895E-3</v>
      </c>
      <c r="M104" s="89">
        <f t="shared" si="48"/>
        <v>5.6452502477863566E-3</v>
      </c>
      <c r="N104" s="89">
        <f t="shared" si="48"/>
        <v>1.4495637130864502E-2</v>
      </c>
      <c r="O104" s="89">
        <f t="shared" ref="O104" si="49">O35/O$40</f>
        <v>4.1087582367563035E-3</v>
      </c>
      <c r="V104" s="229" t="str">
        <f t="shared" si="31"/>
        <v>Asian-&gt;20 yr</v>
      </c>
      <c r="W104" s="2"/>
      <c r="X104" s="89">
        <f t="shared" ref="X104:AB104" si="50">X35/X$40</f>
        <v>1.7455222280761016E-3</v>
      </c>
      <c r="Y104" s="89">
        <f t="shared" si="50"/>
        <v>4.2618683247103543E-3</v>
      </c>
      <c r="Z104" s="89">
        <f t="shared" si="50"/>
        <v>1.0667911827250322E-2</v>
      </c>
      <c r="AA104" s="89">
        <f t="shared" si="50"/>
        <v>4.6656531846287044E-4</v>
      </c>
      <c r="AB104" s="89">
        <f t="shared" si="50"/>
        <v>6.3693470576811689E-3</v>
      </c>
    </row>
    <row r="105" spans="1:28" s="22" customFormat="1" x14ac:dyDescent="0.25">
      <c r="A105" s="229" t="str">
        <f t="shared" si="26"/>
        <v>Asian &lt;20 yr</v>
      </c>
      <c r="B105" s="102"/>
      <c r="C105" s="89">
        <f t="shared" si="27"/>
        <v>3.3170330597864263E-2</v>
      </c>
      <c r="D105" s="89">
        <f t="shared" si="27"/>
        <v>3.2346482192084462E-2</v>
      </c>
      <c r="E105" s="89">
        <f t="shared" si="27"/>
        <v>2.2120344009253383E-2</v>
      </c>
      <c r="F105" s="89">
        <f t="shared" si="27"/>
        <v>2.8134874240065697E-2</v>
      </c>
      <c r="G105" s="89">
        <f t="shared" si="27"/>
        <v>3.3085704654831599E-2</v>
      </c>
      <c r="I105" s="22" t="str">
        <f t="shared" si="28"/>
        <v>Asian &lt;20 yr</v>
      </c>
      <c r="J105" s="89"/>
      <c r="K105" s="89">
        <f t="shared" ref="K105:N105" si="51">K36/K$40</f>
        <v>3.3170330458178375E-2</v>
      </c>
      <c r="L105" s="89">
        <f t="shared" si="51"/>
        <v>4.2227645723933852E-2</v>
      </c>
      <c r="M105" s="89">
        <f t="shared" si="51"/>
        <v>2.9623548696513305E-2</v>
      </c>
      <c r="N105" s="89">
        <f t="shared" si="51"/>
        <v>2.93434609638898E-2</v>
      </c>
      <c r="O105" s="89">
        <f t="shared" ref="O105" si="52">O36/O$40</f>
        <v>4.1717551203723155E-2</v>
      </c>
      <c r="P105" s="1"/>
      <c r="Q105" s="1"/>
      <c r="R105" s="1"/>
      <c r="S105" s="1"/>
      <c r="T105" s="1"/>
      <c r="V105" s="229" t="str">
        <f t="shared" si="31"/>
        <v>Asian &lt;20 yr</v>
      </c>
      <c r="W105" s="102"/>
      <c r="X105" s="89">
        <f t="shared" ref="X105:AB105" si="53">X36/X$40</f>
        <v>2.5664188418664229E-2</v>
      </c>
      <c r="Y105" s="89">
        <f t="shared" si="53"/>
        <v>2.0610332620478105E-2</v>
      </c>
      <c r="Z105" s="89">
        <f t="shared" si="53"/>
        <v>2.7772369854237984E-2</v>
      </c>
      <c r="AA105" s="89">
        <f t="shared" si="53"/>
        <v>8.0924950064422008E-3</v>
      </c>
      <c r="AB105" s="89">
        <f t="shared" si="53"/>
        <v>1.034476657990626E-2</v>
      </c>
    </row>
    <row r="106" spans="1:28" s="22" customFormat="1" x14ac:dyDescent="0.25">
      <c r="A106" s="229" t="str">
        <f t="shared" si="26"/>
        <v>Other-Native</v>
      </c>
      <c r="B106" s="102"/>
      <c r="C106" s="89">
        <f t="shared" si="27"/>
        <v>0.48732771718117807</v>
      </c>
      <c r="D106" s="89">
        <f t="shared" si="27"/>
        <v>0.77556328276448305</v>
      </c>
      <c r="E106" s="89">
        <f t="shared" si="27"/>
        <v>0.67168287117165593</v>
      </c>
      <c r="F106" s="89">
        <f t="shared" si="27"/>
        <v>0.46902409784104337</v>
      </c>
      <c r="G106" s="89">
        <f t="shared" si="27"/>
        <v>0.7206276342974316</v>
      </c>
      <c r="I106" s="22" t="str">
        <f t="shared" si="28"/>
        <v>Other-Native</v>
      </c>
      <c r="J106" s="89"/>
      <c r="K106" s="89">
        <f t="shared" ref="K106:N106" si="54">K37/K$40</f>
        <v>0.4873276400571398</v>
      </c>
      <c r="L106" s="89">
        <f t="shared" si="54"/>
        <v>0.73234931401856862</v>
      </c>
      <c r="M106" s="89">
        <f t="shared" si="54"/>
        <v>0.66362654825099265</v>
      </c>
      <c r="N106" s="89">
        <f t="shared" si="54"/>
        <v>0.37848174451434802</v>
      </c>
      <c r="O106" s="89">
        <f t="shared" ref="O106" si="55">O37/O$40</f>
        <v>0.62984604598238469</v>
      </c>
      <c r="P106" s="1"/>
      <c r="Q106" s="1"/>
      <c r="R106" s="1"/>
      <c r="S106" s="1"/>
      <c r="T106" s="1"/>
      <c r="V106" s="229" t="str">
        <f t="shared" si="31"/>
        <v>Other-Native</v>
      </c>
      <c r="W106" s="102"/>
      <c r="X106" s="89">
        <f t="shared" ref="X106:AB106" si="56">X37/X$40</f>
        <v>0.75328495975864107</v>
      </c>
      <c r="Y106" s="89">
        <f t="shared" si="56"/>
        <v>0.66497414265618393</v>
      </c>
      <c r="Z106" s="89">
        <f t="shared" si="56"/>
        <v>0.44332283741925588</v>
      </c>
      <c r="AA106" s="89">
        <f t="shared" si="56"/>
        <v>0.78506172923668438</v>
      </c>
      <c r="AB106" s="89">
        <f t="shared" si="56"/>
        <v>0.6696773217068317</v>
      </c>
    </row>
    <row r="107" spans="1:28" x14ac:dyDescent="0.25">
      <c r="A107" s="229" t="str">
        <f t="shared" si="26"/>
        <v>Other-&gt;20 yr</v>
      </c>
      <c r="C107" s="89">
        <f t="shared" si="27"/>
        <v>9.7734479798007295E-3</v>
      </c>
      <c r="D107" s="89">
        <f t="shared" si="27"/>
        <v>2.1910314161814291E-2</v>
      </c>
      <c r="E107" s="89">
        <f t="shared" si="27"/>
        <v>2.3308240744131865E-2</v>
      </c>
      <c r="F107" s="89">
        <f t="shared" si="27"/>
        <v>8.5776287442356266E-3</v>
      </c>
      <c r="G107" s="89">
        <f t="shared" si="27"/>
        <v>3.1080888646172391E-2</v>
      </c>
      <c r="I107" s="22" t="str">
        <f t="shared" si="28"/>
        <v>Other-&gt;20 yr</v>
      </c>
      <c r="J107" s="89"/>
      <c r="K107" s="89">
        <f t="shared" ref="K107:N107" si="57">K38/K$40</f>
        <v>9.7735062091663192E-3</v>
      </c>
      <c r="L107" s="89">
        <f t="shared" si="57"/>
        <v>2.0746983306243749E-2</v>
      </c>
      <c r="M107" s="89">
        <f t="shared" si="57"/>
        <v>1.6694341958506127E-2</v>
      </c>
      <c r="N107" s="89">
        <f t="shared" si="57"/>
        <v>1.4099530154004371E-2</v>
      </c>
      <c r="O107" s="89">
        <f t="shared" ref="O107" si="58">O38/O$40</f>
        <v>4.5737719202192717E-2</v>
      </c>
      <c r="V107" s="229" t="str">
        <f t="shared" si="31"/>
        <v>Other-&gt;20 yr</v>
      </c>
      <c r="W107" s="2"/>
      <c r="X107" s="89">
        <f t="shared" ref="X107:AB107" si="59">X38/X$40</f>
        <v>2.2458505724535296E-2</v>
      </c>
      <c r="Y107" s="89">
        <f t="shared" si="59"/>
        <v>1.6619141911385828E-2</v>
      </c>
      <c r="Z107" s="89">
        <f t="shared" si="59"/>
        <v>1.7184895518548907E-2</v>
      </c>
      <c r="AA107" s="89">
        <f t="shared" si="59"/>
        <v>3.6377097123847048E-2</v>
      </c>
      <c r="AB107" s="89">
        <f t="shared" si="59"/>
        <v>1.9489559043028973E-2</v>
      </c>
    </row>
    <row r="108" spans="1:28" x14ac:dyDescent="0.25">
      <c r="A108" s="229" t="str">
        <f t="shared" si="26"/>
        <v>Other &lt;20 yr</v>
      </c>
      <c r="C108" s="89">
        <f t="shared" si="27"/>
        <v>1.9176237178055982E-2</v>
      </c>
      <c r="D108" s="89">
        <f t="shared" si="27"/>
        <v>2.5853839958628937E-2</v>
      </c>
      <c r="E108" s="89">
        <f t="shared" si="27"/>
        <v>1.8601100379304729E-2</v>
      </c>
      <c r="F108" s="89">
        <f t="shared" si="27"/>
        <v>1.4380195653882927E-2</v>
      </c>
      <c r="G108" s="89">
        <f t="shared" si="27"/>
        <v>4.0557461435533404E-2</v>
      </c>
      <c r="I108" s="22" t="str">
        <f t="shared" si="28"/>
        <v>Other &lt;20 yr</v>
      </c>
      <c r="J108" s="89"/>
      <c r="K108" s="89">
        <f t="shared" ref="K108:N108" si="60">K39/K$40</f>
        <v>1.9176188868808505E-2</v>
      </c>
      <c r="L108" s="89">
        <f t="shared" si="60"/>
        <v>1.3010035112437182E-2</v>
      </c>
      <c r="M108" s="89">
        <f t="shared" si="60"/>
        <v>8.1895549461602542E-3</v>
      </c>
      <c r="N108" s="89">
        <f t="shared" si="60"/>
        <v>1.2544339107123529E-2</v>
      </c>
      <c r="O108" s="89">
        <f t="shared" ref="O108" si="61">O39/O$40</f>
        <v>3.7724153946979144E-2</v>
      </c>
      <c r="V108" s="229" t="str">
        <f t="shared" si="31"/>
        <v>Other &lt;20 yr</v>
      </c>
      <c r="W108" s="2"/>
      <c r="X108" s="89">
        <f t="shared" ref="X108:AB108" si="62">X39/X$40</f>
        <v>1.6016463946859932E-2</v>
      </c>
      <c r="Y108" s="89">
        <f t="shared" si="62"/>
        <v>6.0801031859392925E-3</v>
      </c>
      <c r="Z108" s="89">
        <f t="shared" si="62"/>
        <v>1.9662989008570348E-2</v>
      </c>
      <c r="AA108" s="89">
        <f t="shared" si="62"/>
        <v>5.1254831650635019E-2</v>
      </c>
      <c r="AB108" s="89">
        <f t="shared" si="62"/>
        <v>1.4805614047586943E-2</v>
      </c>
    </row>
    <row r="109" spans="1:28" x14ac:dyDescent="0.25">
      <c r="A109" s="229" t="str">
        <f t="shared" si="26"/>
        <v>Total</v>
      </c>
      <c r="C109" s="89">
        <f t="shared" si="27"/>
        <v>1</v>
      </c>
      <c r="D109" s="89">
        <f t="shared" si="27"/>
        <v>1</v>
      </c>
      <c r="E109" s="89">
        <f t="shared" si="27"/>
        <v>1</v>
      </c>
      <c r="F109" s="89">
        <f t="shared" si="27"/>
        <v>1</v>
      </c>
      <c r="G109" s="89">
        <f t="shared" si="27"/>
        <v>1</v>
      </c>
      <c r="I109" s="22" t="str">
        <f t="shared" si="28"/>
        <v>Total</v>
      </c>
      <c r="J109" s="89"/>
      <c r="K109" s="89">
        <f t="shared" ref="K109:N109" si="63">K40/K$40</f>
        <v>1</v>
      </c>
      <c r="L109" s="89">
        <f t="shared" si="63"/>
        <v>1</v>
      </c>
      <c r="M109" s="89">
        <f t="shared" si="63"/>
        <v>1</v>
      </c>
      <c r="N109" s="89">
        <f t="shared" si="63"/>
        <v>1</v>
      </c>
      <c r="O109" s="89">
        <f t="shared" ref="O109" si="64">O40/O$40</f>
        <v>1</v>
      </c>
      <c r="V109" s="229" t="s">
        <v>24</v>
      </c>
      <c r="W109" s="2"/>
      <c r="X109" s="89">
        <f t="shared" ref="X109:AB109" si="65">X40/X$40</f>
        <v>1</v>
      </c>
      <c r="Y109" s="89">
        <f t="shared" si="65"/>
        <v>1</v>
      </c>
      <c r="Z109" s="89">
        <f t="shared" si="65"/>
        <v>1</v>
      </c>
      <c r="AA109" s="89">
        <f t="shared" si="65"/>
        <v>1</v>
      </c>
      <c r="AB109" s="89">
        <f t="shared" si="65"/>
        <v>1</v>
      </c>
    </row>
    <row r="110" spans="1:28" x14ac:dyDescent="0.25">
      <c r="A110" s="22"/>
    </row>
    <row r="111" spans="1:28" x14ac:dyDescent="0.25">
      <c r="A111" s="22"/>
    </row>
    <row r="112" spans="1:28" x14ac:dyDescent="0.25">
      <c r="A112" s="22"/>
    </row>
    <row r="113" spans="1:28" x14ac:dyDescent="0.25">
      <c r="A113" s="22"/>
    </row>
    <row r="114" spans="1:28" x14ac:dyDescent="0.25">
      <c r="A114" s="22"/>
      <c r="C114" s="1" t="str">
        <f>C45</f>
        <v>Atlanta</v>
      </c>
      <c r="D114" s="1" t="str">
        <f>D45</f>
        <v>Boston</v>
      </c>
      <c r="E114" s="1" t="str">
        <f>E45</f>
        <v>Detroit</v>
      </c>
      <c r="F114" s="1" t="str">
        <f>F45</f>
        <v>Houston</v>
      </c>
      <c r="G114" s="1" t="str">
        <f>G45</f>
        <v>Seattle</v>
      </c>
      <c r="K114" t="str">
        <f>K45</f>
        <v>Atlanta</v>
      </c>
      <c r="L114" t="str">
        <f>L45</f>
        <v>Boston</v>
      </c>
      <c r="M114" t="str">
        <f>M45</f>
        <v>Detroit</v>
      </c>
      <c r="N114" t="str">
        <f>N45</f>
        <v>Houston</v>
      </c>
      <c r="O114" t="str">
        <f>O45</f>
        <v>Seattle</v>
      </c>
      <c r="W114" t="str">
        <f>W45</f>
        <v>Atlanta</v>
      </c>
      <c r="X114" t="str">
        <f>X45</f>
        <v>Boston</v>
      </c>
      <c r="Y114" t="str">
        <f>Y45</f>
        <v>Detroit</v>
      </c>
      <c r="Z114" t="str">
        <f>Z45</f>
        <v>Houston</v>
      </c>
      <c r="AA114" t="str">
        <f>AA45</f>
        <v>Seattle</v>
      </c>
    </row>
    <row r="115" spans="1:28" x14ac:dyDescent="0.25">
      <c r="A115" s="22" t="str">
        <f>A46</f>
        <v>HH Income: 0-35K</v>
      </c>
      <c r="C115" s="89">
        <f t="shared" ref="C115:G118" si="66">C46/C$49</f>
        <v>0.21640028970196637</v>
      </c>
      <c r="D115" s="89">
        <f t="shared" si="66"/>
        <v>0.29888978342485029</v>
      </c>
      <c r="E115" s="89">
        <f t="shared" si="66"/>
        <v>0.2611936127138989</v>
      </c>
      <c r="F115" s="89">
        <f t="shared" si="66"/>
        <v>0.3891525190056957</v>
      </c>
      <c r="G115" s="89">
        <f t="shared" si="66"/>
        <v>0.28526723180625219</v>
      </c>
      <c r="I115" t="str">
        <f>I46</f>
        <v>HH Income: 0-35K</v>
      </c>
      <c r="K115" s="3">
        <f t="shared" ref="K115:O118" si="67">K46/K$49</f>
        <v>0.31385065784020738</v>
      </c>
      <c r="L115" s="3">
        <f t="shared" si="67"/>
        <v>0.29888978342485034</v>
      </c>
      <c r="M115" s="3">
        <f t="shared" si="67"/>
        <v>0.2611936127138989</v>
      </c>
      <c r="N115" s="3">
        <f t="shared" si="67"/>
        <v>0.38915251900569575</v>
      </c>
      <c r="O115" s="3">
        <f t="shared" si="67"/>
        <v>0.28526723180625219</v>
      </c>
      <c r="V115" t="str">
        <f>V46</f>
        <v>Lowest income</v>
      </c>
      <c r="W115" s="3">
        <f t="shared" ref="W115:AA118" si="68">W46/W$49</f>
        <v>0.27636540070798477</v>
      </c>
      <c r="X115" s="3">
        <f t="shared" si="68"/>
        <v>0.24424264604641838</v>
      </c>
      <c r="Y115" s="3">
        <f t="shared" si="68"/>
        <v>0.19990034581432134</v>
      </c>
      <c r="Z115" s="3">
        <f t="shared" si="68"/>
        <v>0.28232852395214147</v>
      </c>
      <c r="AA115" s="3">
        <f t="shared" si="68"/>
        <v>0.1912835478369754</v>
      </c>
      <c r="AB115" s="3"/>
    </row>
    <row r="116" spans="1:28" x14ac:dyDescent="0.25">
      <c r="A116" s="22" t="str">
        <f>A47</f>
        <v>HH Income: 35-99K</v>
      </c>
      <c r="C116" s="89">
        <f t="shared" si="66"/>
        <v>0.51693231756127578</v>
      </c>
      <c r="D116" s="89">
        <f t="shared" si="66"/>
        <v>0.46603719906092111</v>
      </c>
      <c r="E116" s="89">
        <f t="shared" si="66"/>
        <v>0.54660908588971857</v>
      </c>
      <c r="F116" s="89">
        <f t="shared" si="66"/>
        <v>0.45675388872102596</v>
      </c>
      <c r="G116" s="89">
        <f t="shared" si="66"/>
        <v>0.55685374885728656</v>
      </c>
      <c r="I116" t="str">
        <f>I47</f>
        <v>HH Income: 35-99K</v>
      </c>
      <c r="K116" s="3">
        <f t="shared" si="67"/>
        <v>0.50606790984819661</v>
      </c>
      <c r="L116" s="3">
        <f t="shared" si="67"/>
        <v>0.46603719906092111</v>
      </c>
      <c r="M116" s="3">
        <f t="shared" si="67"/>
        <v>0.54660908588971846</v>
      </c>
      <c r="N116" s="3">
        <f t="shared" si="67"/>
        <v>0.45675388872102601</v>
      </c>
      <c r="O116" s="3">
        <f t="shared" si="67"/>
        <v>0.55685374885728656</v>
      </c>
      <c r="V116" t="str">
        <f>V47</f>
        <v>Middle income</v>
      </c>
      <c r="W116" s="3">
        <f t="shared" si="68"/>
        <v>0.47882245827263198</v>
      </c>
      <c r="X116" s="3">
        <f t="shared" si="68"/>
        <v>0.4621271301371378</v>
      </c>
      <c r="Y116" s="3">
        <f t="shared" si="68"/>
        <v>0.61187013115982358</v>
      </c>
      <c r="Z116" s="3">
        <f t="shared" si="68"/>
        <v>0.44913113145276079</v>
      </c>
      <c r="AA116" s="3">
        <f t="shared" si="68"/>
        <v>0.58004688012137784</v>
      </c>
      <c r="AB116" s="3"/>
    </row>
    <row r="117" spans="1:28" x14ac:dyDescent="0.25">
      <c r="A117" s="22" t="str">
        <f>A48</f>
        <v>HH Income: 100K+</v>
      </c>
      <c r="C117" s="89">
        <f t="shared" si="66"/>
        <v>0.26666739273675782</v>
      </c>
      <c r="D117" s="89">
        <f t="shared" si="66"/>
        <v>0.23507301751422854</v>
      </c>
      <c r="E117" s="89">
        <f t="shared" si="66"/>
        <v>0.19219730139638264</v>
      </c>
      <c r="F117" s="89">
        <f t="shared" si="66"/>
        <v>0.15409359227327821</v>
      </c>
      <c r="G117" s="89">
        <f t="shared" si="66"/>
        <v>0.15787901933646131</v>
      </c>
      <c r="I117" t="str">
        <f>I48</f>
        <v>HH Income: 100K+</v>
      </c>
      <c r="K117" s="3">
        <f t="shared" si="67"/>
        <v>0.18008143231159607</v>
      </c>
      <c r="L117" s="3">
        <f t="shared" si="67"/>
        <v>0.23507301751422857</v>
      </c>
      <c r="M117" s="3">
        <f t="shared" si="67"/>
        <v>0.19219730139638261</v>
      </c>
      <c r="N117" s="3">
        <f t="shared" si="67"/>
        <v>0.15409359227327821</v>
      </c>
      <c r="O117" s="3">
        <f t="shared" si="67"/>
        <v>0.15787901933646134</v>
      </c>
      <c r="V117" t="str">
        <f>V48</f>
        <v>Higher income</v>
      </c>
      <c r="W117" s="3">
        <f t="shared" si="68"/>
        <v>0.24481214101938323</v>
      </c>
      <c r="X117" s="3">
        <f t="shared" si="68"/>
        <v>0.29363022381644382</v>
      </c>
      <c r="Y117" s="3">
        <f t="shared" si="68"/>
        <v>0.18822952302585502</v>
      </c>
      <c r="Z117" s="3">
        <f t="shared" si="68"/>
        <v>0.26854034459509779</v>
      </c>
      <c r="AA117" s="3">
        <f t="shared" si="68"/>
        <v>0.22866957204164673</v>
      </c>
      <c r="AB117" s="3"/>
    </row>
    <row r="118" spans="1:28" x14ac:dyDescent="0.25">
      <c r="A118" s="22" t="s">
        <v>24</v>
      </c>
      <c r="C118" s="89">
        <f t="shared" si="66"/>
        <v>1</v>
      </c>
      <c r="D118" s="89">
        <f t="shared" si="66"/>
        <v>1</v>
      </c>
      <c r="E118" s="89">
        <f t="shared" si="66"/>
        <v>1</v>
      </c>
      <c r="F118" s="89">
        <f t="shared" si="66"/>
        <v>1</v>
      </c>
      <c r="G118" s="89">
        <f t="shared" si="66"/>
        <v>1</v>
      </c>
      <c r="I118" t="s">
        <v>24</v>
      </c>
      <c r="K118" s="3">
        <f t="shared" si="67"/>
        <v>1</v>
      </c>
      <c r="L118" s="3">
        <f t="shared" si="67"/>
        <v>1</v>
      </c>
      <c r="M118" s="3">
        <f t="shared" si="67"/>
        <v>1</v>
      </c>
      <c r="N118" s="3">
        <f t="shared" si="67"/>
        <v>1</v>
      </c>
      <c r="O118" s="3">
        <f t="shared" si="67"/>
        <v>1</v>
      </c>
      <c r="V118" t="s">
        <v>24</v>
      </c>
      <c r="W118" s="3">
        <f t="shared" si="68"/>
        <v>1</v>
      </c>
      <c r="X118" s="3">
        <f t="shared" si="68"/>
        <v>1</v>
      </c>
      <c r="Y118" s="3">
        <f t="shared" si="68"/>
        <v>1</v>
      </c>
      <c r="Z118" s="3">
        <f t="shared" si="68"/>
        <v>1</v>
      </c>
      <c r="AA118" s="3">
        <f t="shared" si="68"/>
        <v>1</v>
      </c>
      <c r="AB118" s="3"/>
    </row>
    <row r="119" spans="1:28" x14ac:dyDescent="0.25">
      <c r="A119" s="22"/>
    </row>
    <row r="120" spans="1:28" x14ac:dyDescent="0.25">
      <c r="A120" s="22"/>
    </row>
    <row r="121" spans="1:28" x14ac:dyDescent="0.25">
      <c r="A121" s="22"/>
    </row>
    <row r="122" spans="1:28" x14ac:dyDescent="0.25">
      <c r="A122" s="22"/>
    </row>
    <row r="123" spans="1:28" x14ac:dyDescent="0.25">
      <c r="A123" s="22"/>
      <c r="C123" s="1" t="str">
        <f>C54</f>
        <v>Atlanta</v>
      </c>
      <c r="D123" s="1" t="str">
        <f>D54</f>
        <v>Boston</v>
      </c>
      <c r="E123" s="1" t="str">
        <f>E54</f>
        <v>Detroit</v>
      </c>
      <c r="F123" s="1" t="str">
        <f>F54</f>
        <v>Houston</v>
      </c>
      <c r="G123" s="1" t="str">
        <f>G54</f>
        <v>Seattle</v>
      </c>
      <c r="K123" t="str">
        <f>K54</f>
        <v>Atlanta</v>
      </c>
      <c r="L123" t="str">
        <f>L54</f>
        <v>Boston</v>
      </c>
      <c r="M123" t="str">
        <f>M54</f>
        <v>Detroit</v>
      </c>
      <c r="N123" t="str">
        <f>N54</f>
        <v>Houston</v>
      </c>
      <c r="O123" t="str">
        <f>O54</f>
        <v>Seattle</v>
      </c>
      <c r="W123" t="str">
        <f>W54</f>
        <v>Atlanta</v>
      </c>
      <c r="X123" t="str">
        <f>X54</f>
        <v>Boston</v>
      </c>
      <c r="Y123" t="str">
        <f>Y54</f>
        <v>Detroit</v>
      </c>
      <c r="Z123" t="str">
        <f>Z54</f>
        <v>Houston</v>
      </c>
      <c r="AA123" t="str">
        <f>AA54</f>
        <v>Seattle</v>
      </c>
    </row>
    <row r="124" spans="1:28" x14ac:dyDescent="0.25">
      <c r="A124" s="22" t="str">
        <f>A55</f>
        <v>In Workforce</v>
      </c>
      <c r="C124" s="89">
        <f t="shared" ref="C124:G126" si="69">C55/C$57</f>
        <v>0.53074634559847234</v>
      </c>
      <c r="D124" s="89">
        <f t="shared" si="69"/>
        <v>0.51013607679106898</v>
      </c>
      <c r="E124" s="89">
        <f t="shared" si="69"/>
        <v>0.46183417752990025</v>
      </c>
      <c r="F124" s="89">
        <f t="shared" si="69"/>
        <v>0.45398583833802675</v>
      </c>
      <c r="G124" s="89">
        <f t="shared" si="69"/>
        <v>0.50771220134315498</v>
      </c>
      <c r="I124" t="str">
        <f>I55</f>
        <v>Employed</v>
      </c>
      <c r="K124" s="3">
        <f t="shared" ref="K124:O126" si="70">K55/K$57</f>
        <v>0.47135528368565494</v>
      </c>
      <c r="L124" s="3">
        <f t="shared" si="70"/>
        <v>0.51096563967769104</v>
      </c>
      <c r="M124" s="3">
        <f t="shared" si="70"/>
        <v>0.44041640965958684</v>
      </c>
      <c r="N124" s="3">
        <f t="shared" si="70"/>
        <v>0.45630910741911618</v>
      </c>
      <c r="O124" s="3">
        <f t="shared" si="70"/>
        <v>0.49653774381071747</v>
      </c>
      <c r="V124" t="str">
        <f>V55</f>
        <v>worker</v>
      </c>
      <c r="W124" s="3">
        <f t="shared" ref="W124:AA126" si="71">W55/W$57</f>
        <v>0.52910980921362261</v>
      </c>
      <c r="X124" s="3">
        <f t="shared" si="71"/>
        <v>0.57802728308623086</v>
      </c>
      <c r="Y124" s="3">
        <f t="shared" si="71"/>
        <v>0.55260989443572994</v>
      </c>
      <c r="Z124" s="3">
        <f t="shared" si="71"/>
        <v>0.54141392757487816</v>
      </c>
      <c r="AA124" s="3">
        <f t="shared" si="71"/>
        <v>0.52772777025468298</v>
      </c>
      <c r="AB124" s="3"/>
    </row>
    <row r="125" spans="1:28" x14ac:dyDescent="0.25">
      <c r="A125" s="22" t="str">
        <f>A56</f>
        <v>Not in Workforce</v>
      </c>
      <c r="C125" s="89">
        <f t="shared" si="69"/>
        <v>0.46925365440152766</v>
      </c>
      <c r="D125" s="89">
        <f t="shared" si="69"/>
        <v>0.48986392320893102</v>
      </c>
      <c r="E125" s="89">
        <f t="shared" si="69"/>
        <v>0.53816582247009981</v>
      </c>
      <c r="F125" s="89">
        <f t="shared" si="69"/>
        <v>0.54601416166197325</v>
      </c>
      <c r="G125" s="89">
        <f t="shared" si="69"/>
        <v>0.49228779865684497</v>
      </c>
      <c r="I125" t="str">
        <f>I56</f>
        <v>Not employed</v>
      </c>
      <c r="K125" s="3">
        <f t="shared" si="70"/>
        <v>0.52864471631434506</v>
      </c>
      <c r="L125" s="3">
        <f t="shared" si="70"/>
        <v>0.48903436032230896</v>
      </c>
      <c r="M125" s="3">
        <f t="shared" si="70"/>
        <v>0.55958359034041316</v>
      </c>
      <c r="N125" s="3">
        <f t="shared" si="70"/>
        <v>0.54369089258088388</v>
      </c>
      <c r="O125" s="3">
        <f t="shared" si="70"/>
        <v>0.50346225618928253</v>
      </c>
      <c r="V125" t="str">
        <f>V56</f>
        <v>nonwkr</v>
      </c>
      <c r="W125" s="3">
        <f t="shared" si="71"/>
        <v>0.47089019078637745</v>
      </c>
      <c r="X125" s="3">
        <f t="shared" si="71"/>
        <v>0.4219727169137692</v>
      </c>
      <c r="Y125" s="3">
        <f t="shared" si="71"/>
        <v>0.44739010556427011</v>
      </c>
      <c r="Z125" s="3">
        <f t="shared" si="71"/>
        <v>0.45858607242512189</v>
      </c>
      <c r="AA125" s="3">
        <f t="shared" si="71"/>
        <v>0.47227222974531702</v>
      </c>
      <c r="AB125" s="3"/>
    </row>
    <row r="126" spans="1:28" x14ac:dyDescent="0.25">
      <c r="A126" s="22" t="s">
        <v>24</v>
      </c>
      <c r="C126" s="89">
        <f t="shared" si="69"/>
        <v>1</v>
      </c>
      <c r="D126" s="89">
        <f t="shared" si="69"/>
        <v>1</v>
      </c>
      <c r="E126" s="89">
        <f t="shared" si="69"/>
        <v>1</v>
      </c>
      <c r="F126" s="89">
        <f t="shared" si="69"/>
        <v>1</v>
      </c>
      <c r="G126" s="89">
        <f t="shared" si="69"/>
        <v>1</v>
      </c>
      <c r="I126" t="s">
        <v>24</v>
      </c>
      <c r="K126" s="3">
        <f t="shared" si="70"/>
        <v>1</v>
      </c>
      <c r="L126" s="3">
        <f t="shared" si="70"/>
        <v>1</v>
      </c>
      <c r="M126" s="3">
        <f t="shared" si="70"/>
        <v>1</v>
      </c>
      <c r="N126" s="3">
        <f t="shared" si="70"/>
        <v>1</v>
      </c>
      <c r="O126" s="3">
        <f t="shared" si="70"/>
        <v>1</v>
      </c>
      <c r="V126" t="s">
        <v>24</v>
      </c>
      <c r="W126" s="3">
        <f t="shared" si="71"/>
        <v>1</v>
      </c>
      <c r="X126" s="3">
        <f t="shared" si="71"/>
        <v>1</v>
      </c>
      <c r="Y126" s="3">
        <f t="shared" si="71"/>
        <v>1</v>
      </c>
      <c r="Z126" s="3">
        <f t="shared" si="71"/>
        <v>1</v>
      </c>
      <c r="AA126" s="3">
        <f t="shared" si="71"/>
        <v>1</v>
      </c>
      <c r="AB126" s="3"/>
    </row>
    <row r="127" spans="1:28" x14ac:dyDescent="0.25">
      <c r="A127" s="22"/>
    </row>
    <row r="128" spans="1:28" x14ac:dyDescent="0.25">
      <c r="A128" s="22"/>
    </row>
    <row r="129" spans="1:28" x14ac:dyDescent="0.25">
      <c r="A129" s="22"/>
    </row>
    <row r="130" spans="1:28" x14ac:dyDescent="0.25">
      <c r="A130" s="22"/>
    </row>
    <row r="131" spans="1:28" x14ac:dyDescent="0.25">
      <c r="A131" s="22"/>
      <c r="C131" s="1" t="str">
        <f>C62</f>
        <v>Atlanta</v>
      </c>
      <c r="D131" s="1" t="str">
        <f>D62</f>
        <v>Boston</v>
      </c>
      <c r="E131" s="1" t="str">
        <f>E62</f>
        <v>Detroit</v>
      </c>
      <c r="F131" s="1" t="str">
        <f>F62</f>
        <v>Houston</v>
      </c>
      <c r="G131" s="1" t="str">
        <f>G62</f>
        <v>Seattle</v>
      </c>
      <c r="K131" t="str">
        <f>K62</f>
        <v>Atlanta</v>
      </c>
      <c r="L131" t="str">
        <f>L62</f>
        <v>Boston</v>
      </c>
      <c r="M131" t="str">
        <f>M62</f>
        <v>Detroit</v>
      </c>
      <c r="N131" t="str">
        <f>N62</f>
        <v>Houston</v>
      </c>
      <c r="O131" t="str">
        <f>O62</f>
        <v>Seattle</v>
      </c>
      <c r="W131" t="str">
        <f>W62</f>
        <v>Atlanta</v>
      </c>
      <c r="X131" t="str">
        <f>X62</f>
        <v>Boston</v>
      </c>
      <c r="Y131" t="str">
        <f>Y62</f>
        <v>Detroit</v>
      </c>
      <c r="Z131" t="str">
        <f>Z62</f>
        <v>Houston</v>
      </c>
      <c r="AA131" t="str">
        <f>AA62</f>
        <v>Seattle</v>
      </c>
    </row>
    <row r="132" spans="1:28" x14ac:dyDescent="0.25">
      <c r="A132" s="22" t="str">
        <f>A63</f>
        <v>Urban</v>
      </c>
      <c r="C132" s="89">
        <f t="shared" ref="C132:G135" si="72">C63/C$57</f>
        <v>0.13411930420703164</v>
      </c>
      <c r="D132" s="89">
        <f t="shared" si="72"/>
        <v>0.23672365453492142</v>
      </c>
      <c r="E132" s="89">
        <f t="shared" si="72"/>
        <v>0.1201788096143407</v>
      </c>
      <c r="F132" s="89">
        <f t="shared" si="72"/>
        <v>8.9454208300577223E-2</v>
      </c>
      <c r="G132" s="89">
        <f t="shared" si="72"/>
        <v>0.10413295145206214</v>
      </c>
      <c r="I132" t="str">
        <f>I63</f>
        <v>Urban Pop</v>
      </c>
      <c r="K132" s="3">
        <f t="shared" ref="K132:O135" si="73">K63/K$57</f>
        <v>1.7333161253098393E-2</v>
      </c>
      <c r="L132" s="3">
        <f t="shared" si="73"/>
        <v>0.2613172123200016</v>
      </c>
      <c r="M132" s="3">
        <f t="shared" si="73"/>
        <v>5.7160546988652895E-2</v>
      </c>
      <c r="N132" s="3">
        <f t="shared" si="73"/>
        <v>0.10814236227887267</v>
      </c>
      <c r="O132" s="3">
        <f t="shared" si="73"/>
        <v>0.12471331983839801</v>
      </c>
      <c r="V132" t="str">
        <f>V63</f>
        <v>urban</v>
      </c>
      <c r="W132" s="3">
        <f t="shared" ref="W132:AA135" si="74">W63/W$57</f>
        <v>3.3879364619652713E-2</v>
      </c>
      <c r="X132" s="3">
        <f t="shared" si="74"/>
        <v>0.28942750534741285</v>
      </c>
      <c r="Y132" s="3">
        <f t="shared" si="74"/>
        <v>6.8831907268669654E-2</v>
      </c>
      <c r="Z132" s="3">
        <f t="shared" si="74"/>
        <v>0.12472496012930105</v>
      </c>
      <c r="AA132" s="3">
        <f t="shared" si="74"/>
        <v>9.4674557826542466E-2</v>
      </c>
      <c r="AB132" s="3"/>
    </row>
    <row r="133" spans="1:28" x14ac:dyDescent="0.25">
      <c r="A133" s="22" t="str">
        <f>A64</f>
        <v>Suburban</v>
      </c>
      <c r="C133" s="89">
        <f t="shared" si="72"/>
        <v>0.68825164137219985</v>
      </c>
      <c r="D133" s="89">
        <f t="shared" si="72"/>
        <v>0.49394103490867486</v>
      </c>
      <c r="E133" s="89">
        <f t="shared" si="72"/>
        <v>0.74361698233172535</v>
      </c>
      <c r="F133" s="89">
        <f t="shared" si="72"/>
        <v>0.71159838376623674</v>
      </c>
      <c r="G133" s="89">
        <f t="shared" si="72"/>
        <v>0.7022485789509304</v>
      </c>
      <c r="I133" t="str">
        <f>I64</f>
        <v>Suburb.Pop.</v>
      </c>
      <c r="K133" s="3">
        <f t="shared" si="73"/>
        <v>0.67738998568950404</v>
      </c>
      <c r="L133" s="3">
        <f t="shared" si="73"/>
        <v>0.48809222032676375</v>
      </c>
      <c r="M133" s="3">
        <f t="shared" si="73"/>
        <v>0.80194402094850159</v>
      </c>
      <c r="N133" s="3">
        <f t="shared" si="73"/>
        <v>0.71725734848994416</v>
      </c>
      <c r="O133" s="3">
        <f t="shared" si="73"/>
        <v>0.73070655957932551</v>
      </c>
      <c r="V133" t="str">
        <f>V64</f>
        <v>suburban</v>
      </c>
      <c r="W133" s="3">
        <f t="shared" si="74"/>
        <v>0.66928634351701244</v>
      </c>
      <c r="X133" s="3">
        <f t="shared" si="74"/>
        <v>0.47995021149769118</v>
      </c>
      <c r="Y133" s="3">
        <f t="shared" si="74"/>
        <v>0.70880401646168134</v>
      </c>
      <c r="Z133" s="3">
        <f t="shared" si="74"/>
        <v>0.73471803675949166</v>
      </c>
      <c r="AA133" s="3">
        <f t="shared" si="74"/>
        <v>0.73986850005971816</v>
      </c>
      <c r="AB133" s="3"/>
    </row>
    <row r="134" spans="1:28" x14ac:dyDescent="0.25">
      <c r="A134" s="22" t="str">
        <f>A65</f>
        <v>Rural</v>
      </c>
      <c r="C134" s="89">
        <f t="shared" si="72"/>
        <v>0.17776827836075154</v>
      </c>
      <c r="D134" s="89">
        <f t="shared" si="72"/>
        <v>0.2693353105564037</v>
      </c>
      <c r="E134" s="89">
        <f t="shared" si="72"/>
        <v>0.13620420805393396</v>
      </c>
      <c r="F134" s="89">
        <f t="shared" si="72"/>
        <v>0.1989474079331858</v>
      </c>
      <c r="G134" s="89">
        <f t="shared" si="72"/>
        <v>0.19361846959700751</v>
      </c>
      <c r="I134" t="str">
        <f>I65</f>
        <v>Rural Pop.</v>
      </c>
      <c r="K134" s="3">
        <f t="shared" si="73"/>
        <v>0.3052768530573976</v>
      </c>
      <c r="L134" s="3">
        <f t="shared" si="73"/>
        <v>0.25059056735323459</v>
      </c>
      <c r="M134" s="3">
        <f t="shared" si="73"/>
        <v>0.14089543206284549</v>
      </c>
      <c r="N134" s="3">
        <f t="shared" si="73"/>
        <v>0.17460028923118315</v>
      </c>
      <c r="O134" s="3">
        <f t="shared" si="73"/>
        <v>0.14458012058227651</v>
      </c>
      <c r="V134" t="str">
        <f>V65</f>
        <v>rural</v>
      </c>
      <c r="W134" s="3">
        <f t="shared" si="74"/>
        <v>0.29683429186333488</v>
      </c>
      <c r="X134" s="3">
        <f t="shared" si="74"/>
        <v>0.23062210480376291</v>
      </c>
      <c r="Y134" s="3">
        <f t="shared" si="74"/>
        <v>0.22236388306649724</v>
      </c>
      <c r="Z134" s="3">
        <f t="shared" si="74"/>
        <v>0.14055700311120725</v>
      </c>
      <c r="AA134" s="3">
        <f t="shared" si="74"/>
        <v>0.16545666942806361</v>
      </c>
      <c r="AB134" s="3"/>
    </row>
    <row r="135" spans="1:28" x14ac:dyDescent="0.25">
      <c r="A135" s="22" t="s">
        <v>24</v>
      </c>
      <c r="C135" s="89">
        <f t="shared" si="72"/>
        <v>1</v>
      </c>
      <c r="D135" s="89">
        <f t="shared" si="72"/>
        <v>1</v>
      </c>
      <c r="E135" s="89">
        <f t="shared" si="72"/>
        <v>1</v>
      </c>
      <c r="F135" s="89">
        <f t="shared" si="72"/>
        <v>0.99999999999999978</v>
      </c>
      <c r="G135" s="89">
        <f t="shared" si="72"/>
        <v>1</v>
      </c>
      <c r="I135" t="s">
        <v>24</v>
      </c>
      <c r="K135" s="3">
        <f t="shared" si="73"/>
        <v>1</v>
      </c>
      <c r="L135" s="3">
        <f t="shared" si="73"/>
        <v>1</v>
      </c>
      <c r="M135" s="3">
        <f t="shared" si="73"/>
        <v>1</v>
      </c>
      <c r="N135" s="3">
        <f t="shared" si="73"/>
        <v>1</v>
      </c>
      <c r="O135" s="3">
        <f t="shared" si="73"/>
        <v>1</v>
      </c>
      <c r="V135" t="s">
        <v>24</v>
      </c>
      <c r="W135" s="3">
        <f t="shared" si="74"/>
        <v>1</v>
      </c>
      <c r="X135" s="3">
        <f t="shared" si="74"/>
        <v>0.99999982164886692</v>
      </c>
      <c r="Y135" s="3">
        <f t="shared" si="74"/>
        <v>0.99999980679684819</v>
      </c>
      <c r="Z135" s="3">
        <f t="shared" si="74"/>
        <v>1</v>
      </c>
      <c r="AA135" s="3">
        <f t="shared" si="74"/>
        <v>0.99999972731432418</v>
      </c>
      <c r="AB135" s="3"/>
    </row>
  </sheetData>
  <mergeCells count="36">
    <mergeCell ref="U24:AC24"/>
    <mergeCell ref="U25:AC25"/>
    <mergeCell ref="W26:AB26"/>
    <mergeCell ref="AC26:AC27"/>
    <mergeCell ref="U28:U39"/>
    <mergeCell ref="U40:V40"/>
    <mergeCell ref="W61:AB61"/>
    <mergeCell ref="U51:AC51"/>
    <mergeCell ref="U52:AC52"/>
    <mergeCell ref="W53:AB53"/>
    <mergeCell ref="AC53:AC54"/>
    <mergeCell ref="AC61:AC62"/>
    <mergeCell ref="U59:AC59"/>
    <mergeCell ref="U43:AC43"/>
    <mergeCell ref="W44:AB44"/>
    <mergeCell ref="U12:V12"/>
    <mergeCell ref="U2:AA2"/>
    <mergeCell ref="U6:U11"/>
    <mergeCell ref="U18:U21"/>
    <mergeCell ref="U60:AC60"/>
    <mergeCell ref="U3:AC3"/>
    <mergeCell ref="W4:AB4"/>
    <mergeCell ref="AC4:AC5"/>
    <mergeCell ref="U14:AC14"/>
    <mergeCell ref="U15:AC15"/>
    <mergeCell ref="W16:AB16"/>
    <mergeCell ref="AC16:AC17"/>
    <mergeCell ref="U22:V22"/>
    <mergeCell ref="U46:U48"/>
    <mergeCell ref="AC44:AC45"/>
    <mergeCell ref="U42:AC42"/>
    <mergeCell ref="U66:V66"/>
    <mergeCell ref="U55:U56"/>
    <mergeCell ref="U63:U65"/>
    <mergeCell ref="U57:V57"/>
    <mergeCell ref="U49:V49"/>
  </mergeCells>
  <hyperlinks>
    <hyperlink ref="A1" location="'Main Menu'!A1" display="Return to Main Menu"/>
  </hyperlinks>
  <pageMargins left="0.7" right="0.7" top="0.75" bottom="0.75" header="0.3" footer="0.3"/>
  <pageSetup paperSize="9"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203"/>
  <sheetViews>
    <sheetView showGridLines="0" zoomScale="90" zoomScaleNormal="90" workbookViewId="0"/>
  </sheetViews>
  <sheetFormatPr defaultRowHeight="15" x14ac:dyDescent="0.25"/>
  <cols>
    <col min="1" max="1" width="30.28515625" customWidth="1"/>
    <col min="2" max="2" width="13.5703125" customWidth="1"/>
    <col min="3" max="3" width="14.5703125" customWidth="1"/>
    <col min="4" max="4" width="13.140625" customWidth="1"/>
    <col min="5" max="5" width="11.5703125" bestFit="1" customWidth="1"/>
    <col min="6" max="6" width="14" customWidth="1"/>
    <col min="7" max="7" width="11.5703125" bestFit="1" customWidth="1"/>
    <col min="9" max="9" width="11.5703125" bestFit="1" customWidth="1"/>
    <col min="10" max="10" width="27" customWidth="1"/>
    <col min="11" max="11" width="10.5703125" bestFit="1" customWidth="1"/>
    <col min="13" max="13" width="11.140625" customWidth="1"/>
    <col min="14" max="14" width="10" bestFit="1" customWidth="1"/>
  </cols>
  <sheetData>
    <row r="1" spans="1:16" s="22" customFormat="1" ht="34.5" customHeight="1" x14ac:dyDescent="0.25">
      <c r="A1" s="127" t="s">
        <v>34</v>
      </c>
    </row>
    <row r="2" spans="1:16" s="22" customFormat="1" x14ac:dyDescent="0.25">
      <c r="B2" s="108"/>
    </row>
    <row r="3" spans="1:16" s="18" customFormat="1" x14ac:dyDescent="0.25">
      <c r="A3" s="125" t="s">
        <v>111</v>
      </c>
      <c r="B3" s="400" t="s">
        <v>219</v>
      </c>
      <c r="C3" s="126" t="s">
        <v>37</v>
      </c>
      <c r="D3" s="126" t="s">
        <v>38</v>
      </c>
      <c r="E3" s="126" t="s">
        <v>39</v>
      </c>
      <c r="F3" s="126" t="s">
        <v>40</v>
      </c>
      <c r="G3" s="126" t="s">
        <v>41</v>
      </c>
      <c r="H3" s="344" t="s">
        <v>656</v>
      </c>
      <c r="I3" s="18" t="s">
        <v>657</v>
      </c>
      <c r="J3" s="151" t="s">
        <v>658</v>
      </c>
    </row>
    <row r="4" spans="1:16" s="22" customFormat="1" x14ac:dyDescent="0.25">
      <c r="A4" s="54" t="s">
        <v>98</v>
      </c>
      <c r="B4" s="408">
        <v>222885</v>
      </c>
      <c r="C4" s="268">
        <v>307222</v>
      </c>
      <c r="D4" s="268">
        <v>169299.35040769776</v>
      </c>
      <c r="E4" s="268">
        <v>105182.32606795896</v>
      </c>
      <c r="F4" s="268">
        <v>111676.42917374577</v>
      </c>
      <c r="G4" s="268">
        <v>116792.95232173524</v>
      </c>
      <c r="H4" s="257">
        <v>456</v>
      </c>
    </row>
    <row r="5" spans="1:16" s="22" customFormat="1" x14ac:dyDescent="0.25">
      <c r="A5" s="54" t="s">
        <v>99</v>
      </c>
      <c r="B5" s="408">
        <v>569237</v>
      </c>
      <c r="C5" s="268">
        <v>571951</v>
      </c>
      <c r="D5" s="268">
        <v>748842.53208861011</v>
      </c>
      <c r="E5" s="268">
        <v>530530.81832042721</v>
      </c>
      <c r="F5" s="268">
        <v>594677.76064446406</v>
      </c>
      <c r="G5" s="268">
        <v>516596.96233976743</v>
      </c>
      <c r="H5" s="257"/>
      <c r="I5" s="22">
        <v>1395158</v>
      </c>
      <c r="J5" s="20">
        <f>I5-B5-B4</f>
        <v>603036</v>
      </c>
    </row>
    <row r="6" spans="1:16" s="22" customFormat="1" x14ac:dyDescent="0.25">
      <c r="A6" s="54" t="s">
        <v>100</v>
      </c>
      <c r="B6" s="408">
        <v>603036</v>
      </c>
      <c r="C6" s="268">
        <v>532059</v>
      </c>
      <c r="D6" s="268">
        <v>315808.83682007546</v>
      </c>
      <c r="E6" s="268">
        <v>184302.29492212721</v>
      </c>
      <c r="F6" s="268">
        <v>261987.6485533049</v>
      </c>
      <c r="G6" s="268">
        <v>217864.07527664487</v>
      </c>
      <c r="H6" s="257"/>
    </row>
    <row r="7" spans="1:16" s="22" customFormat="1" x14ac:dyDescent="0.25">
      <c r="A7" s="54" t="s">
        <v>101</v>
      </c>
      <c r="B7" s="408">
        <v>312743</v>
      </c>
      <c r="C7" s="268">
        <v>234204</v>
      </c>
      <c r="D7" s="268">
        <v>200973.52591561677</v>
      </c>
      <c r="E7" s="268">
        <v>257842.02025007215</v>
      </c>
      <c r="F7" s="268">
        <v>220059.70098223348</v>
      </c>
      <c r="G7" s="268">
        <v>138643.71820487746</v>
      </c>
      <c r="H7" s="257">
        <v>23</v>
      </c>
    </row>
    <row r="8" spans="1:16" s="22" customFormat="1" x14ac:dyDescent="0.25">
      <c r="A8" s="54" t="s">
        <v>102</v>
      </c>
      <c r="B8" s="408">
        <v>550961</v>
      </c>
      <c r="C8" s="268">
        <v>536405</v>
      </c>
      <c r="D8" s="268">
        <v>436686.5306409027</v>
      </c>
      <c r="E8" s="268">
        <v>539661.45805506804</v>
      </c>
      <c r="F8" s="268">
        <v>375955.99689607997</v>
      </c>
      <c r="G8" s="268">
        <v>301252.83428357419</v>
      </c>
      <c r="H8" s="257"/>
      <c r="I8" s="22">
        <v>1394674</v>
      </c>
      <c r="J8" s="20">
        <f>I8-B7-B8</f>
        <v>530970</v>
      </c>
    </row>
    <row r="9" spans="1:16" s="22" customFormat="1" x14ac:dyDescent="0.25">
      <c r="A9" s="54" t="s">
        <v>103</v>
      </c>
      <c r="B9" s="408">
        <v>530970</v>
      </c>
      <c r="C9" s="268">
        <v>575098</v>
      </c>
      <c r="D9" s="268">
        <v>245684.15683258476</v>
      </c>
      <c r="E9" s="268">
        <v>333092.05713407538</v>
      </c>
      <c r="F9" s="268">
        <v>382586.61420580297</v>
      </c>
      <c r="G9" s="268">
        <v>169487.82110536157</v>
      </c>
      <c r="H9" s="257"/>
    </row>
    <row r="10" spans="1:16" s="22" customFormat="1" x14ac:dyDescent="0.25">
      <c r="A10" s="54" t="s">
        <v>104</v>
      </c>
      <c r="B10" s="408">
        <v>19095</v>
      </c>
      <c r="C10" s="268">
        <v>13297</v>
      </c>
      <c r="D10" s="268">
        <v>23420.569388328462</v>
      </c>
      <c r="E10" s="268">
        <v>21685.575584610462</v>
      </c>
      <c r="F10" s="268">
        <v>43636.549787445205</v>
      </c>
      <c r="G10" s="268">
        <v>16156.928170910254</v>
      </c>
      <c r="H10" s="257">
        <v>17</v>
      </c>
    </row>
    <row r="11" spans="1:16" s="22" customFormat="1" x14ac:dyDescent="0.25">
      <c r="A11" s="54" t="s">
        <v>105</v>
      </c>
      <c r="B11" s="408">
        <v>55240</v>
      </c>
      <c r="C11" s="268">
        <v>67082</v>
      </c>
      <c r="D11" s="268">
        <v>54878.878440095606</v>
      </c>
      <c r="E11" s="268">
        <v>43718.845112442476</v>
      </c>
      <c r="F11" s="268">
        <v>66879.152084291432</v>
      </c>
      <c r="G11" s="268">
        <v>37858.776289982517</v>
      </c>
      <c r="H11" s="257"/>
      <c r="I11" s="22">
        <v>134108</v>
      </c>
      <c r="J11" s="20">
        <f>I11-B10-B11</f>
        <v>59773</v>
      </c>
    </row>
    <row r="12" spans="1:16" s="22" customFormat="1" x14ac:dyDescent="0.25">
      <c r="A12" s="54" t="s">
        <v>106</v>
      </c>
      <c r="B12" s="408">
        <v>59773</v>
      </c>
      <c r="C12" s="268">
        <v>86622</v>
      </c>
      <c r="D12" s="268">
        <v>44588.619466088814</v>
      </c>
      <c r="E12" s="268">
        <v>40327.604553217949</v>
      </c>
      <c r="F12" s="268">
        <v>83268.147672632433</v>
      </c>
      <c r="G12" s="268">
        <v>30759.932007146821</v>
      </c>
      <c r="H12" s="257"/>
    </row>
    <row r="13" spans="1:16" s="22" customFormat="1" x14ac:dyDescent="0.25">
      <c r="B13" s="411">
        <f>SUM(B4:B12)</f>
        <v>2923940</v>
      </c>
      <c r="C13" s="20">
        <f>SUM(C4:C12)</f>
        <v>2923940</v>
      </c>
      <c r="H13" s="257"/>
    </row>
    <row r="14" spans="1:16" s="22" customFormat="1" x14ac:dyDescent="0.25">
      <c r="A14" s="125" t="s">
        <v>606</v>
      </c>
      <c r="B14" s="400" t="s">
        <v>219</v>
      </c>
      <c r="C14" s="126" t="s">
        <v>37</v>
      </c>
      <c r="D14" s="126" t="s">
        <v>38</v>
      </c>
      <c r="E14" s="126" t="s">
        <v>39</v>
      </c>
      <c r="F14" s="126" t="s">
        <v>40</v>
      </c>
      <c r="G14" s="126" t="s">
        <v>41</v>
      </c>
      <c r="I14" s="412" t="s">
        <v>659</v>
      </c>
      <c r="M14" s="22" t="s">
        <v>662</v>
      </c>
      <c r="N14" s="22" t="s">
        <v>659</v>
      </c>
    </row>
    <row r="15" spans="1:16" s="22" customFormat="1" x14ac:dyDescent="0.25">
      <c r="A15" s="54" t="s">
        <v>596</v>
      </c>
      <c r="B15" s="416">
        <v>0.69</v>
      </c>
      <c r="C15" s="270">
        <v>0.54319151374294661</v>
      </c>
      <c r="D15" s="270">
        <v>0.95</v>
      </c>
      <c r="E15" s="270">
        <v>0.95</v>
      </c>
      <c r="F15" s="270">
        <v>0.95</v>
      </c>
      <c r="G15" s="270">
        <v>0.95</v>
      </c>
      <c r="I15" s="413">
        <v>2221434</v>
      </c>
      <c r="K15" s="415">
        <f>I15/J$17</f>
        <v>0.69464269632564846</v>
      </c>
      <c r="M15" s="22">
        <v>2765658</v>
      </c>
      <c r="N15" s="22">
        <v>1412588</v>
      </c>
      <c r="P15" s="449">
        <f>N15/O$17</f>
        <v>0.54319151374294661</v>
      </c>
    </row>
    <row r="16" spans="1:16" s="22" customFormat="1" x14ac:dyDescent="0.25">
      <c r="A16" s="54" t="s">
        <v>597</v>
      </c>
      <c r="B16" s="416">
        <v>0.28999999999999998</v>
      </c>
      <c r="C16" s="270">
        <v>0.41768729037959129</v>
      </c>
      <c r="D16" s="270">
        <v>0.05</v>
      </c>
      <c r="E16" s="270">
        <v>0.05</v>
      </c>
      <c r="F16" s="270">
        <v>0.05</v>
      </c>
      <c r="G16" s="270">
        <v>0.05</v>
      </c>
      <c r="I16" s="413">
        <v>926534</v>
      </c>
      <c r="K16" s="415">
        <f t="shared" ref="K16:K17" si="0">I16/J$17</f>
        <v>0.28972730047230227</v>
      </c>
      <c r="M16" s="22">
        <v>2623649</v>
      </c>
      <c r="N16" s="22">
        <v>1086210</v>
      </c>
      <c r="P16" s="449">
        <f t="shared" ref="P16:P17" si="1">N16/O$17</f>
        <v>0.41768729037959129</v>
      </c>
    </row>
    <row r="17" spans="1:16" s="22" customFormat="1" x14ac:dyDescent="0.25">
      <c r="A17" s="54" t="s">
        <v>602</v>
      </c>
      <c r="B17" s="416">
        <v>0.02</v>
      </c>
      <c r="C17" s="270">
        <v>3.9121195877462094E-2</v>
      </c>
      <c r="D17" s="270">
        <v>0</v>
      </c>
      <c r="E17" s="270">
        <v>0</v>
      </c>
      <c r="F17" s="270">
        <v>0</v>
      </c>
      <c r="G17" s="270">
        <v>0</v>
      </c>
      <c r="I17" s="414">
        <v>49984</v>
      </c>
      <c r="J17" s="20">
        <f>SUM(I15:I17)</f>
        <v>3197952</v>
      </c>
      <c r="K17" s="415">
        <f t="shared" si="0"/>
        <v>1.5630003202049311E-2</v>
      </c>
      <c r="M17" s="22">
        <v>258287</v>
      </c>
      <c r="N17" s="20">
        <v>101736</v>
      </c>
      <c r="O17" s="22">
        <f>SUM(N15:N17)</f>
        <v>2600534</v>
      </c>
      <c r="P17" s="449">
        <f t="shared" si="1"/>
        <v>3.9121195877462094E-2</v>
      </c>
    </row>
    <row r="18" spans="1:16" s="22" customFormat="1" x14ac:dyDescent="0.25">
      <c r="A18" s="54" t="s">
        <v>598</v>
      </c>
      <c r="B18" s="416">
        <v>0.22</v>
      </c>
      <c r="C18" s="270">
        <v>0.31154173287013348</v>
      </c>
      <c r="D18" s="270">
        <v>0.56999999999999995</v>
      </c>
      <c r="E18" s="270">
        <v>0.36</v>
      </c>
      <c r="F18" s="270">
        <v>0.47</v>
      </c>
      <c r="G18" s="270">
        <v>0.6</v>
      </c>
      <c r="I18" s="228">
        <v>924323</v>
      </c>
      <c r="K18" s="415">
        <f>I18/J$20</f>
        <v>0.2212273396010061</v>
      </c>
      <c r="M18" s="22">
        <v>2620889</v>
      </c>
      <c r="N18" s="22">
        <v>1110574</v>
      </c>
      <c r="P18" s="449">
        <f>N18/O$20</f>
        <v>0.31154173287013348</v>
      </c>
    </row>
    <row r="19" spans="1:16" s="22" customFormat="1" x14ac:dyDescent="0.25">
      <c r="A19" s="54" t="s">
        <v>600</v>
      </c>
      <c r="B19" s="416">
        <v>0.71</v>
      </c>
      <c r="C19" s="270">
        <v>0.61718686882287987</v>
      </c>
      <c r="D19" s="270">
        <v>0.4</v>
      </c>
      <c r="E19" s="270">
        <v>0.6</v>
      </c>
      <c r="F19" s="270">
        <v>0.48</v>
      </c>
      <c r="G19" s="270">
        <v>0.36</v>
      </c>
      <c r="I19" s="228">
        <v>2984133</v>
      </c>
      <c r="K19" s="415">
        <f t="shared" ref="K19:K20" si="2">I19/J$20</f>
        <v>0.71422198149950733</v>
      </c>
      <c r="M19" s="22">
        <v>8144726</v>
      </c>
      <c r="N19" s="22">
        <v>2200128</v>
      </c>
      <c r="P19" s="449">
        <f t="shared" ref="P19:P20" si="3">N19/O$20</f>
        <v>0.61718686882287987</v>
      </c>
    </row>
    <row r="20" spans="1:16" s="22" customFormat="1" x14ac:dyDescent="0.25">
      <c r="A20" s="54" t="s">
        <v>605</v>
      </c>
      <c r="B20" s="416">
        <v>7.0000000000000007E-2</v>
      </c>
      <c r="C20" s="270">
        <v>7.1271398306986602E-2</v>
      </c>
      <c r="D20" s="270">
        <v>3.0000000000000027E-2</v>
      </c>
      <c r="E20" s="270">
        <v>4.0000000000000036E-2</v>
      </c>
      <c r="F20" s="270">
        <v>5.0000000000000044E-2</v>
      </c>
      <c r="G20" s="270">
        <v>4.0000000000000036E-2</v>
      </c>
      <c r="I20" s="228">
        <v>269703</v>
      </c>
      <c r="J20" s="20">
        <f>SUM(I18:I20)</f>
        <v>4178159</v>
      </c>
      <c r="K20" s="415">
        <f t="shared" si="2"/>
        <v>6.4550678899486597E-2</v>
      </c>
      <c r="M20" s="22">
        <v>874545</v>
      </c>
      <c r="N20" s="20">
        <v>254066</v>
      </c>
      <c r="O20" s="22">
        <f>SUM(N18:N20)</f>
        <v>3564768</v>
      </c>
      <c r="P20" s="449">
        <f t="shared" si="3"/>
        <v>7.1271398306986602E-2</v>
      </c>
    </row>
    <row r="21" spans="1:16" s="22" customFormat="1" x14ac:dyDescent="0.25">
      <c r="A21" s="54" t="s">
        <v>599</v>
      </c>
      <c r="B21" s="416">
        <v>0.11</v>
      </c>
      <c r="C21" s="270">
        <v>0.1987286157019206</v>
      </c>
      <c r="D21" s="270">
        <v>0.16</v>
      </c>
      <c r="E21" s="270">
        <v>0.12</v>
      </c>
      <c r="F21" s="270">
        <v>0.16</v>
      </c>
      <c r="G21" s="270">
        <v>0.16</v>
      </c>
      <c r="I21" s="228">
        <v>52195</v>
      </c>
      <c r="K21" s="415">
        <f>I21/J$23</f>
        <v>0.10796806156010177</v>
      </c>
      <c r="M21" s="22">
        <v>261047</v>
      </c>
      <c r="N21" s="22">
        <v>110229</v>
      </c>
      <c r="P21" s="449">
        <f>N21/O$23</f>
        <v>0.1987286157019206</v>
      </c>
    </row>
    <row r="22" spans="1:16" s="22" customFormat="1" x14ac:dyDescent="0.25">
      <c r="A22" s="54" t="s">
        <v>601</v>
      </c>
      <c r="B22" s="416">
        <v>0.55000000000000004</v>
      </c>
      <c r="C22" s="270">
        <v>0.47653654148134661</v>
      </c>
      <c r="D22" s="270">
        <v>0.69</v>
      </c>
      <c r="E22" s="270">
        <v>0.71</v>
      </c>
      <c r="F22" s="270">
        <v>0.56000000000000005</v>
      </c>
      <c r="G22" s="270">
        <v>0.7</v>
      </c>
      <c r="I22" s="228">
        <v>267492</v>
      </c>
      <c r="K22" s="415">
        <f t="shared" ref="K22:K23" si="4">I22/J$23</f>
        <v>0.55332105992594582</v>
      </c>
      <c r="M22" s="22">
        <v>871785</v>
      </c>
      <c r="N22" s="22">
        <v>264321</v>
      </c>
      <c r="P22" s="449">
        <f t="shared" ref="P22:P23" si="5">N22/O$23</f>
        <v>0.47653654148134661</v>
      </c>
    </row>
    <row r="23" spans="1:16" s="22" customFormat="1" x14ac:dyDescent="0.25">
      <c r="A23" s="54" t="s">
        <v>604</v>
      </c>
      <c r="B23" s="416">
        <v>0.34</v>
      </c>
      <c r="C23" s="270">
        <v>0.32473484281673282</v>
      </c>
      <c r="D23" s="270">
        <v>0.15000000000000002</v>
      </c>
      <c r="E23" s="270">
        <v>0.17000000000000004</v>
      </c>
      <c r="F23" s="270">
        <v>0.27999999999999992</v>
      </c>
      <c r="G23" s="270">
        <v>0.14000000000000001</v>
      </c>
      <c r="I23" s="228">
        <v>163743</v>
      </c>
      <c r="J23" s="20">
        <f>SUM(I21:I23)</f>
        <v>483430</v>
      </c>
      <c r="K23" s="415">
        <f t="shared" si="4"/>
        <v>0.33871087851395237</v>
      </c>
      <c r="M23" s="22">
        <v>816948</v>
      </c>
      <c r="N23" s="20">
        <v>180121</v>
      </c>
      <c r="O23" s="22">
        <f>SUM(N21:N23)</f>
        <v>554671</v>
      </c>
      <c r="P23" s="449">
        <f t="shared" si="5"/>
        <v>0.32473484281673282</v>
      </c>
    </row>
    <row r="24" spans="1:16" s="22" customFormat="1" x14ac:dyDescent="0.25">
      <c r="A24" s="61"/>
      <c r="B24" s="231"/>
      <c r="C24" s="231"/>
      <c r="D24" s="231"/>
      <c r="E24" s="231"/>
      <c r="F24" s="231"/>
      <c r="G24" s="231"/>
      <c r="I24" s="228">
        <f>SUM(I15:I23)</f>
        <v>7859541</v>
      </c>
      <c r="M24" s="22">
        <f>SUM(M15:M23)</f>
        <v>19237534</v>
      </c>
      <c r="N24" s="22">
        <f>SUM(N15:N23)</f>
        <v>6719973</v>
      </c>
    </row>
    <row r="25" spans="1:16" x14ac:dyDescent="0.25">
      <c r="A25" s="170" t="s">
        <v>490</v>
      </c>
      <c r="B25" s="124"/>
      <c r="I25" s="20"/>
    </row>
    <row r="26" spans="1:16" x14ac:dyDescent="0.25">
      <c r="A26" s="99" t="s">
        <v>437</v>
      </c>
      <c r="B26" s="421">
        <v>3</v>
      </c>
      <c r="C26">
        <v>10</v>
      </c>
      <c r="D26" s="272">
        <v>5</v>
      </c>
    </row>
    <row r="27" spans="1:16" x14ac:dyDescent="0.25">
      <c r="A27" s="36" t="s">
        <v>438</v>
      </c>
      <c r="B27" s="422">
        <v>5</v>
      </c>
      <c r="C27">
        <v>10</v>
      </c>
      <c r="D27" s="272">
        <v>10</v>
      </c>
    </row>
    <row r="28" spans="1:16" s="22" customFormat="1" x14ac:dyDescent="0.25">
      <c r="A28" s="56" t="s">
        <v>439</v>
      </c>
      <c r="B28" s="423">
        <v>7</v>
      </c>
      <c r="C28" s="22">
        <v>10</v>
      </c>
      <c r="D28" s="272">
        <v>10</v>
      </c>
    </row>
    <row r="29" spans="1:16" s="22" customFormat="1" x14ac:dyDescent="0.25"/>
    <row r="30" spans="1:16" s="22" customFormat="1" x14ac:dyDescent="0.25"/>
    <row r="31" spans="1:16" s="18" customFormat="1" x14ac:dyDescent="0.25">
      <c r="A31" s="170" t="s">
        <v>306</v>
      </c>
      <c r="B31" s="172"/>
      <c r="C31" s="172" t="s">
        <v>307</v>
      </c>
      <c r="D31" s="172"/>
      <c r="E31" s="88"/>
      <c r="F31" s="88"/>
      <c r="G31" s="88"/>
    </row>
    <row r="32" spans="1:16" s="85" customFormat="1" ht="52.5" customHeight="1" x14ac:dyDescent="0.25">
      <c r="A32" s="173" t="s">
        <v>308</v>
      </c>
      <c r="B32" s="171" t="s">
        <v>310</v>
      </c>
      <c r="C32" s="171" t="s">
        <v>311</v>
      </c>
      <c r="D32" s="171" t="s">
        <v>309</v>
      </c>
      <c r="E32" s="94"/>
      <c r="F32" s="94"/>
      <c r="G32" s="94"/>
    </row>
    <row r="33" spans="1:7" s="22" customFormat="1" x14ac:dyDescent="0.25">
      <c r="A33" s="57" t="s">
        <v>98</v>
      </c>
      <c r="B33" s="270">
        <v>0.6</v>
      </c>
      <c r="C33" s="270">
        <v>0.3</v>
      </c>
      <c r="D33" s="270">
        <v>0.1</v>
      </c>
      <c r="E33" s="1"/>
      <c r="F33" s="1"/>
      <c r="G33" s="1"/>
    </row>
    <row r="34" spans="1:7" s="22" customFormat="1" x14ac:dyDescent="0.25">
      <c r="A34" s="57" t="s">
        <v>99</v>
      </c>
      <c r="B34" s="270">
        <v>0.6</v>
      </c>
      <c r="C34" s="270">
        <v>0.3</v>
      </c>
      <c r="D34" s="270">
        <v>0.1</v>
      </c>
      <c r="E34" s="1"/>
      <c r="F34" s="1"/>
      <c r="G34" s="1"/>
    </row>
    <row r="35" spans="1:7" s="22" customFormat="1" x14ac:dyDescent="0.25">
      <c r="A35" s="57" t="s">
        <v>100</v>
      </c>
      <c r="B35" s="270">
        <v>0.6</v>
      </c>
      <c r="C35" s="270">
        <v>0.3</v>
      </c>
      <c r="D35" s="270">
        <v>0.1</v>
      </c>
      <c r="E35" s="1"/>
      <c r="F35" s="1"/>
      <c r="G35" s="1"/>
    </row>
    <row r="36" spans="1:7" s="22" customFormat="1" x14ac:dyDescent="0.25">
      <c r="A36" s="57" t="s">
        <v>101</v>
      </c>
      <c r="B36" s="270">
        <v>0.6</v>
      </c>
      <c r="C36" s="270">
        <v>0.3</v>
      </c>
      <c r="D36" s="270">
        <v>0.1</v>
      </c>
      <c r="E36" s="1"/>
      <c r="F36" s="1"/>
      <c r="G36" s="1"/>
    </row>
    <row r="37" spans="1:7" s="22" customFormat="1" x14ac:dyDescent="0.25">
      <c r="A37" s="57" t="s">
        <v>102</v>
      </c>
      <c r="B37" s="270">
        <v>0.6</v>
      </c>
      <c r="C37" s="270">
        <v>0.3</v>
      </c>
      <c r="D37" s="270">
        <v>0.1</v>
      </c>
      <c r="E37" s="1"/>
      <c r="F37" s="1"/>
      <c r="G37" s="1"/>
    </row>
    <row r="38" spans="1:7" s="22" customFormat="1" x14ac:dyDescent="0.25">
      <c r="A38" s="57" t="s">
        <v>103</v>
      </c>
      <c r="B38" s="270">
        <v>0.6</v>
      </c>
      <c r="C38" s="270">
        <v>0.3</v>
      </c>
      <c r="D38" s="270">
        <v>0.1</v>
      </c>
      <c r="E38" s="1"/>
      <c r="F38" s="1"/>
      <c r="G38" s="1"/>
    </row>
    <row r="39" spans="1:7" s="22" customFormat="1" x14ac:dyDescent="0.25">
      <c r="A39" s="57" t="s">
        <v>104</v>
      </c>
      <c r="B39" s="270">
        <v>0.6</v>
      </c>
      <c r="C39" s="270">
        <v>0.3</v>
      </c>
      <c r="D39" s="270">
        <v>0.1</v>
      </c>
      <c r="E39" s="1"/>
      <c r="F39" s="1"/>
      <c r="G39" s="1"/>
    </row>
    <row r="40" spans="1:7" s="22" customFormat="1" x14ac:dyDescent="0.25">
      <c r="A40" s="57" t="s">
        <v>105</v>
      </c>
      <c r="B40" s="270">
        <v>0.6</v>
      </c>
      <c r="C40" s="270">
        <v>0.3</v>
      </c>
      <c r="D40" s="270">
        <v>0.1</v>
      </c>
      <c r="E40" s="1"/>
      <c r="F40" s="1"/>
      <c r="G40" s="1"/>
    </row>
    <row r="41" spans="1:7" s="22" customFormat="1" x14ac:dyDescent="0.25">
      <c r="A41" s="57" t="s">
        <v>106</v>
      </c>
      <c r="B41" s="270">
        <v>0.6</v>
      </c>
      <c r="C41" s="270">
        <v>0.3</v>
      </c>
      <c r="D41" s="270">
        <v>0.1</v>
      </c>
      <c r="E41" s="1"/>
      <c r="F41" s="1"/>
      <c r="G41" s="1"/>
    </row>
    <row r="42" spans="1:7" s="22" customFormat="1" x14ac:dyDescent="0.25"/>
    <row r="43" spans="1:7" s="22" customFormat="1" x14ac:dyDescent="0.25">
      <c r="A43" s="123" t="s">
        <v>314</v>
      </c>
      <c r="B43" s="124"/>
      <c r="C43" s="172"/>
      <c r="D43" s="124"/>
    </row>
    <row r="44" spans="1:7" s="22" customFormat="1" ht="60" x14ac:dyDescent="0.25">
      <c r="A44" s="173" t="s">
        <v>313</v>
      </c>
      <c r="B44" s="171" t="s">
        <v>310</v>
      </c>
      <c r="C44" s="171" t="s">
        <v>311</v>
      </c>
      <c r="D44" s="171" t="s">
        <v>309</v>
      </c>
      <c r="F44" s="96" t="s">
        <v>312</v>
      </c>
    </row>
    <row r="45" spans="1:7" s="22" customFormat="1" x14ac:dyDescent="0.25">
      <c r="A45" s="95">
        <v>0</v>
      </c>
      <c r="B45" s="270">
        <v>0.25</v>
      </c>
      <c r="C45" s="270">
        <v>1.5</v>
      </c>
      <c r="D45" s="270">
        <v>1.25</v>
      </c>
    </row>
    <row r="46" spans="1:7" s="22" customFormat="1" x14ac:dyDescent="0.25">
      <c r="A46" s="95">
        <v>0.1</v>
      </c>
      <c r="B46" s="270">
        <v>0.25</v>
      </c>
      <c r="C46" s="270">
        <v>1.5</v>
      </c>
      <c r="D46" s="270">
        <v>1.25</v>
      </c>
    </row>
    <row r="47" spans="1:7" s="22" customFormat="1" x14ac:dyDescent="0.25">
      <c r="A47" s="95">
        <v>0.2</v>
      </c>
      <c r="B47" s="270">
        <v>0.25</v>
      </c>
      <c r="C47" s="270">
        <v>1.49</v>
      </c>
      <c r="D47" s="270">
        <v>1.25</v>
      </c>
    </row>
    <row r="48" spans="1:7" s="22" customFormat="1" x14ac:dyDescent="0.25">
      <c r="A48" s="95">
        <v>0.3</v>
      </c>
      <c r="B48" s="270">
        <v>0.26</v>
      </c>
      <c r="C48" s="270">
        <v>1.48</v>
      </c>
      <c r="D48" s="270">
        <v>1.25</v>
      </c>
    </row>
    <row r="49" spans="1:4" s="22" customFormat="1" x14ac:dyDescent="0.25">
      <c r="A49" s="95">
        <v>0.4</v>
      </c>
      <c r="B49" s="270">
        <v>0.27</v>
      </c>
      <c r="C49" s="270">
        <v>1.47</v>
      </c>
      <c r="D49" s="270">
        <v>1.25</v>
      </c>
    </row>
    <row r="50" spans="1:4" s="22" customFormat="1" x14ac:dyDescent="0.25">
      <c r="A50" s="95">
        <v>0.5</v>
      </c>
      <c r="B50" s="270">
        <v>0.28000000000000003</v>
      </c>
      <c r="C50" s="270">
        <v>1.45</v>
      </c>
      <c r="D50" s="270">
        <v>1.24</v>
      </c>
    </row>
    <row r="51" spans="1:4" s="22" customFormat="1" x14ac:dyDescent="0.25">
      <c r="A51" s="95">
        <v>0.6</v>
      </c>
      <c r="B51" s="270">
        <v>0.3</v>
      </c>
      <c r="C51" s="270">
        <v>1.43</v>
      </c>
      <c r="D51" s="270">
        <v>1.23</v>
      </c>
    </row>
    <row r="52" spans="1:4" s="22" customFormat="1" x14ac:dyDescent="0.25">
      <c r="A52" s="95">
        <v>0.7</v>
      </c>
      <c r="B52" s="270">
        <v>0.4</v>
      </c>
      <c r="C52" s="270">
        <v>1.4</v>
      </c>
      <c r="D52" s="270">
        <v>1.22</v>
      </c>
    </row>
    <row r="53" spans="1:4" s="22" customFormat="1" x14ac:dyDescent="0.25">
      <c r="A53" s="95">
        <v>0.8</v>
      </c>
      <c r="B53" s="270">
        <v>0.55000000000000004</v>
      </c>
      <c r="C53" s="270">
        <v>1.35</v>
      </c>
      <c r="D53" s="270">
        <v>1.2</v>
      </c>
    </row>
    <row r="54" spans="1:4" s="22" customFormat="1" x14ac:dyDescent="0.25">
      <c r="A54" s="95">
        <v>0.9</v>
      </c>
      <c r="B54" s="274">
        <v>0.75</v>
      </c>
      <c r="C54" s="274">
        <v>1.25</v>
      </c>
      <c r="D54" s="274">
        <v>1.1499999999999999</v>
      </c>
    </row>
    <row r="55" spans="1:4" s="22" customFormat="1" x14ac:dyDescent="0.25">
      <c r="A55" s="95">
        <v>1</v>
      </c>
      <c r="B55" s="270">
        <v>1</v>
      </c>
      <c r="C55" s="270">
        <v>1</v>
      </c>
      <c r="D55" s="270">
        <v>1</v>
      </c>
    </row>
    <row r="56" spans="1:4" s="22" customFormat="1" x14ac:dyDescent="0.25">
      <c r="A56" s="95">
        <v>1.1000000000000001</v>
      </c>
      <c r="B56" s="270">
        <v>1.25</v>
      </c>
      <c r="C56" s="274">
        <v>0.75</v>
      </c>
      <c r="D56" s="270">
        <v>0.8</v>
      </c>
    </row>
    <row r="57" spans="1:4" s="22" customFormat="1" x14ac:dyDescent="0.25">
      <c r="A57" s="95">
        <v>1.2</v>
      </c>
      <c r="B57" s="270">
        <v>1.45</v>
      </c>
      <c r="C57" s="274">
        <v>0.65</v>
      </c>
      <c r="D57" s="270">
        <v>0.7</v>
      </c>
    </row>
    <row r="58" spans="1:4" s="22" customFormat="1" x14ac:dyDescent="0.25">
      <c r="A58" s="95">
        <v>1.3</v>
      </c>
      <c r="B58" s="270">
        <v>1.6</v>
      </c>
      <c r="C58" s="270">
        <v>0.6</v>
      </c>
      <c r="D58" s="270">
        <v>0.65</v>
      </c>
    </row>
    <row r="59" spans="1:4" s="22" customFormat="1" x14ac:dyDescent="0.25">
      <c r="A59" s="95">
        <v>1.4</v>
      </c>
      <c r="B59" s="270">
        <v>1.7</v>
      </c>
      <c r="C59" s="270">
        <v>0.56999999999999995</v>
      </c>
      <c r="D59" s="270">
        <v>0.62</v>
      </c>
    </row>
    <row r="60" spans="1:4" s="22" customFormat="1" x14ac:dyDescent="0.25">
      <c r="A60" s="95">
        <v>1.5</v>
      </c>
      <c r="B60" s="270">
        <v>1.72</v>
      </c>
      <c r="C60" s="270">
        <v>0.55000000000000004</v>
      </c>
      <c r="D60" s="270">
        <v>0.61</v>
      </c>
    </row>
    <row r="61" spans="1:4" s="22" customFormat="1" x14ac:dyDescent="0.25">
      <c r="A61" s="95">
        <v>1.6</v>
      </c>
      <c r="B61" s="270">
        <v>1.73</v>
      </c>
      <c r="C61" s="270">
        <v>0.53</v>
      </c>
      <c r="D61" s="270">
        <v>0.6</v>
      </c>
    </row>
    <row r="62" spans="1:4" s="22" customFormat="1" x14ac:dyDescent="0.25">
      <c r="A62" s="95">
        <v>1.7</v>
      </c>
      <c r="B62" s="270">
        <v>1.74</v>
      </c>
      <c r="C62" s="270">
        <v>0.52</v>
      </c>
      <c r="D62" s="270">
        <v>0.6</v>
      </c>
    </row>
    <row r="63" spans="1:4" s="22" customFormat="1" x14ac:dyDescent="0.25">
      <c r="A63" s="95">
        <v>1.8</v>
      </c>
      <c r="B63" s="270">
        <v>1.75</v>
      </c>
      <c r="C63" s="270">
        <v>0.51</v>
      </c>
      <c r="D63" s="270">
        <v>0.6</v>
      </c>
    </row>
    <row r="64" spans="1:4" s="22" customFormat="1" x14ac:dyDescent="0.25">
      <c r="A64" s="95">
        <v>1.9</v>
      </c>
      <c r="B64" s="270">
        <v>1.75</v>
      </c>
      <c r="C64" s="270">
        <v>0.5</v>
      </c>
      <c r="D64" s="270">
        <v>0.6</v>
      </c>
    </row>
    <row r="65" spans="1:15" s="22" customFormat="1" x14ac:dyDescent="0.25">
      <c r="A65" s="95">
        <v>2</v>
      </c>
      <c r="B65" s="270">
        <v>1.75</v>
      </c>
      <c r="C65" s="270">
        <v>0.5</v>
      </c>
      <c r="D65" s="270">
        <v>0.6</v>
      </c>
    </row>
    <row r="66" spans="1:15" s="22" customFormat="1" x14ac:dyDescent="0.25"/>
    <row r="67" spans="1:15" s="22" customFormat="1" x14ac:dyDescent="0.25"/>
    <row r="68" spans="1:15" s="22" customFormat="1" x14ac:dyDescent="0.25"/>
    <row r="69" spans="1:15" s="22" customFormat="1" x14ac:dyDescent="0.25"/>
    <row r="70" spans="1:15" s="22" customFormat="1" x14ac:dyDescent="0.25"/>
    <row r="71" spans="1:15" s="22" customFormat="1" x14ac:dyDescent="0.25"/>
    <row r="72" spans="1:15" s="22" customFormat="1" x14ac:dyDescent="0.25"/>
    <row r="73" spans="1:15" s="22" customFormat="1" x14ac:dyDescent="0.25"/>
    <row r="74" spans="1:15" s="22" customFormat="1" x14ac:dyDescent="0.25"/>
    <row r="75" spans="1:15" s="22" customFormat="1" x14ac:dyDescent="0.25"/>
    <row r="76" spans="1:15" s="22" customFormat="1" x14ac:dyDescent="0.25"/>
    <row r="77" spans="1:15" s="22" customFormat="1" x14ac:dyDescent="0.25"/>
    <row r="78" spans="1:15" x14ac:dyDescent="0.25">
      <c r="C78" t="s">
        <v>81</v>
      </c>
      <c r="J78" t="s">
        <v>84</v>
      </c>
    </row>
    <row r="79" spans="1:15" x14ac:dyDescent="0.25">
      <c r="B79" t="s">
        <v>86</v>
      </c>
      <c r="D79" t="s">
        <v>37</v>
      </c>
      <c r="E79" t="s">
        <v>38</v>
      </c>
      <c r="F79" t="s">
        <v>39</v>
      </c>
      <c r="G79" t="s">
        <v>40</v>
      </c>
      <c r="H79" t="s">
        <v>41</v>
      </c>
      <c r="K79" t="s">
        <v>37</v>
      </c>
      <c r="L79" t="s">
        <v>38</v>
      </c>
      <c r="M79" t="s">
        <v>39</v>
      </c>
      <c r="N79" t="s">
        <v>40</v>
      </c>
      <c r="O79" t="s">
        <v>41</v>
      </c>
    </row>
    <row r="80" spans="1:15" x14ac:dyDescent="0.25">
      <c r="B80" t="s">
        <v>88</v>
      </c>
      <c r="C80" t="s">
        <v>61</v>
      </c>
      <c r="D80" s="20">
        <v>1531.9999772999977</v>
      </c>
      <c r="E80" s="20">
        <v>0</v>
      </c>
      <c r="F80" s="20">
        <v>1680.9999889999981</v>
      </c>
      <c r="G80" s="20">
        <v>2954.9999805000111</v>
      </c>
      <c r="H80" s="20">
        <v>4752.9999930000067</v>
      </c>
      <c r="J80" t="s">
        <v>61</v>
      </c>
      <c r="K80" s="20">
        <v>1213.9999377000088</v>
      </c>
      <c r="L80" s="20">
        <v>-1.0070000000000161E-4</v>
      </c>
      <c r="M80" s="20">
        <v>1368.9999993999998</v>
      </c>
      <c r="N80" s="20">
        <v>2729.9999995000003</v>
      </c>
      <c r="O80" s="20">
        <v>4144.9999997000004</v>
      </c>
    </row>
    <row r="81" spans="2:15" x14ac:dyDescent="0.25">
      <c r="B81" t="s">
        <v>88</v>
      </c>
      <c r="C81" t="s">
        <v>62</v>
      </c>
      <c r="D81" s="20">
        <v>1047.9999773000043</v>
      </c>
      <c r="E81" s="20">
        <v>0</v>
      </c>
      <c r="F81" s="20">
        <v>1068.9999890000022</v>
      </c>
      <c r="G81" s="20">
        <v>55369.999980499881</v>
      </c>
      <c r="H81" s="20">
        <v>665.99999299999956</v>
      </c>
      <c r="J81" t="s">
        <v>62</v>
      </c>
      <c r="K81" s="20">
        <v>487.99993769999571</v>
      </c>
      <c r="L81" s="20">
        <v>-1.0070000000000161E-4</v>
      </c>
      <c r="M81" s="20">
        <v>849.99999940000009</v>
      </c>
      <c r="N81" s="20">
        <v>86519.999999499996</v>
      </c>
      <c r="O81" s="20">
        <v>705.99999969999999</v>
      </c>
    </row>
    <row r="82" spans="2:15" x14ac:dyDescent="0.25">
      <c r="B82" t="s">
        <v>88</v>
      </c>
      <c r="C82" t="s">
        <v>63</v>
      </c>
      <c r="D82" s="20">
        <v>6172.9999773000154</v>
      </c>
      <c r="E82" s="20">
        <v>0</v>
      </c>
      <c r="F82" s="20">
        <v>5530.999989000009</v>
      </c>
      <c r="G82" s="20">
        <v>18083.999980499873</v>
      </c>
      <c r="H82" s="20">
        <v>5475.9999930000095</v>
      </c>
      <c r="J82" t="s">
        <v>63</v>
      </c>
      <c r="K82" s="20">
        <v>4349.9999377000368</v>
      </c>
      <c r="L82" s="20">
        <v>-1.0070000000000161E-4</v>
      </c>
      <c r="M82" s="20">
        <v>7612.9999994000009</v>
      </c>
      <c r="N82" s="20">
        <v>20051.9999995</v>
      </c>
      <c r="O82" s="20">
        <v>7077.9999997000004</v>
      </c>
    </row>
    <row r="83" spans="2:15" x14ac:dyDescent="0.25">
      <c r="B83" t="s">
        <v>88</v>
      </c>
      <c r="C83" t="s">
        <v>64</v>
      </c>
      <c r="D83" s="20">
        <v>55253.999977299871</v>
      </c>
      <c r="E83" s="20">
        <v>0</v>
      </c>
      <c r="F83" s="20">
        <v>70266.99998899996</v>
      </c>
      <c r="G83" s="20">
        <v>128411.99998049985</v>
      </c>
      <c r="H83" s="20">
        <v>64128.999992999947</v>
      </c>
      <c r="J83" t="s">
        <v>64</v>
      </c>
      <c r="K83" s="20">
        <v>25304.999937699831</v>
      </c>
      <c r="L83" s="20">
        <v>-1.0070000000000161E-4</v>
      </c>
      <c r="M83" s="20">
        <v>43920.999999399995</v>
      </c>
      <c r="N83" s="20">
        <v>171142.9999995</v>
      </c>
      <c r="O83" s="20">
        <v>69073.999999699998</v>
      </c>
    </row>
    <row r="84" spans="2:15" x14ac:dyDescent="0.25">
      <c r="B84" t="s">
        <v>88</v>
      </c>
      <c r="C84" t="s">
        <v>65</v>
      </c>
      <c r="D84" s="20">
        <v>104860.99997729986</v>
      </c>
      <c r="E84" s="20">
        <v>0</v>
      </c>
      <c r="F84" s="20">
        <v>253161.99998899995</v>
      </c>
      <c r="G84" s="20">
        <v>148336.99998049985</v>
      </c>
      <c r="H84" s="20">
        <v>136242.99999299995</v>
      </c>
      <c r="J84" t="s">
        <v>65</v>
      </c>
      <c r="K84" s="20">
        <v>63021.999937699526</v>
      </c>
      <c r="L84" s="20">
        <v>-1.0070000000000161E-4</v>
      </c>
      <c r="M84" s="20">
        <v>189730.9999994</v>
      </c>
      <c r="N84" s="20">
        <v>214504.9999995</v>
      </c>
      <c r="O84" s="20">
        <v>156336.9999997</v>
      </c>
    </row>
    <row r="85" spans="2:15" x14ac:dyDescent="0.25">
      <c r="B85" t="s">
        <v>88</v>
      </c>
      <c r="C85" t="s">
        <v>66</v>
      </c>
      <c r="D85" s="20">
        <v>76584.999977299871</v>
      </c>
      <c r="E85" s="20">
        <v>0</v>
      </c>
      <c r="F85" s="20">
        <v>84187.99998899996</v>
      </c>
      <c r="G85" s="20">
        <v>87258.999980499881</v>
      </c>
      <c r="H85" s="20">
        <v>59141.999992999947</v>
      </c>
      <c r="J85" t="s">
        <v>66</v>
      </c>
      <c r="K85" s="20">
        <v>24808.999937699697</v>
      </c>
      <c r="L85" s="20">
        <v>-1.0070000000000161E-4</v>
      </c>
      <c r="M85" s="20">
        <v>74160.999999399995</v>
      </c>
      <c r="N85" s="20">
        <v>135949.9999995</v>
      </c>
      <c r="O85" s="20">
        <v>77152.999999699998</v>
      </c>
    </row>
    <row r="86" spans="2:15" x14ac:dyDescent="0.25">
      <c r="B86" t="s">
        <v>88</v>
      </c>
      <c r="C86" t="s">
        <v>68</v>
      </c>
      <c r="D86" s="20">
        <v>46399.999977299856</v>
      </c>
      <c r="E86" s="20">
        <v>0</v>
      </c>
      <c r="F86" s="20">
        <v>39654.99998899996</v>
      </c>
      <c r="G86" s="20">
        <v>52449.999980499881</v>
      </c>
      <c r="H86" s="20">
        <v>52472.999992999947</v>
      </c>
      <c r="J86" t="s">
        <v>68</v>
      </c>
      <c r="K86" s="20">
        <v>56327.999937699591</v>
      </c>
      <c r="L86" s="20">
        <v>-1.0070000000000161E-4</v>
      </c>
      <c r="M86" s="20">
        <v>43534.999999399995</v>
      </c>
      <c r="N86" s="20">
        <v>103547.9999995</v>
      </c>
      <c r="O86" s="20">
        <v>62362.999999699998</v>
      </c>
    </row>
    <row r="87" spans="2:15" x14ac:dyDescent="0.25">
      <c r="B87" t="s">
        <v>87</v>
      </c>
      <c r="C87" t="s">
        <v>67</v>
      </c>
      <c r="D87" s="20">
        <v>112947.99997729986</v>
      </c>
      <c r="E87" s="20">
        <v>0</v>
      </c>
      <c r="F87" s="20">
        <v>201830.99998899997</v>
      </c>
      <c r="G87" s="20">
        <v>161073.99998049985</v>
      </c>
      <c r="H87" s="20">
        <v>128354.99999299995</v>
      </c>
      <c r="J87" t="s">
        <v>67</v>
      </c>
      <c r="K87" s="20">
        <v>53221.999937699526</v>
      </c>
      <c r="L87" s="20">
        <v>-1.0070000000000161E-4</v>
      </c>
      <c r="M87" s="20">
        <v>188624.9999994</v>
      </c>
      <c r="N87" s="20">
        <v>247998.9999995</v>
      </c>
      <c r="O87" s="20">
        <v>153191.9999997</v>
      </c>
    </row>
    <row r="88" spans="2:15" x14ac:dyDescent="0.25">
      <c r="B88" t="s">
        <v>87</v>
      </c>
      <c r="C88" t="s">
        <v>78</v>
      </c>
      <c r="D88" s="20">
        <v>71708.999977299856</v>
      </c>
      <c r="E88" s="20">
        <v>0</v>
      </c>
      <c r="F88" s="20">
        <v>112403.99998899995</v>
      </c>
      <c r="G88" s="20">
        <v>93113.999980499881</v>
      </c>
      <c r="H88" s="20">
        <v>81379.999992999947</v>
      </c>
      <c r="J88" t="s">
        <v>78</v>
      </c>
      <c r="K88" s="20">
        <v>53217.999937699591</v>
      </c>
      <c r="L88" s="20">
        <v>-1.0070000000000161E-4</v>
      </c>
      <c r="M88" s="20">
        <v>127705.9999994</v>
      </c>
      <c r="N88" s="20">
        <v>173930.9999995</v>
      </c>
      <c r="O88" s="20">
        <v>102010.9999997</v>
      </c>
    </row>
    <row r="89" spans="2:15" x14ac:dyDescent="0.25">
      <c r="B89" t="s">
        <v>89</v>
      </c>
      <c r="C89" t="s">
        <v>69</v>
      </c>
      <c r="D89" s="20">
        <v>38276.9999772999</v>
      </c>
      <c r="E89" s="20">
        <v>0</v>
      </c>
      <c r="F89" s="20">
        <v>40323.999988999953</v>
      </c>
      <c r="G89" s="20">
        <v>26347.999980499888</v>
      </c>
      <c r="H89" s="20">
        <v>71652.999992999947</v>
      </c>
      <c r="J89" t="s">
        <v>69</v>
      </c>
      <c r="K89" s="20">
        <v>15373.999937699908</v>
      </c>
      <c r="L89" s="20">
        <v>-1.0070000000000161E-4</v>
      </c>
      <c r="M89" s="20">
        <v>29953.999999399995</v>
      </c>
      <c r="N89" s="20">
        <v>36883.999999499996</v>
      </c>
      <c r="O89" s="20">
        <v>90804.999999699998</v>
      </c>
    </row>
    <row r="90" spans="2:15" x14ac:dyDescent="0.25">
      <c r="B90" t="s">
        <v>89</v>
      </c>
      <c r="C90" t="s">
        <v>70</v>
      </c>
      <c r="D90" s="20">
        <v>41784.999977299893</v>
      </c>
      <c r="E90" s="20">
        <v>0</v>
      </c>
      <c r="F90" s="20">
        <v>66772.99998899996</v>
      </c>
      <c r="G90" s="20">
        <v>56995.999980499881</v>
      </c>
      <c r="H90" s="20">
        <v>59270.999992999947</v>
      </c>
      <c r="J90" t="s">
        <v>70</v>
      </c>
      <c r="K90" s="20">
        <v>19090.999937699817</v>
      </c>
      <c r="L90" s="20">
        <v>-1.0070000000000161E-4</v>
      </c>
      <c r="M90" s="20">
        <v>63487.999999399995</v>
      </c>
      <c r="N90" s="20">
        <v>87183.999999499996</v>
      </c>
      <c r="O90" s="20">
        <v>58050.999999699998</v>
      </c>
    </row>
    <row r="91" spans="2:15" x14ac:dyDescent="0.25">
      <c r="B91" t="s">
        <v>89</v>
      </c>
      <c r="C91" t="s">
        <v>71</v>
      </c>
      <c r="D91" s="20">
        <v>17478.999977299933</v>
      </c>
      <c r="E91" s="20">
        <v>0</v>
      </c>
      <c r="F91" s="20">
        <v>26327.999988999971</v>
      </c>
      <c r="G91" s="20">
        <v>27727.999980499906</v>
      </c>
      <c r="H91" s="20">
        <v>26124.99999299995</v>
      </c>
      <c r="J91" t="s">
        <v>71</v>
      </c>
      <c r="K91" s="20">
        <v>8614.9999377000422</v>
      </c>
      <c r="L91" s="20">
        <v>-1.0070000000000161E-4</v>
      </c>
      <c r="M91" s="20">
        <v>25287.999999399999</v>
      </c>
      <c r="N91" s="20">
        <v>46690.999999499996</v>
      </c>
      <c r="O91" s="20">
        <v>28686.999999699998</v>
      </c>
    </row>
    <row r="92" spans="2:15" x14ac:dyDescent="0.25">
      <c r="B92" t="s">
        <v>89</v>
      </c>
      <c r="C92" t="s">
        <v>72</v>
      </c>
      <c r="D92" s="20">
        <v>71823.999977299871</v>
      </c>
      <c r="E92" s="20">
        <v>0</v>
      </c>
      <c r="F92" s="20">
        <v>165882.99998899995</v>
      </c>
      <c r="G92" s="20">
        <v>102978.99998049988</v>
      </c>
      <c r="H92" s="20">
        <v>78304.999992999947</v>
      </c>
      <c r="J92" t="s">
        <v>72</v>
      </c>
      <c r="K92" s="20">
        <v>44722.999937699831</v>
      </c>
      <c r="L92" s="20">
        <v>-1.0070000000000161E-4</v>
      </c>
      <c r="M92" s="20">
        <v>146388.9999994</v>
      </c>
      <c r="N92" s="20">
        <v>178739.9999995</v>
      </c>
      <c r="O92" s="20">
        <v>110052.9999997</v>
      </c>
    </row>
    <row r="93" spans="2:15" x14ac:dyDescent="0.25">
      <c r="B93" t="s">
        <v>89</v>
      </c>
      <c r="C93" t="s">
        <v>73</v>
      </c>
      <c r="D93" s="20">
        <v>37334.999977299885</v>
      </c>
      <c r="E93" s="20">
        <v>0</v>
      </c>
      <c r="F93" s="20">
        <v>33494.99998899996</v>
      </c>
      <c r="G93" s="20">
        <v>6461.9999805000189</v>
      </c>
      <c r="H93" s="20">
        <v>22599.99999299995</v>
      </c>
      <c r="J93" t="s">
        <v>73</v>
      </c>
      <c r="K93" s="20">
        <v>7390.999937700044</v>
      </c>
      <c r="L93" s="20">
        <v>-1.0070000000000161E-4</v>
      </c>
      <c r="M93" s="20">
        <v>31769.999999399995</v>
      </c>
      <c r="N93" s="20">
        <v>20419.9999995</v>
      </c>
      <c r="O93" s="20">
        <v>26997.999999699998</v>
      </c>
    </row>
    <row r="94" spans="2:15" x14ac:dyDescent="0.25">
      <c r="B94" t="s">
        <v>89</v>
      </c>
      <c r="C94" t="s">
        <v>74</v>
      </c>
      <c r="D94" s="20">
        <v>71075.999977299871</v>
      </c>
      <c r="E94" s="20">
        <v>0</v>
      </c>
      <c r="F94" s="20">
        <v>115855.99998899995</v>
      </c>
      <c r="G94" s="20">
        <v>90969.999980499881</v>
      </c>
      <c r="H94" s="20">
        <v>55986.999992999947</v>
      </c>
      <c r="J94" t="s">
        <v>74</v>
      </c>
      <c r="K94" s="20">
        <v>33602.999937699831</v>
      </c>
      <c r="L94" s="20">
        <v>-1.0070000000000161E-4</v>
      </c>
      <c r="M94" s="20">
        <v>101412.9999994</v>
      </c>
      <c r="N94" s="20">
        <v>150770.9999995</v>
      </c>
      <c r="O94" s="20">
        <v>74316.999999699998</v>
      </c>
    </row>
    <row r="95" spans="2:15" x14ac:dyDescent="0.25">
      <c r="B95" t="s">
        <v>89</v>
      </c>
      <c r="C95" t="s">
        <v>75</v>
      </c>
      <c r="D95" s="20">
        <v>83164.999977299856</v>
      </c>
      <c r="E95" s="20">
        <v>0</v>
      </c>
      <c r="F95" s="20">
        <v>129168.99998899995</v>
      </c>
      <c r="G95" s="20">
        <v>131069.99998049988</v>
      </c>
      <c r="H95" s="20">
        <v>102253.99999299995</v>
      </c>
      <c r="J95" t="s">
        <v>75</v>
      </c>
      <c r="K95" s="20">
        <v>71363.999937699526</v>
      </c>
      <c r="L95" s="20">
        <v>-1.0070000000000161E-4</v>
      </c>
      <c r="M95" s="20">
        <v>119609.9999994</v>
      </c>
      <c r="N95" s="20">
        <v>260276.9999995</v>
      </c>
      <c r="O95" s="20">
        <v>121476.9999997</v>
      </c>
    </row>
    <row r="96" spans="2:15" x14ac:dyDescent="0.25">
      <c r="B96" t="s">
        <v>89</v>
      </c>
      <c r="C96" t="s">
        <v>76</v>
      </c>
      <c r="D96" s="20">
        <v>77252.999977299871</v>
      </c>
      <c r="E96" s="20">
        <v>0</v>
      </c>
      <c r="F96" s="20">
        <v>199917.99998899992</v>
      </c>
      <c r="G96" s="20">
        <v>152807.99998049988</v>
      </c>
      <c r="H96" s="20">
        <v>129242.99999299995</v>
      </c>
      <c r="J96" t="s">
        <v>76</v>
      </c>
      <c r="K96" s="20">
        <v>63197.999937699526</v>
      </c>
      <c r="L96" s="20">
        <v>-1.0070000000000161E-4</v>
      </c>
      <c r="M96" s="20">
        <v>239246.9999994</v>
      </c>
      <c r="N96" s="20">
        <v>268931.9999995</v>
      </c>
      <c r="O96" s="20">
        <v>181061.9999997</v>
      </c>
    </row>
    <row r="97" spans="2:15" x14ac:dyDescent="0.25">
      <c r="B97" t="s">
        <v>89</v>
      </c>
      <c r="C97" t="s">
        <v>77</v>
      </c>
      <c r="D97" s="20">
        <v>9619.999977299949</v>
      </c>
      <c r="E97" s="20">
        <v>0</v>
      </c>
      <c r="F97" s="20">
        <v>24181.999988999945</v>
      </c>
      <c r="G97" s="20">
        <v>15344.999980499902</v>
      </c>
      <c r="H97" s="20">
        <v>21080.999992999954</v>
      </c>
      <c r="J97" t="s">
        <v>77</v>
      </c>
      <c r="K97" s="20">
        <v>8379.9999377000368</v>
      </c>
      <c r="L97" s="20">
        <v>-1.0070000000000161E-4</v>
      </c>
      <c r="M97" s="20">
        <v>21255.999999399995</v>
      </c>
      <c r="N97" s="20">
        <v>26094.9999995</v>
      </c>
      <c r="O97" s="20">
        <v>31025.999999699998</v>
      </c>
    </row>
    <row r="98" spans="2:15" x14ac:dyDescent="0.25">
      <c r="B98" t="s">
        <v>89</v>
      </c>
      <c r="C98" t="s">
        <v>79</v>
      </c>
      <c r="D98" s="20">
        <v>31826.999977299893</v>
      </c>
      <c r="E98" s="20">
        <v>0</v>
      </c>
      <c r="F98" s="20">
        <v>51539.99998899996</v>
      </c>
      <c r="G98" s="20">
        <v>44680.999980499881</v>
      </c>
      <c r="H98" s="20">
        <v>49136.999992999947</v>
      </c>
      <c r="J98" t="s">
        <v>79</v>
      </c>
      <c r="K98" s="20">
        <v>16936.99993769982</v>
      </c>
      <c r="L98" s="20">
        <v>-1.0070000000000161E-4</v>
      </c>
      <c r="M98" s="20">
        <v>49181.999999399995</v>
      </c>
      <c r="N98" s="20">
        <v>64443.999999499996</v>
      </c>
      <c r="O98" s="20">
        <v>60480.999999699998</v>
      </c>
    </row>
    <row r="99" spans="2:15" x14ac:dyDescent="0.25">
      <c r="B99" t="s">
        <v>89</v>
      </c>
      <c r="C99" t="s">
        <v>80</v>
      </c>
      <c r="D99" s="20">
        <v>72997.999977299885</v>
      </c>
      <c r="E99" s="20">
        <v>0</v>
      </c>
      <c r="F99" s="20">
        <v>56385.999988999938</v>
      </c>
      <c r="G99" s="20">
        <v>47176.999980499881</v>
      </c>
      <c r="H99" s="20">
        <v>45154.999992999947</v>
      </c>
      <c r="J99" t="s">
        <v>80</v>
      </c>
      <c r="K99" s="20">
        <v>57959.999937699657</v>
      </c>
      <c r="L99" s="20">
        <v>-1.0070000000000161E-4</v>
      </c>
      <c r="M99" s="20">
        <v>63774.999999399995</v>
      </c>
      <c r="N99" s="20">
        <v>74326.999999499996</v>
      </c>
      <c r="O99" s="20">
        <v>64735.999999699998</v>
      </c>
    </row>
    <row r="100" spans="2:15" x14ac:dyDescent="0.25">
      <c r="C100" t="s">
        <v>24</v>
      </c>
      <c r="D100" s="20">
        <f>SUM(D80:D99)</f>
        <v>1029148.9995459977</v>
      </c>
      <c r="E100" s="20">
        <f t="shared" ref="E100:H100" si="6">SUM(E80:E99)</f>
        <v>0</v>
      </c>
      <c r="F100" s="20">
        <f t="shared" si="6"/>
        <v>1679641.9997799988</v>
      </c>
      <c r="G100" s="20">
        <f t="shared" si="6"/>
        <v>1449618.999609998</v>
      </c>
      <c r="H100" s="20">
        <f t="shared" si="6"/>
        <v>1193427.9998599992</v>
      </c>
      <c r="J100" t="s">
        <v>24</v>
      </c>
      <c r="K100" s="20">
        <f>SUM(K80:K99)</f>
        <v>628591.99875399587</v>
      </c>
      <c r="L100" s="20">
        <f>SUM(L80:L99)</f>
        <v>-2.0140000000000314E-3</v>
      </c>
      <c r="M100" s="20">
        <f>SUM(M80:M99)</f>
        <v>1568882.9999879999</v>
      </c>
      <c r="N100" s="20">
        <f>SUM(N80:N99)</f>
        <v>2371142.999989999</v>
      </c>
      <c r="O100" s="20">
        <f>SUM(O80:O99)</f>
        <v>1479751.9999940004</v>
      </c>
    </row>
    <row r="103" spans="2:15" x14ac:dyDescent="0.25">
      <c r="C103" t="s">
        <v>82</v>
      </c>
      <c r="D103">
        <v>2153123</v>
      </c>
      <c r="E103">
        <v>2240183</v>
      </c>
      <c r="F103">
        <v>2056343</v>
      </c>
      <c r="G103">
        <v>2140728</v>
      </c>
      <c r="H103">
        <v>1545414</v>
      </c>
      <c r="J103" t="s">
        <v>85</v>
      </c>
      <c r="K103">
        <v>2483505</v>
      </c>
      <c r="L103">
        <v>2326121</v>
      </c>
      <c r="M103">
        <v>1892139</v>
      </c>
      <c r="N103">
        <v>2713579</v>
      </c>
      <c r="O103">
        <v>1707994.9999998002</v>
      </c>
    </row>
    <row r="104" spans="2:15" x14ac:dyDescent="0.25">
      <c r="C104" t="s">
        <v>83</v>
      </c>
      <c r="D104" s="21">
        <f>D100/D103</f>
        <v>0.47797966003149739</v>
      </c>
      <c r="E104" s="21">
        <f>E100/E103</f>
        <v>0</v>
      </c>
      <c r="F104" s="21">
        <f>F100/F103</f>
        <v>0.81681023048197643</v>
      </c>
      <c r="G104" s="21">
        <f>G100/G103</f>
        <v>0.67716169434416607</v>
      </c>
      <c r="H104" s="21">
        <f>H100/H103</f>
        <v>0.77223837745743162</v>
      </c>
      <c r="J104" t="s">
        <v>83</v>
      </c>
      <c r="K104" s="21">
        <f>K100/K103</f>
        <v>0.25310679815583054</v>
      </c>
      <c r="L104" s="21">
        <f>L100/L103</f>
        <v>-8.6581910399331391E-10</v>
      </c>
      <c r="M104" s="21">
        <f>M100/M103</f>
        <v>0.82915842862918632</v>
      </c>
      <c r="N104" s="21">
        <f>N100/N103</f>
        <v>0.8738065116180509</v>
      </c>
      <c r="O104" s="21">
        <f>O100/O103</f>
        <v>0.86636787578076835</v>
      </c>
    </row>
    <row r="106" spans="2:15" x14ac:dyDescent="0.25">
      <c r="C106" s="22" t="s">
        <v>107</v>
      </c>
      <c r="D106" s="22" t="s">
        <v>37</v>
      </c>
      <c r="E106" s="22" t="s">
        <v>38</v>
      </c>
      <c r="F106" s="22" t="s">
        <v>39</v>
      </c>
      <c r="G106" s="22" t="s">
        <v>40</v>
      </c>
      <c r="H106" s="22" t="s">
        <v>41</v>
      </c>
      <c r="J106" s="22" t="s">
        <v>107</v>
      </c>
      <c r="K106" s="22" t="s">
        <v>37</v>
      </c>
      <c r="L106" s="22" t="s">
        <v>38</v>
      </c>
      <c r="M106" s="22" t="s">
        <v>39</v>
      </c>
      <c r="N106" s="22" t="s">
        <v>40</v>
      </c>
      <c r="O106" s="22" t="s">
        <v>41</v>
      </c>
    </row>
    <row r="107" spans="2:15" x14ac:dyDescent="0.25">
      <c r="C107" s="22" t="s">
        <v>95</v>
      </c>
      <c r="D107" s="20">
        <v>184656.99995459971</v>
      </c>
      <c r="E107" s="22">
        <v>0</v>
      </c>
      <c r="F107" s="22">
        <v>314234.99997799989</v>
      </c>
      <c r="G107" s="22">
        <v>254187.99996099973</v>
      </c>
      <c r="H107" s="22">
        <v>209734.99998599989</v>
      </c>
      <c r="J107" s="22" t="s">
        <v>95</v>
      </c>
      <c r="K107" s="22">
        <v>106439.99987539905</v>
      </c>
      <c r="L107" s="22">
        <v>0</v>
      </c>
      <c r="M107" s="22">
        <v>316330.99999879999</v>
      </c>
      <c r="N107" s="22">
        <v>421929.99999899999</v>
      </c>
      <c r="O107" s="22">
        <v>255202.9999994</v>
      </c>
    </row>
    <row r="108" spans="2:15" x14ac:dyDescent="0.25">
      <c r="C108" s="22" t="s">
        <v>96</v>
      </c>
      <c r="D108" s="20">
        <v>552638.99975029903</v>
      </c>
      <c r="E108" s="22">
        <v>0</v>
      </c>
      <c r="F108" s="22">
        <v>909853.99987899943</v>
      </c>
      <c r="G108" s="22">
        <v>702563.9997854986</v>
      </c>
      <c r="H108" s="22">
        <v>660810.99992299941</v>
      </c>
      <c r="J108" s="22" t="s">
        <v>96</v>
      </c>
      <c r="K108" s="22">
        <v>346635.99931469827</v>
      </c>
      <c r="L108" s="22">
        <v>0</v>
      </c>
      <c r="M108" s="22">
        <v>891371.99999339995</v>
      </c>
      <c r="N108" s="22">
        <v>1214764.9999945001</v>
      </c>
      <c r="O108" s="22">
        <v>847692.99999669997</v>
      </c>
    </row>
    <row r="109" spans="2:15" x14ac:dyDescent="0.25">
      <c r="C109" s="22" t="s">
        <v>97</v>
      </c>
      <c r="D109" s="20">
        <v>291852.99984109926</v>
      </c>
      <c r="E109" s="22">
        <v>0</v>
      </c>
      <c r="F109" s="22">
        <v>455552.99992299965</v>
      </c>
      <c r="G109" s="22">
        <v>492866.99986349919</v>
      </c>
      <c r="H109" s="22">
        <v>322881.99995099963</v>
      </c>
      <c r="J109" s="22" t="s">
        <v>97</v>
      </c>
      <c r="K109" s="22">
        <v>175515.99956389694</v>
      </c>
      <c r="L109" s="22">
        <v>0</v>
      </c>
      <c r="M109" s="22">
        <v>361179.99999579997</v>
      </c>
      <c r="N109" s="22">
        <v>734447.99999649997</v>
      </c>
      <c r="O109" s="22">
        <v>376855.99999789998</v>
      </c>
    </row>
    <row r="110" spans="2:15" x14ac:dyDescent="0.25">
      <c r="D110" s="20"/>
    </row>
    <row r="111" spans="2:15" x14ac:dyDescent="0.25">
      <c r="C111" s="22" t="s">
        <v>107</v>
      </c>
      <c r="D111" s="22" t="s">
        <v>37</v>
      </c>
      <c r="E111" s="22" t="s">
        <v>38</v>
      </c>
      <c r="F111" s="22" t="s">
        <v>39</v>
      </c>
      <c r="G111" s="22" t="s">
        <v>40</v>
      </c>
      <c r="H111" s="22" t="s">
        <v>41</v>
      </c>
      <c r="J111" t="s">
        <v>107</v>
      </c>
      <c r="K111" s="22" t="s">
        <v>37</v>
      </c>
      <c r="L111" s="22" t="s">
        <v>38</v>
      </c>
      <c r="M111" s="22" t="s">
        <v>39</v>
      </c>
      <c r="N111" s="22" t="s">
        <v>40</v>
      </c>
      <c r="O111" s="22" t="s">
        <v>41</v>
      </c>
    </row>
    <row r="112" spans="2:15" x14ac:dyDescent="0.25">
      <c r="C112" s="22" t="s">
        <v>98</v>
      </c>
      <c r="D112" s="20">
        <v>27776.999999399999</v>
      </c>
      <c r="E112" s="22">
        <v>0</v>
      </c>
      <c r="F112" s="22">
        <v>85913.999998200001</v>
      </c>
      <c r="G112" s="22">
        <v>75622.999997599982</v>
      </c>
      <c r="H112" s="22">
        <v>90191.999999399995</v>
      </c>
      <c r="J112" s="22" t="s">
        <v>98</v>
      </c>
      <c r="K112" s="22">
        <v>21245.999998200001</v>
      </c>
      <c r="L112" s="22">
        <v>0</v>
      </c>
      <c r="M112" s="22">
        <v>66694</v>
      </c>
      <c r="N112" s="22">
        <v>122756</v>
      </c>
      <c r="O112" s="22">
        <v>107855</v>
      </c>
    </row>
    <row r="113" spans="3:15" x14ac:dyDescent="0.25">
      <c r="C113" s="22" t="s">
        <v>99</v>
      </c>
      <c r="D113" s="20">
        <v>212944.99999669997</v>
      </c>
      <c r="E113" s="22">
        <v>0</v>
      </c>
      <c r="F113" s="22">
        <v>433342.99999009998</v>
      </c>
      <c r="G113" s="22">
        <v>402692.9999867999</v>
      </c>
      <c r="H113" s="22">
        <v>398935.99999669997</v>
      </c>
      <c r="J113" s="22" t="s">
        <v>99</v>
      </c>
      <c r="K113" s="22">
        <v>150171.99999009998</v>
      </c>
      <c r="L113" s="22">
        <v>0</v>
      </c>
      <c r="M113" s="22">
        <v>361625</v>
      </c>
      <c r="N113" s="22">
        <v>683348</v>
      </c>
      <c r="O113" s="22">
        <v>488214</v>
      </c>
    </row>
    <row r="114" spans="3:15" x14ac:dyDescent="0.25">
      <c r="C114" s="22" t="s">
        <v>100</v>
      </c>
      <c r="D114" s="20">
        <v>59776.999997899999</v>
      </c>
      <c r="E114" s="22">
        <v>0</v>
      </c>
      <c r="F114" s="22">
        <v>150539.99999370001</v>
      </c>
      <c r="G114" s="22">
        <v>177407.99999159994</v>
      </c>
      <c r="H114" s="22">
        <v>168242.99999789998</v>
      </c>
      <c r="J114" s="22" t="s">
        <v>100</v>
      </c>
      <c r="K114" s="22">
        <v>62345.999993700018</v>
      </c>
      <c r="L114" s="22">
        <v>0</v>
      </c>
      <c r="M114" s="22">
        <v>58205</v>
      </c>
      <c r="N114" s="22">
        <v>241470</v>
      </c>
      <c r="O114" s="22">
        <v>192714</v>
      </c>
    </row>
    <row r="115" spans="3:15" x14ac:dyDescent="0.25">
      <c r="C115" s="22" t="s">
        <v>101</v>
      </c>
      <c r="D115" s="20">
        <v>122238.99997479984</v>
      </c>
      <c r="E115" s="22">
        <v>0</v>
      </c>
      <c r="F115" s="22">
        <v>210607.99998839997</v>
      </c>
      <c r="G115" s="22">
        <v>149015.99997399983</v>
      </c>
      <c r="H115" s="22">
        <v>107065.99999119995</v>
      </c>
      <c r="J115" s="22" t="s">
        <v>101</v>
      </c>
      <c r="K115" s="22">
        <v>41509.999893399654</v>
      </c>
      <c r="L115" s="22">
        <v>0</v>
      </c>
      <c r="M115" s="22">
        <v>229634.9999996</v>
      </c>
      <c r="N115" s="22">
        <v>259552.9999998</v>
      </c>
      <c r="O115" s="22">
        <v>133445</v>
      </c>
    </row>
    <row r="116" spans="3:15" x14ac:dyDescent="0.25">
      <c r="C116" s="22" t="s">
        <v>102</v>
      </c>
      <c r="D116" s="20">
        <v>283572.99986139964</v>
      </c>
      <c r="E116" s="22">
        <v>0</v>
      </c>
      <c r="F116" s="22">
        <v>440800.99993619986</v>
      </c>
      <c r="G116" s="22">
        <v>254582.99985699967</v>
      </c>
      <c r="H116" s="22">
        <v>232638.99995159986</v>
      </c>
      <c r="J116" s="22" t="s">
        <v>102</v>
      </c>
      <c r="K116" s="22">
        <v>99671.999413701327</v>
      </c>
      <c r="L116" s="22">
        <v>0</v>
      </c>
      <c r="M116" s="22">
        <v>488256.99999779998</v>
      </c>
      <c r="N116" s="22">
        <v>458807.99999889999</v>
      </c>
      <c r="O116" s="22">
        <v>322825</v>
      </c>
    </row>
    <row r="117" spans="3:15" x14ac:dyDescent="0.25">
      <c r="C117" s="22" t="s">
        <v>103</v>
      </c>
      <c r="D117" s="20">
        <v>182140.99991179962</v>
      </c>
      <c r="E117" s="22">
        <v>0</v>
      </c>
      <c r="F117" s="22">
        <v>272072.99995939992</v>
      </c>
      <c r="G117" s="22">
        <v>259072.99990899942</v>
      </c>
      <c r="H117" s="22">
        <v>130884.99996919987</v>
      </c>
      <c r="J117" s="22" t="s">
        <v>103</v>
      </c>
      <c r="K117" s="22">
        <v>53192.999626900484</v>
      </c>
      <c r="L117" s="22">
        <v>0</v>
      </c>
      <c r="M117" s="22">
        <v>273410.99999859999</v>
      </c>
      <c r="N117" s="22">
        <v>406339.99999929999</v>
      </c>
      <c r="O117" s="22">
        <v>159468</v>
      </c>
    </row>
    <row r="118" spans="3:15" x14ac:dyDescent="0.25">
      <c r="C118" s="22" t="s">
        <v>104</v>
      </c>
      <c r="D118" s="20">
        <v>34640.999980399924</v>
      </c>
      <c r="E118" s="22">
        <v>0</v>
      </c>
      <c r="F118" s="22">
        <v>17712.999991400004</v>
      </c>
      <c r="G118" s="22">
        <v>29548.99998939997</v>
      </c>
      <c r="H118" s="22">
        <v>12476.999995400005</v>
      </c>
      <c r="J118" s="22" t="s">
        <v>104</v>
      </c>
      <c r="K118" s="22">
        <v>43683.999983799906</v>
      </c>
      <c r="L118" s="22">
        <v>0</v>
      </c>
      <c r="M118" s="22">
        <v>20001.999999200001</v>
      </c>
      <c r="N118" s="22">
        <v>39620.999999200001</v>
      </c>
      <c r="O118" s="22">
        <v>13902.999999400001</v>
      </c>
    </row>
    <row r="119" spans="3:15" x14ac:dyDescent="0.25">
      <c r="C119" s="22" t="s">
        <v>105</v>
      </c>
      <c r="D119" s="20">
        <v>56120.999892199936</v>
      </c>
      <c r="E119" s="22">
        <v>0</v>
      </c>
      <c r="F119" s="22">
        <v>35709.999952699989</v>
      </c>
      <c r="G119" s="22">
        <v>45287.999941699971</v>
      </c>
      <c r="H119" s="22">
        <v>29235.999974699989</v>
      </c>
      <c r="J119" s="22" t="s">
        <v>105</v>
      </c>
      <c r="K119" s="22">
        <v>96791.999910899991</v>
      </c>
      <c r="L119" s="22">
        <v>0</v>
      </c>
      <c r="M119" s="22">
        <v>41489.999995599996</v>
      </c>
      <c r="N119" s="22">
        <v>72608.999995599996</v>
      </c>
      <c r="O119" s="22">
        <v>36653.999996699997</v>
      </c>
    </row>
    <row r="120" spans="3:15" x14ac:dyDescent="0.25">
      <c r="C120" s="22" t="s">
        <v>106</v>
      </c>
      <c r="D120" s="20">
        <v>49934.999931400009</v>
      </c>
      <c r="E120" s="22">
        <v>0</v>
      </c>
      <c r="F120" s="22">
        <v>32939.999969899975</v>
      </c>
      <c r="G120" s="22">
        <v>56385.999962900038</v>
      </c>
      <c r="H120" s="22">
        <v>23753.999983899983</v>
      </c>
      <c r="J120" s="22" t="s">
        <v>106</v>
      </c>
      <c r="K120" s="22">
        <v>59976.999943300092</v>
      </c>
      <c r="L120" s="22">
        <v>0</v>
      </c>
      <c r="M120" s="22">
        <v>29563.999997199997</v>
      </c>
      <c r="N120" s="22">
        <v>86637.999997200008</v>
      </c>
      <c r="O120" s="22">
        <v>24673.999997899999</v>
      </c>
    </row>
    <row r="121" spans="3:15" x14ac:dyDescent="0.25">
      <c r="C121" s="22" t="s">
        <v>24</v>
      </c>
      <c r="D121" s="22">
        <f>SUM(D112:D120)</f>
        <v>1029148.999545999</v>
      </c>
      <c r="E121" s="22">
        <f t="shared" ref="E121" si="7">SUM(E112:E120)</f>
        <v>0</v>
      </c>
      <c r="F121" s="22">
        <f t="shared" ref="F121" si="8">SUM(F112:F120)</f>
        <v>1679641.9997799997</v>
      </c>
      <c r="G121" s="22">
        <f t="shared" ref="G121" si="9">SUM(G112:G120)</f>
        <v>1449618.9996099987</v>
      </c>
      <c r="H121" s="22">
        <f t="shared" ref="H121" si="10">SUM(H112:H120)</f>
        <v>1193427.9998599994</v>
      </c>
      <c r="J121" t="s">
        <v>24</v>
      </c>
      <c r="K121">
        <f>SUM(K112:K120)</f>
        <v>628591.99875400146</v>
      </c>
      <c r="L121" s="22">
        <f t="shared" ref="L121:O121" si="11">SUM(L112:L120)</f>
        <v>0</v>
      </c>
      <c r="M121" s="22">
        <f t="shared" si="11"/>
        <v>1568882.9999879999</v>
      </c>
      <c r="N121" s="22">
        <f t="shared" si="11"/>
        <v>2371142.9999899999</v>
      </c>
      <c r="O121" s="22">
        <f t="shared" si="11"/>
        <v>1479751.9999940002</v>
      </c>
    </row>
    <row r="124" spans="3:15" x14ac:dyDescent="0.25">
      <c r="C124" s="22"/>
      <c r="D124" s="22"/>
      <c r="E124" s="22" t="s">
        <v>109</v>
      </c>
      <c r="F124" s="22"/>
      <c r="G124" s="22"/>
      <c r="H124" s="22"/>
      <c r="L124" t="s">
        <v>109</v>
      </c>
    </row>
    <row r="125" spans="3:15" x14ac:dyDescent="0.25">
      <c r="C125" s="22" t="s">
        <v>108</v>
      </c>
      <c r="D125" s="22" t="s">
        <v>37</v>
      </c>
      <c r="E125" s="22" t="s">
        <v>38</v>
      </c>
      <c r="F125" s="22" t="s">
        <v>39</v>
      </c>
      <c r="G125" s="22" t="s">
        <v>40</v>
      </c>
      <c r="H125" s="22" t="s">
        <v>41</v>
      </c>
      <c r="J125" s="22" t="s">
        <v>108</v>
      </c>
      <c r="K125" s="22" t="s">
        <v>37</v>
      </c>
      <c r="L125" s="22" t="s">
        <v>38</v>
      </c>
      <c r="M125" s="22" t="s">
        <v>39</v>
      </c>
      <c r="N125" s="22" t="s">
        <v>40</v>
      </c>
      <c r="O125" s="22" t="s">
        <v>41</v>
      </c>
    </row>
    <row r="126" spans="3:15" x14ac:dyDescent="0.25">
      <c r="C126" s="22" t="s">
        <v>98</v>
      </c>
      <c r="D126" s="23">
        <f t="shared" ref="D126:D135" si="12">D112/D$121</f>
        <v>2.6990260896773553E-2</v>
      </c>
      <c r="E126" s="23">
        <f>H126</f>
        <v>7.5573893029139916E-2</v>
      </c>
      <c r="F126" s="23">
        <f t="shared" ref="F126:H135" si="13">F112/F$121</f>
        <v>5.1150185580887506E-2</v>
      </c>
      <c r="G126" s="23">
        <f t="shared" si="13"/>
        <v>5.2167500576320656E-2</v>
      </c>
      <c r="H126" s="23">
        <f t="shared" si="13"/>
        <v>7.5573893029139916E-2</v>
      </c>
      <c r="J126" s="22" t="s">
        <v>98</v>
      </c>
      <c r="K126" s="23">
        <f t="shared" ref="K126:K135" si="14">K112/K$121</f>
        <v>3.3799348449095663E-2</v>
      </c>
      <c r="L126" s="23">
        <f>O126</f>
        <v>7.2887213533374046E-2</v>
      </c>
      <c r="M126" s="23">
        <f t="shared" ref="M126:O135" si="15">M112/M$121</f>
        <v>4.2510499508574016E-2</v>
      </c>
      <c r="N126" s="23">
        <f t="shared" si="15"/>
        <v>5.1770812642053944E-2</v>
      </c>
      <c r="O126" s="23">
        <f t="shared" si="15"/>
        <v>7.2887213533374046E-2</v>
      </c>
    </row>
    <row r="127" spans="3:15" x14ac:dyDescent="0.25">
      <c r="C127" s="22" t="s">
        <v>99</v>
      </c>
      <c r="D127" s="23">
        <f t="shared" si="12"/>
        <v>0.20691367342400274</v>
      </c>
      <c r="E127" s="23">
        <f t="shared" ref="E127:E135" si="16">H127</f>
        <v>0.33427739255614836</v>
      </c>
      <c r="F127" s="23">
        <f t="shared" si="13"/>
        <v>0.25799723991592222</v>
      </c>
      <c r="G127" s="23">
        <f t="shared" si="13"/>
        <v>0.27779230273274513</v>
      </c>
      <c r="H127" s="23">
        <f t="shared" si="13"/>
        <v>0.33427739255614836</v>
      </c>
      <c r="J127" s="22" t="s">
        <v>99</v>
      </c>
      <c r="K127" s="23">
        <f t="shared" si="14"/>
        <v>0.23890218184095846</v>
      </c>
      <c r="L127" s="23">
        <f t="shared" ref="L127:L135" si="17">O127</f>
        <v>0.32992960982784919</v>
      </c>
      <c r="M127" s="23">
        <f t="shared" si="15"/>
        <v>0.2304983864333835</v>
      </c>
      <c r="N127" s="23">
        <f t="shared" si="15"/>
        <v>0.2881934999293092</v>
      </c>
      <c r="O127" s="23">
        <f t="shared" si="15"/>
        <v>0.32992960982784919</v>
      </c>
    </row>
    <row r="128" spans="3:15" x14ac:dyDescent="0.25">
      <c r="C128" s="22" t="s">
        <v>100</v>
      </c>
      <c r="D128" s="23">
        <f t="shared" si="12"/>
        <v>5.8083912071303721E-2</v>
      </c>
      <c r="E128" s="23">
        <f t="shared" si="16"/>
        <v>0.14097457074715569</v>
      </c>
      <c r="F128" s="23">
        <f t="shared" si="13"/>
        <v>8.9626241790463565E-2</v>
      </c>
      <c r="G128" s="23">
        <f t="shared" si="13"/>
        <v>0.12238250191210882</v>
      </c>
      <c r="H128" s="23">
        <f t="shared" si="13"/>
        <v>0.14097457074715569</v>
      </c>
      <c r="J128" s="22" t="s">
        <v>100</v>
      </c>
      <c r="K128" s="23">
        <f t="shared" si="14"/>
        <v>9.9183572360581437E-2</v>
      </c>
      <c r="L128" s="23">
        <f t="shared" si="17"/>
        <v>0.13023398515479714</v>
      </c>
      <c r="M128" s="23">
        <f t="shared" si="15"/>
        <v>3.7099643504611368E-2</v>
      </c>
      <c r="N128" s="23">
        <f t="shared" si="15"/>
        <v>0.10183696217436838</v>
      </c>
      <c r="O128" s="23">
        <f t="shared" si="15"/>
        <v>0.13023398515479714</v>
      </c>
    </row>
    <row r="129" spans="3:15" x14ac:dyDescent="0.25">
      <c r="C129" s="22" t="s">
        <v>101</v>
      </c>
      <c r="D129" s="23">
        <f t="shared" si="12"/>
        <v>0.1187767757911873</v>
      </c>
      <c r="E129" s="23">
        <f t="shared" si="16"/>
        <v>8.9712994838197044E-2</v>
      </c>
      <c r="F129" s="23">
        <f t="shared" si="13"/>
        <v>0.12538862449021013</v>
      </c>
      <c r="G129" s="23">
        <f t="shared" si="13"/>
        <v>0.10279666589227285</v>
      </c>
      <c r="H129" s="23">
        <f t="shared" si="13"/>
        <v>8.9712994838197044E-2</v>
      </c>
      <c r="J129" s="22" t="s">
        <v>101</v>
      </c>
      <c r="K129" s="23">
        <f t="shared" si="14"/>
        <v>6.6036475131215494E-2</v>
      </c>
      <c r="L129" s="23">
        <f t="shared" si="17"/>
        <v>9.0180651893385561E-2</v>
      </c>
      <c r="M129" s="23">
        <f t="shared" si="15"/>
        <v>0.1463684672479442</v>
      </c>
      <c r="N129" s="23">
        <f t="shared" si="15"/>
        <v>0.1094632419895783</v>
      </c>
      <c r="O129" s="23">
        <f t="shared" si="15"/>
        <v>9.0180651893385561E-2</v>
      </c>
    </row>
    <row r="130" spans="3:15" x14ac:dyDescent="0.25">
      <c r="C130" s="22" t="s">
        <v>102</v>
      </c>
      <c r="D130" s="23">
        <f t="shared" si="12"/>
        <v>0.27554124814433639</v>
      </c>
      <c r="E130" s="23">
        <f t="shared" si="16"/>
        <v>0.19493341867200256</v>
      </c>
      <c r="F130" s="23">
        <f t="shared" si="13"/>
        <v>0.2624374717909746</v>
      </c>
      <c r="G130" s="23">
        <f t="shared" si="13"/>
        <v>0.17562062854135602</v>
      </c>
      <c r="H130" s="23">
        <f t="shared" si="13"/>
        <v>0.19493341867200256</v>
      </c>
      <c r="J130" s="22" t="s">
        <v>102</v>
      </c>
      <c r="K130" s="23">
        <f t="shared" si="14"/>
        <v>0.15856390092662923</v>
      </c>
      <c r="L130" s="23">
        <f t="shared" si="17"/>
        <v>0.21816155680229452</v>
      </c>
      <c r="M130" s="23">
        <f t="shared" si="15"/>
        <v>0.31121313699079828</v>
      </c>
      <c r="N130" s="23">
        <f t="shared" si="15"/>
        <v>0.19349655419383605</v>
      </c>
      <c r="O130" s="23">
        <f t="shared" si="15"/>
        <v>0.21816155680229452</v>
      </c>
    </row>
    <row r="131" spans="3:15" x14ac:dyDescent="0.25">
      <c r="C131" s="22" t="s">
        <v>103</v>
      </c>
      <c r="D131" s="23">
        <f t="shared" si="12"/>
        <v>0.1769821473782219</v>
      </c>
      <c r="E131" s="23">
        <f t="shared" si="16"/>
        <v>0.10967146739020195</v>
      </c>
      <c r="F131" s="23">
        <f t="shared" si="13"/>
        <v>0.16198273203160921</v>
      </c>
      <c r="G131" s="23">
        <f t="shared" si="13"/>
        <v>0.17871799416170711</v>
      </c>
      <c r="H131" s="23">
        <f t="shared" si="13"/>
        <v>0.10967146739020195</v>
      </c>
      <c r="J131" s="22" t="s">
        <v>103</v>
      </c>
      <c r="K131" s="23">
        <f t="shared" si="14"/>
        <v>8.4622457384662772E-2</v>
      </c>
      <c r="L131" s="23">
        <f t="shared" si="17"/>
        <v>0.10776670685401782</v>
      </c>
      <c r="M131" s="23">
        <f t="shared" si="15"/>
        <v>0.17427112155635013</v>
      </c>
      <c r="N131" s="23">
        <f t="shared" si="15"/>
        <v>0.17136882929499136</v>
      </c>
      <c r="O131" s="23">
        <f t="shared" si="15"/>
        <v>0.10776670685401782</v>
      </c>
    </row>
    <row r="132" spans="3:15" x14ac:dyDescent="0.25">
      <c r="C132" s="22" t="s">
        <v>104</v>
      </c>
      <c r="D132" s="23">
        <f t="shared" si="12"/>
        <v>3.3659849055560985E-2</v>
      </c>
      <c r="E132" s="23">
        <f t="shared" si="16"/>
        <v>1.0454757217748935E-2</v>
      </c>
      <c r="F132" s="23">
        <f t="shared" si="13"/>
        <v>1.0545699615584785E-2</v>
      </c>
      <c r="G132" s="23">
        <f t="shared" si="13"/>
        <v>2.0383976753443316E-2</v>
      </c>
      <c r="H132" s="23">
        <f t="shared" si="13"/>
        <v>1.0454757217748935E-2</v>
      </c>
      <c r="J132" s="22" t="s">
        <v>104</v>
      </c>
      <c r="K132" s="23">
        <f t="shared" si="14"/>
        <v>6.9494998457490034E-2</v>
      </c>
      <c r="L132" s="23">
        <f t="shared" si="17"/>
        <v>9.3954932985097321E-3</v>
      </c>
      <c r="M132" s="23">
        <f t="shared" si="15"/>
        <v>1.2749197995869032E-2</v>
      </c>
      <c r="N132" s="23">
        <f t="shared" si="15"/>
        <v>1.6709662807923055E-2</v>
      </c>
      <c r="O132" s="23">
        <f t="shared" si="15"/>
        <v>9.3954932985097321E-3</v>
      </c>
    </row>
    <row r="133" spans="3:15" x14ac:dyDescent="0.25">
      <c r="C133" s="22" t="s">
        <v>105</v>
      </c>
      <c r="D133" s="23">
        <f t="shared" si="12"/>
        <v>5.4531462321740852E-2</v>
      </c>
      <c r="E133" s="23">
        <f t="shared" si="16"/>
        <v>2.4497497945523024E-2</v>
      </c>
      <c r="F133" s="23">
        <f t="shared" si="13"/>
        <v>2.1260482863239488E-2</v>
      </c>
      <c r="G133" s="23">
        <f t="shared" si="13"/>
        <v>3.1241312340610963E-2</v>
      </c>
      <c r="H133" s="23">
        <f t="shared" si="13"/>
        <v>2.4497497945523024E-2</v>
      </c>
      <c r="J133" s="22" t="s">
        <v>105</v>
      </c>
      <c r="K133" s="23">
        <f t="shared" si="14"/>
        <v>0.15398223347220713</v>
      </c>
      <c r="L133" s="23">
        <f t="shared" si="17"/>
        <v>2.477036692422015E-2</v>
      </c>
      <c r="M133" s="23">
        <f t="shared" si="15"/>
        <v>2.6445566684014897E-2</v>
      </c>
      <c r="N133" s="23">
        <f t="shared" si="15"/>
        <v>3.0621940556055126E-2</v>
      </c>
      <c r="O133" s="23">
        <f t="shared" si="15"/>
        <v>2.477036692422015E-2</v>
      </c>
    </row>
    <row r="134" spans="3:15" x14ac:dyDescent="0.25">
      <c r="C134" s="22" t="s">
        <v>106</v>
      </c>
      <c r="D134" s="23">
        <f t="shared" si="12"/>
        <v>4.8520670916872524E-2</v>
      </c>
      <c r="E134" s="23">
        <f t="shared" si="16"/>
        <v>1.9904007603882726E-2</v>
      </c>
      <c r="F134" s="23">
        <f t="shared" si="13"/>
        <v>1.9611321921108468E-2</v>
      </c>
      <c r="G134" s="23">
        <f t="shared" si="13"/>
        <v>3.8897117089435197E-2</v>
      </c>
      <c r="H134" s="23">
        <f t="shared" si="13"/>
        <v>1.9904007603882726E-2</v>
      </c>
      <c r="J134" s="22" t="s">
        <v>106</v>
      </c>
      <c r="K134" s="23">
        <f t="shared" si="14"/>
        <v>9.5414831977159803E-2</v>
      </c>
      <c r="L134" s="23">
        <f t="shared" si="17"/>
        <v>1.6674415711551694E-2</v>
      </c>
      <c r="M134" s="23">
        <f t="shared" si="15"/>
        <v>1.8843980078454624E-2</v>
      </c>
      <c r="N134" s="23">
        <f t="shared" si="15"/>
        <v>3.6538496411884648E-2</v>
      </c>
      <c r="O134" s="23">
        <f t="shared" si="15"/>
        <v>1.6674415711551694E-2</v>
      </c>
    </row>
    <row r="135" spans="3:15" x14ac:dyDescent="0.25">
      <c r="C135" s="22" t="s">
        <v>24</v>
      </c>
      <c r="D135" s="23">
        <f t="shared" si="12"/>
        <v>1</v>
      </c>
      <c r="E135" s="23">
        <f t="shared" si="16"/>
        <v>1</v>
      </c>
      <c r="F135" s="23">
        <f t="shared" si="13"/>
        <v>1</v>
      </c>
      <c r="G135" s="23">
        <f t="shared" si="13"/>
        <v>1</v>
      </c>
      <c r="H135" s="23">
        <f t="shared" si="13"/>
        <v>1</v>
      </c>
      <c r="J135" s="22" t="s">
        <v>24</v>
      </c>
      <c r="K135" s="23">
        <f t="shared" si="14"/>
        <v>1</v>
      </c>
      <c r="L135" s="23">
        <f t="shared" si="17"/>
        <v>1</v>
      </c>
      <c r="M135" s="23">
        <f t="shared" si="15"/>
        <v>1</v>
      </c>
      <c r="N135" s="23">
        <f t="shared" si="15"/>
        <v>1</v>
      </c>
      <c r="O135" s="23">
        <f t="shared" si="15"/>
        <v>1</v>
      </c>
    </row>
    <row r="137" spans="3:15" x14ac:dyDescent="0.25">
      <c r="C137" s="22" t="s">
        <v>110</v>
      </c>
      <c r="D137" s="22" t="s">
        <v>37</v>
      </c>
      <c r="E137" s="22" t="s">
        <v>38</v>
      </c>
      <c r="F137" s="22" t="s">
        <v>39</v>
      </c>
      <c r="G137" s="22" t="s">
        <v>40</v>
      </c>
      <c r="H137" s="22" t="s">
        <v>41</v>
      </c>
      <c r="J137" s="22" t="s">
        <v>110</v>
      </c>
      <c r="K137" s="22" t="s">
        <v>37</v>
      </c>
      <c r="L137" s="22" t="s">
        <v>38</v>
      </c>
      <c r="M137" s="22" t="s">
        <v>39</v>
      </c>
      <c r="N137" s="22" t="s">
        <v>40</v>
      </c>
      <c r="O137" s="22" t="s">
        <v>41</v>
      </c>
    </row>
    <row r="138" spans="3:15" x14ac:dyDescent="0.25">
      <c r="C138" s="22" t="s">
        <v>98</v>
      </c>
      <c r="D138" s="20">
        <f>D126*D$103</f>
        <v>58113.351512843765</v>
      </c>
      <c r="E138" s="20">
        <f t="shared" ref="E138:H138" si="18">E126*E$103</f>
        <v>169299.35040769776</v>
      </c>
      <c r="F138" s="20">
        <f t="shared" si="18"/>
        <v>105182.32606795896</v>
      </c>
      <c r="G138" s="20">
        <f t="shared" si="18"/>
        <v>111676.42917374577</v>
      </c>
      <c r="H138" s="20">
        <f t="shared" si="18"/>
        <v>116792.95232173524</v>
      </c>
      <c r="J138" s="22" t="s">
        <v>98</v>
      </c>
      <c r="K138" s="20">
        <f>K126*K$103</f>
        <v>83940.850870071328</v>
      </c>
      <c r="L138" s="20">
        <f t="shared" ref="L138:O138" si="19">L126*L$103</f>
        <v>169544.47803146558</v>
      </c>
      <c r="M138" s="20">
        <f t="shared" si="19"/>
        <v>80435.774029653738</v>
      </c>
      <c r="N138" s="20">
        <f t="shared" si="19"/>
        <v>140484.1899984121</v>
      </c>
      <c r="O138" s="20">
        <f t="shared" si="19"/>
        <v>124490.99627892065</v>
      </c>
    </row>
    <row r="139" spans="3:15" x14ac:dyDescent="0.25">
      <c r="C139" s="22" t="s">
        <v>99</v>
      </c>
      <c r="D139" s="20">
        <f t="shared" ref="D139:H139" si="20">D127*D$103</f>
        <v>445510.58926370903</v>
      </c>
      <c r="E139" s="20">
        <f t="shared" si="20"/>
        <v>748842.53208861011</v>
      </c>
      <c r="F139" s="20">
        <f t="shared" si="20"/>
        <v>530530.81832042721</v>
      </c>
      <c r="G139" s="20">
        <f t="shared" si="20"/>
        <v>594677.76064446406</v>
      </c>
      <c r="H139" s="20">
        <f t="shared" si="20"/>
        <v>516596.96233976743</v>
      </c>
      <c r="J139" s="22" t="s">
        <v>99</v>
      </c>
      <c r="K139" s="20">
        <f t="shared" ref="K139:O146" si="21">K127*K$103</f>
        <v>593314.76311292953</v>
      </c>
      <c r="L139" s="20">
        <f t="shared" si="21"/>
        <v>767456.1939423664</v>
      </c>
      <c r="M139" s="20">
        <f t="shared" si="21"/>
        <v>436134.98640767584</v>
      </c>
      <c r="N139" s="20">
        <f t="shared" si="21"/>
        <v>782035.82934467494</v>
      </c>
      <c r="O139" s="20">
        <f t="shared" si="21"/>
        <v>563518.1239378514</v>
      </c>
    </row>
    <row r="140" spans="3:15" x14ac:dyDescent="0.25">
      <c r="C140" s="22" t="s">
        <v>100</v>
      </c>
      <c r="D140" s="20">
        <f t="shared" ref="D140:H140" si="22">D128*D$103</f>
        <v>125061.80701070168</v>
      </c>
      <c r="E140" s="20">
        <f t="shared" si="22"/>
        <v>315808.83682007546</v>
      </c>
      <c r="F140" s="20">
        <f t="shared" si="22"/>
        <v>184302.29492212721</v>
      </c>
      <c r="G140" s="20">
        <f t="shared" si="22"/>
        <v>261987.6485533049</v>
      </c>
      <c r="H140" s="20">
        <f t="shared" si="22"/>
        <v>217864.07527664487</v>
      </c>
      <c r="J140" s="22" t="s">
        <v>100</v>
      </c>
      <c r="K140" s="20">
        <f t="shared" si="21"/>
        <v>246322.8978753658</v>
      </c>
      <c r="L140" s="20">
        <f t="shared" si="21"/>
        <v>302940.00778226188</v>
      </c>
      <c r="M140" s="20">
        <f t="shared" si="21"/>
        <v>70197.682361171843</v>
      </c>
      <c r="N140" s="20">
        <f t="shared" si="21"/>
        <v>276342.64198016038</v>
      </c>
      <c r="O140" s="20">
        <f t="shared" si="21"/>
        <v>222438.99547444173</v>
      </c>
    </row>
    <row r="141" spans="3:15" x14ac:dyDescent="0.25">
      <c r="C141" s="22" t="s">
        <v>101</v>
      </c>
      <c r="D141" s="20">
        <f t="shared" ref="D141:H141" si="23">D129*D$103</f>
        <v>255741.00782184856</v>
      </c>
      <c r="E141" s="20">
        <f t="shared" si="23"/>
        <v>200973.52591561677</v>
      </c>
      <c r="F141" s="20">
        <f t="shared" si="23"/>
        <v>257842.02025007215</v>
      </c>
      <c r="G141" s="20">
        <f t="shared" si="23"/>
        <v>220059.70098223348</v>
      </c>
      <c r="H141" s="20">
        <f t="shared" si="23"/>
        <v>138643.71820487746</v>
      </c>
      <c r="J141" s="22" t="s">
        <v>101</v>
      </c>
      <c r="K141" s="20">
        <f t="shared" si="21"/>
        <v>164001.91617074935</v>
      </c>
      <c r="L141" s="20">
        <f t="shared" si="21"/>
        <v>209771.10816289391</v>
      </c>
      <c r="M141" s="20">
        <f t="shared" si="21"/>
        <v>276949.48525005789</v>
      </c>
      <c r="N141" s="20">
        <f t="shared" si="21"/>
        <v>297037.15473483788</v>
      </c>
      <c r="O141" s="20">
        <f t="shared" si="21"/>
        <v>154028.10253062507</v>
      </c>
    </row>
    <row r="142" spans="3:15" x14ac:dyDescent="0.25">
      <c r="C142" s="22" t="s">
        <v>102</v>
      </c>
      <c r="D142" s="20">
        <f t="shared" ref="D142:H142" si="24">D130*D$103</f>
        <v>593274.19882827799</v>
      </c>
      <c r="E142" s="20">
        <f t="shared" si="24"/>
        <v>436686.5306409027</v>
      </c>
      <c r="F142" s="20">
        <f t="shared" si="24"/>
        <v>539661.45805506804</v>
      </c>
      <c r="G142" s="20">
        <f t="shared" si="24"/>
        <v>375955.99689607997</v>
      </c>
      <c r="H142" s="20">
        <f t="shared" si="24"/>
        <v>301252.83428357419</v>
      </c>
      <c r="J142" s="22" t="s">
        <v>102</v>
      </c>
      <c r="K142" s="20">
        <f t="shared" si="21"/>
        <v>393794.24077078834</v>
      </c>
      <c r="L142" s="20">
        <f t="shared" si="21"/>
        <v>507470.17867051013</v>
      </c>
      <c r="M142" s="20">
        <f t="shared" si="21"/>
        <v>588858.51381263207</v>
      </c>
      <c r="N142" s="20">
        <f t="shared" si="21"/>
        <v>525068.18603275542</v>
      </c>
      <c r="O142" s="20">
        <f t="shared" si="21"/>
        <v>372618.84821049141</v>
      </c>
    </row>
    <row r="143" spans="3:15" x14ac:dyDescent="0.25">
      <c r="C143" s="22" t="s">
        <v>103</v>
      </c>
      <c r="D143" s="20">
        <f t="shared" ref="D143:H143" si="25">D131*D$103</f>
        <v>381064.3321094393</v>
      </c>
      <c r="E143" s="20">
        <f t="shared" si="25"/>
        <v>245684.15683258476</v>
      </c>
      <c r="F143" s="20">
        <f t="shared" si="25"/>
        <v>333092.05713407538</v>
      </c>
      <c r="G143" s="20">
        <f t="shared" si="25"/>
        <v>382586.61420580297</v>
      </c>
      <c r="H143" s="20">
        <f t="shared" si="25"/>
        <v>169487.82110536157</v>
      </c>
      <c r="J143" s="22" t="s">
        <v>103</v>
      </c>
      <c r="K143" s="20">
        <f t="shared" si="21"/>
        <v>210160.29602709692</v>
      </c>
      <c r="L143" s="20">
        <f t="shared" si="21"/>
        <v>250678.39991397478</v>
      </c>
      <c r="M143" s="20">
        <f t="shared" si="21"/>
        <v>329745.18567051081</v>
      </c>
      <c r="N143" s="20">
        <f t="shared" si="21"/>
        <v>465022.85642947338</v>
      </c>
      <c r="O143" s="20">
        <f t="shared" si="21"/>
        <v>184064.99647310664</v>
      </c>
    </row>
    <row r="144" spans="3:15" x14ac:dyDescent="0.25">
      <c r="C144" s="22" t="s">
        <v>104</v>
      </c>
      <c r="D144" s="20">
        <f t="shared" ref="D144:H144" si="26">D132*D$103</f>
        <v>72473.795178056636</v>
      </c>
      <c r="E144" s="20">
        <f t="shared" si="26"/>
        <v>23420.569388328462</v>
      </c>
      <c r="F144" s="20">
        <f t="shared" si="26"/>
        <v>21685.575584610462</v>
      </c>
      <c r="G144" s="20">
        <f t="shared" si="26"/>
        <v>43636.549787445205</v>
      </c>
      <c r="H144" s="20">
        <f t="shared" si="26"/>
        <v>16156.928170910254</v>
      </c>
      <c r="J144" s="22" t="s">
        <v>104</v>
      </c>
      <c r="K144" s="20">
        <f t="shared" si="21"/>
        <v>172591.1761441688</v>
      </c>
      <c r="L144" s="20">
        <f t="shared" si="21"/>
        <v>21855.054267022755</v>
      </c>
      <c r="M144" s="20">
        <f t="shared" si="21"/>
        <v>24123.254746705632</v>
      </c>
      <c r="N144" s="20">
        <f t="shared" si="21"/>
        <v>45342.990092661035</v>
      </c>
      <c r="O144" s="20">
        <f t="shared" si="21"/>
        <v>16047.455576386254</v>
      </c>
    </row>
    <row r="145" spans="3:15" x14ac:dyDescent="0.25">
      <c r="C145" s="22" t="s">
        <v>105</v>
      </c>
      <c r="D145" s="20">
        <f t="shared" ref="D145:H145" si="27">D133*D$103</f>
        <v>117412.94574857363</v>
      </c>
      <c r="E145" s="20">
        <f t="shared" si="27"/>
        <v>54878.878440095606</v>
      </c>
      <c r="F145" s="20">
        <f t="shared" si="27"/>
        <v>43718.845112442476</v>
      </c>
      <c r="G145" s="20">
        <f t="shared" si="27"/>
        <v>66879.152084291432</v>
      </c>
      <c r="H145" s="20">
        <f t="shared" si="27"/>
        <v>37858.776289982517</v>
      </c>
      <c r="J145" s="22" t="s">
        <v>105</v>
      </c>
      <c r="K145" s="20">
        <f t="shared" si="21"/>
        <v>382415.64673939376</v>
      </c>
      <c r="L145" s="20">
        <f t="shared" si="21"/>
        <v>57618.870680133899</v>
      </c>
      <c r="M145" s="20">
        <f t="shared" si="21"/>
        <v>50038.688099925261</v>
      </c>
      <c r="N145" s="20">
        <f t="shared" si="21"/>
        <v>83095.054832159512</v>
      </c>
      <c r="O145" s="20">
        <f t="shared" si="21"/>
        <v>42307.662854728449</v>
      </c>
    </row>
    <row r="146" spans="3:15" x14ac:dyDescent="0.25">
      <c r="C146" s="22" t="s">
        <v>106</v>
      </c>
      <c r="D146" s="20">
        <f t="shared" ref="D146:H146" si="28">D134*D$103</f>
        <v>104470.97252654932</v>
      </c>
      <c r="E146" s="20">
        <f t="shared" si="28"/>
        <v>44588.619466088814</v>
      </c>
      <c r="F146" s="20">
        <f t="shared" si="28"/>
        <v>40327.604553217949</v>
      </c>
      <c r="G146" s="20">
        <f t="shared" si="28"/>
        <v>83268.147672632433</v>
      </c>
      <c r="H146" s="20">
        <f t="shared" si="28"/>
        <v>30759.932007146821</v>
      </c>
      <c r="J146" s="22" t="s">
        <v>106</v>
      </c>
      <c r="K146" s="20">
        <f t="shared" si="21"/>
        <v>236963.21228943625</v>
      </c>
      <c r="L146" s="20">
        <f t="shared" si="21"/>
        <v>38786.708549370342</v>
      </c>
      <c r="M146" s="20">
        <f t="shared" si="21"/>
        <v>35655.429621667055</v>
      </c>
      <c r="N146" s="20">
        <f t="shared" si="21"/>
        <v>99150.096554865537</v>
      </c>
      <c r="O146" s="20">
        <f t="shared" si="21"/>
        <v>28479.818663248403</v>
      </c>
    </row>
    <row r="147" spans="3:15" x14ac:dyDescent="0.25">
      <c r="J147" s="22"/>
      <c r="K147" s="20"/>
      <c r="L147" s="20"/>
      <c r="M147" s="20"/>
      <c r="N147" s="20"/>
      <c r="O147" s="20"/>
    </row>
    <row r="148" spans="3:15" x14ac:dyDescent="0.25">
      <c r="C148" t="s">
        <v>127</v>
      </c>
      <c r="D148" s="20">
        <f>SUM(D138:D140)</f>
        <v>628685.7477872544</v>
      </c>
      <c r="E148" s="20">
        <f t="shared" ref="E148:O148" si="29">SUM(E138:E140)</f>
        <v>1233950.7193163834</v>
      </c>
      <c r="F148" s="20">
        <f t="shared" si="29"/>
        <v>820015.43931051344</v>
      </c>
      <c r="G148" s="20">
        <f t="shared" si="29"/>
        <v>968341.83837151481</v>
      </c>
      <c r="H148" s="20">
        <f t="shared" si="29"/>
        <v>851253.9899381476</v>
      </c>
      <c r="I148" s="20"/>
      <c r="J148" s="22" t="s">
        <v>127</v>
      </c>
      <c r="K148" s="20">
        <f t="shared" si="29"/>
        <v>923578.51185836666</v>
      </c>
      <c r="L148" s="20">
        <f t="shared" si="29"/>
        <v>1239940.6797560938</v>
      </c>
      <c r="M148" s="20">
        <f t="shared" si="29"/>
        <v>586768.44279850146</v>
      </c>
      <c r="N148" s="20">
        <f t="shared" si="29"/>
        <v>1198862.6613232475</v>
      </c>
      <c r="O148" s="20">
        <f t="shared" si="29"/>
        <v>910448.11569121387</v>
      </c>
    </row>
    <row r="149" spans="3:15" x14ac:dyDescent="0.25">
      <c r="C149" t="s">
        <v>128</v>
      </c>
      <c r="D149" s="20">
        <f>SUM(D141:D143)</f>
        <v>1230079.5387595659</v>
      </c>
      <c r="E149" s="20">
        <f t="shared" ref="E149:O149" si="30">SUM(E141:E143)</f>
        <v>883344.21338910423</v>
      </c>
      <c r="F149" s="20">
        <f t="shared" si="30"/>
        <v>1130595.5354392156</v>
      </c>
      <c r="G149" s="20">
        <f t="shared" si="30"/>
        <v>978602.31208411651</v>
      </c>
      <c r="H149" s="20">
        <f t="shared" si="30"/>
        <v>609384.37359381327</v>
      </c>
      <c r="I149" s="20"/>
      <c r="J149" s="22" t="s">
        <v>128</v>
      </c>
      <c r="K149" s="20">
        <f t="shared" si="30"/>
        <v>767956.45296863467</v>
      </c>
      <c r="L149" s="20">
        <f t="shared" si="30"/>
        <v>967919.6867473789</v>
      </c>
      <c r="M149" s="20">
        <f t="shared" si="30"/>
        <v>1195553.1847332008</v>
      </c>
      <c r="N149" s="20">
        <f t="shared" si="30"/>
        <v>1287128.1971970666</v>
      </c>
      <c r="O149" s="20">
        <f t="shared" si="30"/>
        <v>710711.9472142231</v>
      </c>
    </row>
    <row r="150" spans="3:15" x14ac:dyDescent="0.25">
      <c r="C150" t="s">
        <v>129</v>
      </c>
      <c r="D150" s="20">
        <f>SUM(D144:D146)</f>
        <v>294357.71345317957</v>
      </c>
      <c r="E150" s="20">
        <f t="shared" ref="E150:O150" si="31">SUM(E144:E146)</f>
        <v>122888.06729451289</v>
      </c>
      <c r="F150" s="20">
        <f t="shared" si="31"/>
        <v>105732.02525027088</v>
      </c>
      <c r="G150" s="20">
        <f t="shared" si="31"/>
        <v>193783.84954436909</v>
      </c>
      <c r="H150" s="20">
        <f t="shared" si="31"/>
        <v>84775.636468039593</v>
      </c>
      <c r="I150" s="20"/>
      <c r="J150" s="22" t="s">
        <v>129</v>
      </c>
      <c r="K150" s="20">
        <f t="shared" si="31"/>
        <v>791970.03517299879</v>
      </c>
      <c r="L150" s="20">
        <f t="shared" si="31"/>
        <v>118260.63349652701</v>
      </c>
      <c r="M150" s="20">
        <f t="shared" si="31"/>
        <v>109817.37246829795</v>
      </c>
      <c r="N150" s="20">
        <f t="shared" si="31"/>
        <v>227588.14147968608</v>
      </c>
      <c r="O150" s="20">
        <f t="shared" si="31"/>
        <v>86834.937094363107</v>
      </c>
    </row>
    <row r="168" spans="2:7" x14ac:dyDescent="0.25">
      <c r="B168" t="s">
        <v>594</v>
      </c>
      <c r="C168" s="22" t="s">
        <v>37</v>
      </c>
      <c r="D168" s="22" t="s">
        <v>38</v>
      </c>
      <c r="E168" s="22" t="s">
        <v>39</v>
      </c>
      <c r="F168" s="22" t="s">
        <v>40</v>
      </c>
      <c r="G168" s="22" t="s">
        <v>41</v>
      </c>
    </row>
    <row r="169" spans="2:7" x14ac:dyDescent="0.25">
      <c r="B169" t="s">
        <v>258</v>
      </c>
      <c r="C169" s="20">
        <v>56128.437197341511</v>
      </c>
      <c r="D169" s="20">
        <v>530304.30658700387</v>
      </c>
      <c r="E169" s="20">
        <v>247128.8538987822</v>
      </c>
      <c r="F169" s="20">
        <v>191497.12842687807</v>
      </c>
      <c r="G169" s="20">
        <v>160928.52103533715</v>
      </c>
    </row>
    <row r="170" spans="2:7" x14ac:dyDescent="0.25">
      <c r="B170" t="s">
        <v>595</v>
      </c>
      <c r="C170" s="20">
        <v>1390098.0075515874</v>
      </c>
      <c r="D170" s="20">
        <v>1106518.30940482</v>
      </c>
      <c r="E170" s="20">
        <v>1529131.576298967</v>
      </c>
      <c r="F170" s="20">
        <v>1523338.5848831285</v>
      </c>
      <c r="G170" s="20">
        <v>1085264.785390873</v>
      </c>
    </row>
    <row r="171" spans="2:7" x14ac:dyDescent="0.25">
      <c r="B171" t="s">
        <v>259</v>
      </c>
      <c r="C171" s="20">
        <v>706896.555251071</v>
      </c>
      <c r="D171" s="20">
        <v>603360.38400817604</v>
      </c>
      <c r="E171" s="20">
        <v>280082.56980225071</v>
      </c>
      <c r="F171" s="20">
        <v>425892.28668999294</v>
      </c>
      <c r="G171" s="20">
        <v>299220.69357378973</v>
      </c>
    </row>
    <row r="172" spans="2:7" s="22" customFormat="1" x14ac:dyDescent="0.25">
      <c r="C172" s="20">
        <f>SUM(C169:C171)</f>
        <v>2153123</v>
      </c>
      <c r="D172" s="20">
        <f t="shared" ref="D172:G172" si="32">SUM(D169:D171)</f>
        <v>2240183</v>
      </c>
      <c r="E172" s="20">
        <f t="shared" si="32"/>
        <v>2056343</v>
      </c>
      <c r="F172" s="20">
        <f t="shared" si="32"/>
        <v>2140727.9999999995</v>
      </c>
      <c r="G172" s="20">
        <f t="shared" si="32"/>
        <v>1545413.9999999998</v>
      </c>
    </row>
    <row r="173" spans="2:7" x14ac:dyDescent="0.25">
      <c r="B173" s="22" t="s">
        <v>118</v>
      </c>
    </row>
    <row r="174" spans="2:7" x14ac:dyDescent="0.25">
      <c r="B174" s="22" t="s">
        <v>258</v>
      </c>
      <c r="C174" s="20">
        <f>SUM(C4:C6)</f>
        <v>1411232</v>
      </c>
      <c r="D174" s="20">
        <f>SUM(D4:D6)</f>
        <v>1233950.7193163834</v>
      </c>
      <c r="E174" s="20">
        <f>SUM(E4:E6)</f>
        <v>820015.43931051344</v>
      </c>
      <c r="F174" s="20">
        <f>SUM(F4:F6)</f>
        <v>968341.83837151481</v>
      </c>
      <c r="G174" s="20">
        <f>SUM(G4:G6)</f>
        <v>851253.9899381476</v>
      </c>
    </row>
    <row r="175" spans="2:7" x14ac:dyDescent="0.25">
      <c r="B175" s="22" t="s">
        <v>595</v>
      </c>
      <c r="C175" s="20">
        <f>SUM(C7:C9)</f>
        <v>1345707</v>
      </c>
      <c r="D175" s="20">
        <f>SUM(D7:D9)</f>
        <v>883344.21338910423</v>
      </c>
      <c r="E175" s="20">
        <f>SUM(E7:E9)</f>
        <v>1130595.5354392156</v>
      </c>
      <c r="F175" s="20">
        <f>SUM(F7:F9)</f>
        <v>978602.31208411651</v>
      </c>
      <c r="G175" s="20">
        <f>SUM(G7:G9)</f>
        <v>609384.37359381327</v>
      </c>
    </row>
    <row r="176" spans="2:7" x14ac:dyDescent="0.25">
      <c r="B176" s="22" t="s">
        <v>259</v>
      </c>
      <c r="C176" s="20">
        <f>SUM(C10:C12)</f>
        <v>167001</v>
      </c>
      <c r="D176" s="20">
        <f>SUM(D10:D12)</f>
        <v>122888.06729451289</v>
      </c>
      <c r="E176" s="20">
        <f>SUM(E10:E12)</f>
        <v>105732.02525027088</v>
      </c>
      <c r="F176" s="20">
        <f>SUM(F10:F12)</f>
        <v>193783.84954436909</v>
      </c>
      <c r="G176" s="20">
        <f>SUM(G10:G12)</f>
        <v>84775.636468039593</v>
      </c>
    </row>
    <row r="177" spans="2:7" x14ac:dyDescent="0.25">
      <c r="C177" s="20">
        <f>SUM(C174:C176)</f>
        <v>2923940</v>
      </c>
      <c r="D177" s="20">
        <f t="shared" ref="D177" si="33">SUM(D174:D176)</f>
        <v>2240183.0000000005</v>
      </c>
      <c r="E177" s="20">
        <f t="shared" ref="E177" si="34">SUM(E174:E176)</f>
        <v>2056343</v>
      </c>
      <c r="F177" s="20">
        <f t="shared" ref="F177" si="35">SUM(F174:F176)</f>
        <v>2140728.0000000005</v>
      </c>
      <c r="G177" s="20">
        <f t="shared" ref="G177" si="36">SUM(G174:G176)</f>
        <v>1545414.0000000005</v>
      </c>
    </row>
    <row r="179" spans="2:7" x14ac:dyDescent="0.25">
      <c r="B179" t="s">
        <v>596</v>
      </c>
      <c r="C179">
        <v>0.95</v>
      </c>
      <c r="D179" s="22">
        <v>0.95</v>
      </c>
      <c r="E179" s="22">
        <v>0.95</v>
      </c>
      <c r="F179" s="22">
        <v>0.95</v>
      </c>
      <c r="G179" s="22">
        <v>0.95</v>
      </c>
    </row>
    <row r="180" spans="2:7" x14ac:dyDescent="0.25">
      <c r="B180" t="s">
        <v>598</v>
      </c>
      <c r="C180">
        <v>0.36</v>
      </c>
      <c r="D180" s="22">
        <v>0.56999999999999995</v>
      </c>
      <c r="E180" s="22">
        <v>0.36</v>
      </c>
      <c r="F180" s="22">
        <v>0.47</v>
      </c>
      <c r="G180" s="22">
        <v>0.6</v>
      </c>
    </row>
    <row r="181" spans="2:7" x14ac:dyDescent="0.25">
      <c r="B181" t="s">
        <v>599</v>
      </c>
      <c r="C181">
        <v>0.11</v>
      </c>
      <c r="D181" s="22">
        <v>0.16</v>
      </c>
      <c r="E181" s="22">
        <v>0.12</v>
      </c>
      <c r="F181" s="22">
        <v>0.16</v>
      </c>
      <c r="G181" s="22">
        <v>0.16</v>
      </c>
    </row>
    <row r="182" spans="2:7" x14ac:dyDescent="0.25">
      <c r="C182" s="20">
        <f>C179*C$169+C180*C$170+C181*C$171</f>
        <v>631515.91913366364</v>
      </c>
      <c r="D182" s="20">
        <f t="shared" ref="D182:G182" si="37">D179*D$169+D180*D$170+D181*D$171</f>
        <v>1231042.1890597092</v>
      </c>
      <c r="E182" s="20">
        <f t="shared" si="37"/>
        <v>818869.68704774126</v>
      </c>
      <c r="F182" s="20">
        <f t="shared" si="37"/>
        <v>966034.17277100333</v>
      </c>
      <c r="G182" s="20">
        <f t="shared" si="37"/>
        <v>851916.2771899004</v>
      </c>
    </row>
    <row r="183" spans="2:7" x14ac:dyDescent="0.25">
      <c r="C183" s="3">
        <f>C182/C$174-1</f>
        <v>-0.55250737006129136</v>
      </c>
      <c r="D183" s="3">
        <f t="shared" ref="D183:G183" si="38">D182/D$174-1</f>
        <v>-2.357087857030038E-3</v>
      </c>
      <c r="E183" s="3">
        <f t="shared" si="38"/>
        <v>-1.3972325493475379E-3</v>
      </c>
      <c r="F183" s="3">
        <f t="shared" si="38"/>
        <v>-2.3831104978303541E-3</v>
      </c>
      <c r="G183" s="3">
        <f t="shared" si="38"/>
        <v>7.7801368285035366E-4</v>
      </c>
    </row>
    <row r="184" spans="2:7" x14ac:dyDescent="0.25">
      <c r="B184" t="s">
        <v>597</v>
      </c>
      <c r="C184">
        <v>0.05</v>
      </c>
      <c r="D184" s="22">
        <v>0.05</v>
      </c>
      <c r="E184" s="22">
        <v>0.05</v>
      </c>
      <c r="F184" s="22">
        <v>0.05</v>
      </c>
      <c r="G184" s="22">
        <v>0.05</v>
      </c>
    </row>
    <row r="185" spans="2:7" x14ac:dyDescent="0.25">
      <c r="B185" t="s">
        <v>600</v>
      </c>
      <c r="C185">
        <v>0.6</v>
      </c>
      <c r="D185">
        <v>0.4</v>
      </c>
      <c r="E185">
        <v>0.6</v>
      </c>
      <c r="F185">
        <v>0.48</v>
      </c>
      <c r="G185">
        <v>0.36</v>
      </c>
    </row>
    <row r="186" spans="2:7" x14ac:dyDescent="0.25">
      <c r="B186" t="s">
        <v>601</v>
      </c>
      <c r="C186">
        <v>0.55000000000000004</v>
      </c>
      <c r="D186">
        <v>0.69</v>
      </c>
      <c r="E186">
        <v>0.71</v>
      </c>
      <c r="F186">
        <v>0.56000000000000005</v>
      </c>
      <c r="G186">
        <v>0.7</v>
      </c>
    </row>
    <row r="187" spans="2:7" x14ac:dyDescent="0.25">
      <c r="C187" s="20">
        <f>C184*C$169+C185*C$170+C186*C$171</f>
        <v>1225658.3317789086</v>
      </c>
      <c r="D187" s="20">
        <f t="shared" ref="D187" si="39">D184*D$169+D185*D$170+D186*D$171</f>
        <v>885441.20405691967</v>
      </c>
      <c r="E187" s="20">
        <f t="shared" ref="E187" si="40">E184*E$169+E185*E$170+E186*E$171</f>
        <v>1128694.0130339172</v>
      </c>
      <c r="F187" s="20">
        <f t="shared" ref="F187" si="41">F184*F$169+F185*F$170+F186*F$171</f>
        <v>979277.05771164154</v>
      </c>
      <c r="G187" s="20">
        <f t="shared" ref="G187" si="42">G184*G$169+G185*G$170+G186*G$171</f>
        <v>608196.23429413384</v>
      </c>
    </row>
    <row r="188" spans="2:7" x14ac:dyDescent="0.25">
      <c r="C188" s="3">
        <f>C187/C175-1</f>
        <v>-8.9208622843673591E-2</v>
      </c>
      <c r="D188" s="3">
        <f t="shared" ref="D188:G188" si="43">D187/D175-1</f>
        <v>2.3739224597056907E-3</v>
      </c>
      <c r="E188" s="3">
        <f t="shared" si="43"/>
        <v>-1.681876803590665E-3</v>
      </c>
      <c r="F188" s="3">
        <f t="shared" si="43"/>
        <v>6.8949931876627346E-4</v>
      </c>
      <c r="G188" s="3">
        <f t="shared" si="43"/>
        <v>-1.9497370644285805E-3</v>
      </c>
    </row>
    <row r="189" spans="2:7" x14ac:dyDescent="0.25">
      <c r="B189" t="s">
        <v>602</v>
      </c>
      <c r="C189">
        <f>1-C179-C184</f>
        <v>0</v>
      </c>
      <c r="D189" s="22">
        <f t="shared" ref="D189:G189" si="44">1-D179-D184</f>
        <v>0</v>
      </c>
      <c r="E189" s="22">
        <f t="shared" si="44"/>
        <v>0</v>
      </c>
      <c r="F189" s="22">
        <f t="shared" si="44"/>
        <v>0</v>
      </c>
      <c r="G189" s="22">
        <f t="shared" si="44"/>
        <v>0</v>
      </c>
    </row>
    <row r="190" spans="2:7" x14ac:dyDescent="0.25">
      <c r="B190" t="s">
        <v>603</v>
      </c>
      <c r="C190" s="22">
        <f t="shared" ref="C190:G191" si="45">1-C180-C185</f>
        <v>4.0000000000000036E-2</v>
      </c>
      <c r="D190" s="22">
        <f t="shared" si="45"/>
        <v>3.0000000000000027E-2</v>
      </c>
      <c r="E190" s="22">
        <f t="shared" si="45"/>
        <v>4.0000000000000036E-2</v>
      </c>
      <c r="F190" s="22">
        <f t="shared" si="45"/>
        <v>5.0000000000000044E-2</v>
      </c>
      <c r="G190" s="22">
        <f t="shared" si="45"/>
        <v>4.0000000000000036E-2</v>
      </c>
    </row>
    <row r="191" spans="2:7" x14ac:dyDescent="0.25">
      <c r="B191" t="s">
        <v>604</v>
      </c>
      <c r="C191" s="22">
        <f t="shared" si="45"/>
        <v>0.33999999999999997</v>
      </c>
      <c r="D191" s="22">
        <f t="shared" si="45"/>
        <v>0.15000000000000002</v>
      </c>
      <c r="E191" s="22">
        <f t="shared" si="45"/>
        <v>0.17000000000000004</v>
      </c>
      <c r="F191" s="22">
        <f t="shared" si="45"/>
        <v>0.27999999999999992</v>
      </c>
      <c r="G191" s="22">
        <f t="shared" si="45"/>
        <v>0.14000000000000001</v>
      </c>
    </row>
    <row r="192" spans="2:7" x14ac:dyDescent="0.25">
      <c r="C192" s="20">
        <f>C189*C$169+C190*C$170+C191*C$171</f>
        <v>295948.74908742763</v>
      </c>
      <c r="D192" s="20">
        <f t="shared" ref="D192" si="46">D189*D$169+D190*D$170+D191*D$171</f>
        <v>123699.60688337105</v>
      </c>
      <c r="E192" s="20">
        <f t="shared" ref="E192" si="47">E189*E$169+E190*E$170+E191*E$171</f>
        <v>108779.29991834136</v>
      </c>
      <c r="F192" s="20">
        <f t="shared" ref="F192" si="48">F189*F$169+F190*F$170+F191*F$171</f>
        <v>195416.76951735449</v>
      </c>
      <c r="G192" s="20">
        <f t="shared" ref="G192" si="49">G189*G$169+G190*G$170+G191*G$171</f>
        <v>85301.488515965524</v>
      </c>
    </row>
    <row r="193" spans="1:7" x14ac:dyDescent="0.25">
      <c r="C193" s="3">
        <f>C192/C176-1</f>
        <v>0.77213758652599451</v>
      </c>
      <c r="D193" s="3">
        <f t="shared" ref="D193:G193" si="50">D192/D176-1</f>
        <v>6.6038925236997503E-3</v>
      </c>
      <c r="E193" s="3">
        <f t="shared" si="50"/>
        <v>2.8820734880065979E-2</v>
      </c>
      <c r="F193" s="3">
        <f t="shared" si="50"/>
        <v>8.4265018825087079E-3</v>
      </c>
      <c r="G193" s="3">
        <f t="shared" si="50"/>
        <v>6.2028675906689035E-3</v>
      </c>
    </row>
    <row r="195" spans="1:7" x14ac:dyDescent="0.25">
      <c r="A195" s="22" t="s">
        <v>596</v>
      </c>
      <c r="B195" s="232">
        <v>0.95</v>
      </c>
      <c r="C195" s="232">
        <v>0.95</v>
      </c>
      <c r="D195" s="232">
        <v>0.95</v>
      </c>
      <c r="E195" s="232">
        <v>0.95</v>
      </c>
      <c r="F195" s="232">
        <v>0.95</v>
      </c>
      <c r="G195" s="232">
        <v>0.95</v>
      </c>
    </row>
    <row r="196" spans="1:7" x14ac:dyDescent="0.25">
      <c r="A196" s="22" t="s">
        <v>597</v>
      </c>
      <c r="B196" s="232">
        <v>0.05</v>
      </c>
      <c r="C196" s="232">
        <v>0.05</v>
      </c>
      <c r="D196" s="232">
        <v>0.05</v>
      </c>
      <c r="E196" s="232">
        <v>0.05</v>
      </c>
      <c r="F196" s="232">
        <v>0.05</v>
      </c>
      <c r="G196" s="232">
        <v>0.05</v>
      </c>
    </row>
    <row r="197" spans="1:7" x14ac:dyDescent="0.25">
      <c r="A197" s="22" t="s">
        <v>602</v>
      </c>
      <c r="B197" s="232">
        <v>0</v>
      </c>
      <c r="C197" s="232">
        <v>0</v>
      </c>
      <c r="D197" s="232">
        <v>0</v>
      </c>
      <c r="E197" s="232">
        <v>0</v>
      </c>
      <c r="F197" s="232">
        <v>0</v>
      </c>
      <c r="G197" s="232">
        <v>0</v>
      </c>
    </row>
    <row r="198" spans="1:7" x14ac:dyDescent="0.25">
      <c r="A198" s="22" t="s">
        <v>598</v>
      </c>
      <c r="B198" s="232">
        <v>0.6</v>
      </c>
      <c r="C198" s="232">
        <v>0.36</v>
      </c>
      <c r="D198" s="232">
        <v>0.56999999999999995</v>
      </c>
      <c r="E198" s="232">
        <v>0.36</v>
      </c>
      <c r="F198" s="232">
        <v>0.47</v>
      </c>
      <c r="G198" s="232">
        <v>0.6</v>
      </c>
    </row>
    <row r="199" spans="1:7" x14ac:dyDescent="0.25">
      <c r="A199" s="22" t="s">
        <v>600</v>
      </c>
      <c r="B199" s="232">
        <v>0.36</v>
      </c>
      <c r="C199" s="232">
        <v>0.6</v>
      </c>
      <c r="D199" s="232">
        <v>0.4</v>
      </c>
      <c r="E199" s="232">
        <v>0.6</v>
      </c>
      <c r="F199" s="232">
        <v>0.48</v>
      </c>
      <c r="G199" s="232">
        <v>0.36</v>
      </c>
    </row>
    <row r="200" spans="1:7" x14ac:dyDescent="0.25">
      <c r="A200" t="s">
        <v>605</v>
      </c>
      <c r="B200" s="232">
        <v>4.0000000000000036E-2</v>
      </c>
      <c r="C200" s="232">
        <v>4.0000000000000036E-2</v>
      </c>
      <c r="D200" s="232">
        <v>3.0000000000000027E-2</v>
      </c>
      <c r="E200" s="232">
        <v>4.0000000000000036E-2</v>
      </c>
      <c r="F200" s="232">
        <v>5.0000000000000044E-2</v>
      </c>
      <c r="G200" s="232">
        <v>4.0000000000000036E-2</v>
      </c>
    </row>
    <row r="201" spans="1:7" x14ac:dyDescent="0.25">
      <c r="A201" s="22" t="s">
        <v>599</v>
      </c>
      <c r="B201" s="232">
        <v>0.16</v>
      </c>
      <c r="C201" s="232">
        <v>0.11</v>
      </c>
      <c r="D201" s="232">
        <v>0.16</v>
      </c>
      <c r="E201" s="232">
        <v>0.12</v>
      </c>
      <c r="F201" s="232">
        <v>0.16</v>
      </c>
      <c r="G201" s="232">
        <v>0.16</v>
      </c>
    </row>
    <row r="202" spans="1:7" x14ac:dyDescent="0.25">
      <c r="A202" s="22" t="s">
        <v>601</v>
      </c>
      <c r="B202" s="232">
        <v>0.7</v>
      </c>
      <c r="C202" s="232">
        <v>0.55000000000000004</v>
      </c>
      <c r="D202" s="232">
        <v>0.69</v>
      </c>
      <c r="E202" s="232">
        <v>0.71</v>
      </c>
      <c r="F202" s="232">
        <v>0.56000000000000005</v>
      </c>
      <c r="G202" s="232">
        <v>0.7</v>
      </c>
    </row>
    <row r="203" spans="1:7" x14ac:dyDescent="0.25">
      <c r="A203" t="s">
        <v>604</v>
      </c>
      <c r="B203" s="232">
        <v>0.14000000000000001</v>
      </c>
      <c r="C203" s="232">
        <v>0.33999999999999997</v>
      </c>
      <c r="D203" s="232">
        <v>0.15000000000000002</v>
      </c>
      <c r="E203" s="232">
        <v>0.17000000000000004</v>
      </c>
      <c r="F203" s="232">
        <v>0.27999999999999992</v>
      </c>
      <c r="G203" s="232">
        <v>0.14000000000000001</v>
      </c>
    </row>
  </sheetData>
  <hyperlinks>
    <hyperlink ref="A1" location="'Main Menu'!A1" display="Return to Main Menu"/>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I103"/>
  <sheetViews>
    <sheetView showGridLines="0" zoomScale="90" zoomScaleNormal="90" workbookViewId="0">
      <selection activeCell="J23" sqref="J23"/>
    </sheetView>
  </sheetViews>
  <sheetFormatPr defaultRowHeight="15" x14ac:dyDescent="0.25"/>
  <cols>
    <col min="1" max="1" width="38.140625" style="277" customWidth="1"/>
    <col min="2" max="2" width="13" style="277" customWidth="1"/>
    <col min="3" max="3" width="13.140625" style="277" customWidth="1"/>
    <col min="4" max="5" width="9.140625" style="277"/>
    <col min="6" max="6" width="12.140625" style="277" customWidth="1"/>
    <col min="7" max="7" width="9.140625" style="277"/>
    <col min="8" max="9" width="9.140625" style="257"/>
    <col min="10" max="10" width="10.28515625" style="257" customWidth="1"/>
    <col min="11" max="12" width="9.140625" style="257"/>
    <col min="13" max="13" width="10.85546875" style="257" customWidth="1"/>
    <col min="14" max="14" width="10.5703125" style="257" customWidth="1"/>
    <col min="15" max="15" width="11.28515625" style="257" customWidth="1"/>
    <col min="16" max="35" width="9.140625" style="257"/>
    <col min="36" max="16384" width="9.140625" style="277"/>
  </cols>
  <sheetData>
    <row r="1" spans="1:35" ht="34.5" customHeight="1" x14ac:dyDescent="0.25">
      <c r="A1" s="324" t="s">
        <v>34</v>
      </c>
      <c r="C1" s="257"/>
      <c r="D1" s="257"/>
      <c r="E1" s="257"/>
      <c r="F1" s="257"/>
      <c r="G1" s="257"/>
    </row>
    <row r="2" spans="1:35" x14ac:dyDescent="0.25">
      <c r="B2" s="257"/>
      <c r="C2" s="257"/>
      <c r="D2" s="257"/>
      <c r="E2" s="257"/>
      <c r="F2" s="257"/>
      <c r="G2" s="257"/>
    </row>
    <row r="3" spans="1:35" s="337" customFormat="1" x14ac:dyDescent="0.25">
      <c r="A3" s="364" t="s">
        <v>653</v>
      </c>
      <c r="B3" s="403" t="s">
        <v>219</v>
      </c>
      <c r="C3" s="365" t="s">
        <v>37</v>
      </c>
      <c r="D3" s="365" t="s">
        <v>38</v>
      </c>
      <c r="E3" s="365" t="s">
        <v>39</v>
      </c>
      <c r="F3" s="365" t="s">
        <v>40</v>
      </c>
      <c r="G3" s="365" t="s">
        <v>41</v>
      </c>
      <c r="H3" s="344" t="s">
        <v>656</v>
      </c>
      <c r="I3" s="344"/>
      <c r="J3" s="344"/>
      <c r="K3" s="344"/>
      <c r="L3" s="344"/>
      <c r="M3" s="344"/>
      <c r="N3" s="344"/>
      <c r="O3" s="344"/>
      <c r="P3" s="344"/>
      <c r="Q3" s="344"/>
      <c r="R3" s="344"/>
      <c r="S3" s="344"/>
      <c r="T3" s="344"/>
      <c r="U3" s="344"/>
      <c r="V3" s="344"/>
      <c r="W3" s="344"/>
      <c r="X3" s="344"/>
      <c r="Y3" s="344"/>
      <c r="Z3" s="344"/>
      <c r="AA3" s="344"/>
      <c r="AB3" s="344"/>
      <c r="AC3" s="344"/>
      <c r="AD3" s="344"/>
      <c r="AE3" s="344"/>
      <c r="AF3" s="344"/>
      <c r="AG3" s="344"/>
      <c r="AH3" s="344"/>
      <c r="AI3" s="344"/>
    </row>
    <row r="4" spans="1:35" x14ac:dyDescent="0.25">
      <c r="A4" s="366" t="s">
        <v>478</v>
      </c>
      <c r="B4" s="408">
        <v>209</v>
      </c>
      <c r="C4" s="268">
        <v>209</v>
      </c>
      <c r="D4" s="268">
        <v>48.688080781107296</v>
      </c>
      <c r="E4" s="268">
        <v>32.355407169764575</v>
      </c>
      <c r="F4" s="268">
        <v>38.207932385239694</v>
      </c>
      <c r="G4" s="268">
        <v>33.587988870665548</v>
      </c>
      <c r="H4" s="257">
        <v>456</v>
      </c>
    </row>
    <row r="5" spans="1:35" x14ac:dyDescent="0.25">
      <c r="A5" s="366" t="s">
        <v>327</v>
      </c>
      <c r="B5" s="408">
        <v>684</v>
      </c>
      <c r="C5" s="268">
        <v>684</v>
      </c>
      <c r="D5" s="268">
        <v>74.437916092745638</v>
      </c>
      <c r="E5" s="268">
        <v>36.403452134986225</v>
      </c>
      <c r="F5" s="268">
        <v>29.135280360422406</v>
      </c>
      <c r="G5" s="268">
        <v>27.600041609274562</v>
      </c>
    </row>
    <row r="6" spans="1:35" x14ac:dyDescent="0.25">
      <c r="A6" s="366" t="s">
        <v>213</v>
      </c>
      <c r="B6" s="408">
        <v>68</v>
      </c>
      <c r="C6" s="268">
        <v>68</v>
      </c>
      <c r="D6" s="268">
        <v>2</v>
      </c>
      <c r="E6" s="268">
        <v>25</v>
      </c>
      <c r="F6" s="268">
        <v>3</v>
      </c>
      <c r="G6" s="268">
        <v>2</v>
      </c>
    </row>
    <row r="7" spans="1:35" x14ac:dyDescent="0.25">
      <c r="A7" s="366" t="s">
        <v>216</v>
      </c>
      <c r="B7" s="408">
        <v>187</v>
      </c>
      <c r="C7" s="268">
        <v>187</v>
      </c>
      <c r="D7" s="268">
        <v>1</v>
      </c>
      <c r="E7" s="268">
        <v>7</v>
      </c>
      <c r="F7" s="268">
        <v>1</v>
      </c>
      <c r="G7" s="269">
        <v>1</v>
      </c>
    </row>
    <row r="8" spans="1:35" x14ac:dyDescent="0.25">
      <c r="A8" s="366" t="s">
        <v>479</v>
      </c>
      <c r="B8" s="408">
        <v>731</v>
      </c>
      <c r="C8" s="268">
        <v>731</v>
      </c>
      <c r="D8" s="268">
        <v>63.371227429773896</v>
      </c>
      <c r="E8" s="268">
        <v>81.109069059861085</v>
      </c>
      <c r="F8" s="268">
        <v>70.205055676374286</v>
      </c>
      <c r="G8" s="268">
        <v>43.717313303045607</v>
      </c>
      <c r="H8" s="257">
        <v>23</v>
      </c>
    </row>
    <row r="9" spans="1:35" x14ac:dyDescent="0.25">
      <c r="A9" s="366" t="s">
        <v>328</v>
      </c>
      <c r="B9" s="408">
        <v>3009</v>
      </c>
      <c r="C9" s="268">
        <v>3009</v>
      </c>
      <c r="D9" s="268">
        <v>302.9033230027548</v>
      </c>
      <c r="E9" s="268">
        <v>460.3348829201102</v>
      </c>
      <c r="F9" s="268">
        <v>421.38788452708906</v>
      </c>
      <c r="G9" s="268">
        <v>299.45872073002755</v>
      </c>
    </row>
    <row r="10" spans="1:35" x14ac:dyDescent="0.25">
      <c r="A10" s="366" t="s">
        <v>214</v>
      </c>
      <c r="B10" s="408">
        <v>2124</v>
      </c>
      <c r="C10" s="268">
        <v>2124</v>
      </c>
      <c r="D10" s="268">
        <v>200</v>
      </c>
      <c r="E10" s="268">
        <v>321</v>
      </c>
      <c r="F10" s="268">
        <v>458</v>
      </c>
      <c r="G10" s="268">
        <v>212</v>
      </c>
    </row>
    <row r="11" spans="1:35" x14ac:dyDescent="0.25">
      <c r="A11" s="366" t="s">
        <v>217</v>
      </c>
      <c r="B11" s="408">
        <v>1114</v>
      </c>
      <c r="C11" s="268">
        <v>1114</v>
      </c>
      <c r="D11" s="268">
        <v>100</v>
      </c>
      <c r="E11" s="268">
        <v>200</v>
      </c>
      <c r="F11" s="268">
        <v>200</v>
      </c>
      <c r="G11" s="269">
        <v>200</v>
      </c>
    </row>
    <row r="12" spans="1:35" x14ac:dyDescent="0.25">
      <c r="A12" s="366" t="s">
        <v>480</v>
      </c>
      <c r="B12" s="408">
        <v>482</v>
      </c>
      <c r="C12" s="268">
        <v>482</v>
      </c>
      <c r="D12" s="268">
        <v>13.224008618985977</v>
      </c>
      <c r="E12" s="268">
        <v>11.377843626277429</v>
      </c>
      <c r="F12" s="268">
        <v>20.853117418255973</v>
      </c>
      <c r="G12" s="268">
        <v>9.1227225882446188</v>
      </c>
      <c r="H12" s="257">
        <v>17</v>
      </c>
    </row>
    <row r="13" spans="1:35" x14ac:dyDescent="0.25">
      <c r="A13" s="366" t="s">
        <v>329</v>
      </c>
      <c r="B13" s="408">
        <v>1180</v>
      </c>
      <c r="C13" s="268">
        <v>1180</v>
      </c>
      <c r="D13" s="268">
        <v>301.78919880624426</v>
      </c>
      <c r="E13" s="268">
        <v>151.73180670339761</v>
      </c>
      <c r="F13" s="268">
        <v>230.31522612488521</v>
      </c>
      <c r="G13" s="268">
        <v>149.48203627180899</v>
      </c>
    </row>
    <row r="14" spans="1:35" x14ac:dyDescent="0.25">
      <c r="A14" s="366" t="s">
        <v>215</v>
      </c>
      <c r="B14" s="408">
        <v>3906</v>
      </c>
      <c r="C14" s="268">
        <v>3906</v>
      </c>
      <c r="D14" s="268">
        <v>1475</v>
      </c>
      <c r="E14" s="268">
        <v>1288</v>
      </c>
      <c r="F14" s="268">
        <v>4589</v>
      </c>
      <c r="G14" s="268">
        <v>2331</v>
      </c>
    </row>
    <row r="15" spans="1:35" x14ac:dyDescent="0.25">
      <c r="A15" s="366" t="s">
        <v>218</v>
      </c>
      <c r="B15" s="408">
        <v>938</v>
      </c>
      <c r="C15" s="268">
        <v>938</v>
      </c>
      <c r="D15" s="268">
        <v>1500</v>
      </c>
      <c r="E15" s="268">
        <v>1500</v>
      </c>
      <c r="F15" s="268">
        <v>4000</v>
      </c>
      <c r="G15" s="269">
        <v>3000</v>
      </c>
    </row>
    <row r="16" spans="1:35" x14ac:dyDescent="0.25">
      <c r="A16" s="367"/>
      <c r="B16" s="409">
        <v>14632</v>
      </c>
      <c r="C16" s="257">
        <v>3741</v>
      </c>
      <c r="D16" s="257"/>
      <c r="E16" s="257"/>
      <c r="F16" s="257"/>
      <c r="G16" s="257"/>
    </row>
    <row r="17" spans="1:35" x14ac:dyDescent="0.25">
      <c r="A17" s="368" t="s">
        <v>491</v>
      </c>
      <c r="B17" s="330"/>
      <c r="C17" s="257"/>
      <c r="D17" s="257"/>
      <c r="E17" s="257"/>
      <c r="F17" s="257"/>
      <c r="G17" s="257"/>
    </row>
    <row r="18" spans="1:35" x14ac:dyDescent="0.25">
      <c r="A18" s="369" t="s">
        <v>440</v>
      </c>
      <c r="B18" s="271">
        <v>10</v>
      </c>
      <c r="C18" s="257"/>
      <c r="D18" s="257"/>
      <c r="G18" s="257"/>
    </row>
    <row r="19" spans="1:35" x14ac:dyDescent="0.25">
      <c r="A19" s="370" t="s">
        <v>441</v>
      </c>
      <c r="B19" s="272">
        <v>10</v>
      </c>
      <c r="C19" s="257"/>
      <c r="D19" s="257"/>
      <c r="G19" s="257"/>
    </row>
    <row r="20" spans="1:35" x14ac:dyDescent="0.25">
      <c r="A20" s="370" t="s">
        <v>442</v>
      </c>
      <c r="B20" s="272">
        <v>20</v>
      </c>
      <c r="C20" s="257"/>
      <c r="D20" s="257"/>
      <c r="G20" s="257"/>
    </row>
    <row r="21" spans="1:35" x14ac:dyDescent="0.25">
      <c r="A21" s="370" t="s">
        <v>443</v>
      </c>
      <c r="B21" s="272">
        <v>20</v>
      </c>
      <c r="C21" s="257"/>
      <c r="D21" s="257"/>
      <c r="G21" s="257"/>
    </row>
    <row r="22" spans="1:35" x14ac:dyDescent="0.25">
      <c r="A22" s="371" t="s">
        <v>444</v>
      </c>
      <c r="B22" s="273">
        <v>30</v>
      </c>
      <c r="C22" s="257"/>
      <c r="D22" s="257"/>
      <c r="G22" s="257"/>
    </row>
    <row r="23" spans="1:35" x14ac:dyDescent="0.25">
      <c r="A23" s="372"/>
      <c r="C23" s="257"/>
      <c r="D23" s="257"/>
      <c r="E23" s="257"/>
      <c r="F23" s="257"/>
      <c r="G23" s="257"/>
    </row>
    <row r="24" spans="1:35" s="337" customFormat="1" x14ac:dyDescent="0.25">
      <c r="A24" s="373" t="s">
        <v>290</v>
      </c>
      <c r="B24" s="334"/>
      <c r="C24" s="334"/>
      <c r="D24" s="334"/>
      <c r="E24" s="334"/>
      <c r="F24" s="344"/>
      <c r="G24" s="344"/>
      <c r="H24" s="344"/>
      <c r="I24" s="344"/>
      <c r="J24" s="344"/>
      <c r="K24" s="344"/>
      <c r="L24" s="344"/>
      <c r="M24" s="344"/>
      <c r="N24" s="344"/>
      <c r="O24" s="344"/>
      <c r="P24" s="344"/>
      <c r="Q24" s="344"/>
      <c r="R24" s="344"/>
      <c r="S24" s="344"/>
      <c r="T24" s="344"/>
      <c r="U24" s="344"/>
      <c r="V24" s="344"/>
      <c r="W24" s="344"/>
      <c r="X24" s="344"/>
      <c r="Y24" s="344"/>
      <c r="Z24" s="344"/>
      <c r="AA24" s="344"/>
      <c r="AB24" s="344"/>
      <c r="AC24" s="344"/>
      <c r="AD24" s="344"/>
      <c r="AE24" s="344"/>
      <c r="AF24" s="344"/>
      <c r="AG24" s="344"/>
      <c r="AH24" s="344"/>
      <c r="AI24" s="344"/>
    </row>
    <row r="25" spans="1:35" s="346" customFormat="1" ht="33" customHeight="1" x14ac:dyDescent="0.25">
      <c r="A25" s="374" t="s">
        <v>285</v>
      </c>
      <c r="B25" s="375" t="s">
        <v>286</v>
      </c>
      <c r="C25" s="375" t="s">
        <v>287</v>
      </c>
      <c r="D25" s="375" t="s">
        <v>288</v>
      </c>
      <c r="E25" s="375" t="s">
        <v>289</v>
      </c>
      <c r="F25" s="345"/>
      <c r="G25" s="345"/>
      <c r="H25" s="345"/>
      <c r="I25" s="345"/>
      <c r="J25" s="345"/>
      <c r="K25" s="345"/>
      <c r="L25" s="345"/>
      <c r="M25" s="345"/>
      <c r="N25" s="345"/>
      <c r="O25" s="345"/>
      <c r="P25" s="345"/>
      <c r="Q25" s="345"/>
      <c r="R25" s="345"/>
      <c r="S25" s="345"/>
      <c r="T25" s="345"/>
      <c r="U25" s="345"/>
      <c r="V25" s="345"/>
      <c r="W25" s="345"/>
      <c r="X25" s="345"/>
      <c r="Y25" s="345"/>
      <c r="Z25" s="345"/>
      <c r="AA25" s="345"/>
      <c r="AB25" s="345"/>
      <c r="AC25" s="345"/>
      <c r="AD25" s="345"/>
      <c r="AE25" s="345"/>
      <c r="AF25" s="345"/>
      <c r="AG25" s="345"/>
      <c r="AH25" s="345"/>
      <c r="AI25" s="345"/>
    </row>
    <row r="26" spans="1:35" x14ac:dyDescent="0.25">
      <c r="A26" s="366" t="s">
        <v>119</v>
      </c>
      <c r="B26" s="274">
        <v>3000</v>
      </c>
      <c r="C26" s="274">
        <v>4000</v>
      </c>
      <c r="D26" s="274">
        <v>5000</v>
      </c>
      <c r="E26" s="274">
        <v>6000</v>
      </c>
      <c r="F26" s="257"/>
      <c r="G26" s="257"/>
    </row>
    <row r="27" spans="1:35" x14ac:dyDescent="0.25">
      <c r="A27" s="366" t="s">
        <v>120</v>
      </c>
      <c r="B27" s="274">
        <v>6000</v>
      </c>
      <c r="C27" s="274">
        <v>8000</v>
      </c>
      <c r="D27" s="274">
        <v>10000</v>
      </c>
      <c r="E27" s="274">
        <v>12000</v>
      </c>
      <c r="F27" s="257"/>
      <c r="G27" s="257"/>
    </row>
    <row r="28" spans="1:35" x14ac:dyDescent="0.25">
      <c r="A28" s="366" t="s">
        <v>121</v>
      </c>
      <c r="B28" s="274">
        <v>10000</v>
      </c>
      <c r="C28" s="274">
        <v>15000</v>
      </c>
      <c r="D28" s="274">
        <v>20000</v>
      </c>
      <c r="E28" s="274">
        <v>24000</v>
      </c>
      <c r="F28" s="257"/>
      <c r="G28" s="257"/>
    </row>
    <row r="29" spans="1:35" x14ac:dyDescent="0.25">
      <c r="A29" s="367"/>
      <c r="B29" s="257"/>
      <c r="C29" s="257"/>
      <c r="D29" s="257"/>
      <c r="E29" s="257"/>
      <c r="F29" s="257"/>
      <c r="G29" s="257"/>
    </row>
    <row r="30" spans="1:35" x14ac:dyDescent="0.25">
      <c r="A30" s="373" t="s">
        <v>476</v>
      </c>
      <c r="B30" s="334"/>
      <c r="C30" s="334"/>
      <c r="D30" s="334"/>
      <c r="E30" s="257"/>
      <c r="F30" s="257"/>
      <c r="G30" s="257"/>
    </row>
    <row r="31" spans="1:35" s="337" customFormat="1" x14ac:dyDescent="0.25">
      <c r="A31" s="374" t="s">
        <v>291</v>
      </c>
      <c r="B31" s="375" t="s">
        <v>87</v>
      </c>
      <c r="C31" s="375" t="s">
        <v>292</v>
      </c>
      <c r="D31" s="375" t="s">
        <v>88</v>
      </c>
      <c r="E31" s="344"/>
      <c r="F31" s="344"/>
      <c r="G31" s="344"/>
      <c r="H31" s="344"/>
      <c r="I31" s="344"/>
      <c r="J31" s="344"/>
      <c r="K31" s="344"/>
      <c r="L31" s="344"/>
      <c r="M31" s="344"/>
      <c r="N31" s="344"/>
      <c r="O31" s="344"/>
      <c r="P31" s="344"/>
      <c r="Q31" s="344"/>
      <c r="R31" s="344"/>
      <c r="S31" s="344"/>
      <c r="T31" s="344"/>
      <c r="U31" s="344"/>
      <c r="V31" s="344"/>
      <c r="W31" s="344"/>
      <c r="X31" s="344"/>
      <c r="Y31" s="344"/>
      <c r="Z31" s="344"/>
      <c r="AA31" s="344"/>
      <c r="AB31" s="344"/>
      <c r="AC31" s="344"/>
      <c r="AD31" s="344"/>
      <c r="AE31" s="344"/>
      <c r="AF31" s="344"/>
      <c r="AG31" s="344"/>
      <c r="AH31" s="344"/>
      <c r="AI31" s="344"/>
    </row>
    <row r="32" spans="1:35" x14ac:dyDescent="0.25">
      <c r="A32" s="366" t="s">
        <v>119</v>
      </c>
      <c r="B32" s="274">
        <v>500</v>
      </c>
      <c r="C32" s="274">
        <v>750</v>
      </c>
      <c r="D32" s="274">
        <v>1000</v>
      </c>
      <c r="E32" s="257"/>
      <c r="F32" s="257"/>
      <c r="G32" s="257"/>
    </row>
    <row r="33" spans="1:16" x14ac:dyDescent="0.25">
      <c r="A33" s="366" t="s">
        <v>120</v>
      </c>
      <c r="B33" s="274">
        <v>1000</v>
      </c>
      <c r="C33" s="274">
        <v>1500</v>
      </c>
      <c r="D33" s="274">
        <v>2000</v>
      </c>
      <c r="E33" s="257"/>
      <c r="F33" s="257"/>
      <c r="G33" s="257"/>
    </row>
    <row r="34" spans="1:16" x14ac:dyDescent="0.25">
      <c r="A34" s="366" t="s">
        <v>121</v>
      </c>
      <c r="B34" s="274">
        <v>1000</v>
      </c>
      <c r="C34" s="274">
        <v>1500</v>
      </c>
      <c r="D34" s="274">
        <v>2000</v>
      </c>
      <c r="E34" s="257"/>
      <c r="F34" s="257"/>
      <c r="G34" s="257"/>
    </row>
    <row r="35" spans="1:16" x14ac:dyDescent="0.25">
      <c r="A35" s="367"/>
      <c r="B35" s="257"/>
      <c r="C35" s="257"/>
      <c r="D35" s="257"/>
      <c r="E35" s="257"/>
      <c r="F35" s="257"/>
      <c r="G35" s="257"/>
    </row>
    <row r="36" spans="1:16" ht="21" customHeight="1" x14ac:dyDescent="0.25">
      <c r="A36" s="373" t="s">
        <v>325</v>
      </c>
      <c r="B36" s="334"/>
      <c r="C36" s="334"/>
      <c r="D36" s="344"/>
      <c r="E36" s="257"/>
      <c r="F36" s="257"/>
      <c r="G36" s="257"/>
    </row>
    <row r="37" spans="1:16" ht="30" x14ac:dyDescent="0.25">
      <c r="A37" s="374" t="s">
        <v>336</v>
      </c>
      <c r="B37" s="340" t="s">
        <v>477</v>
      </c>
      <c r="C37" s="340" t="s">
        <v>326</v>
      </c>
      <c r="D37" s="257"/>
      <c r="E37" s="257"/>
      <c r="F37" s="257"/>
      <c r="G37" s="257"/>
    </row>
    <row r="38" spans="1:16" x14ac:dyDescent="0.25">
      <c r="A38" s="366" t="s">
        <v>119</v>
      </c>
      <c r="B38" s="274">
        <v>0.75</v>
      </c>
      <c r="C38" s="274">
        <v>0.75</v>
      </c>
      <c r="D38" s="257"/>
      <c r="E38" s="257"/>
      <c r="F38" s="257"/>
      <c r="G38" s="257"/>
    </row>
    <row r="39" spans="1:16" x14ac:dyDescent="0.25">
      <c r="A39" s="366" t="s">
        <v>120</v>
      </c>
      <c r="B39" s="270">
        <v>0.5</v>
      </c>
      <c r="C39" s="270">
        <v>0.9</v>
      </c>
      <c r="D39" s="257"/>
      <c r="E39" s="257"/>
      <c r="F39" s="257"/>
      <c r="G39" s="257"/>
    </row>
    <row r="40" spans="1:16" x14ac:dyDescent="0.25">
      <c r="A40" s="366" t="s">
        <v>121</v>
      </c>
      <c r="B40" s="274">
        <v>0.25</v>
      </c>
      <c r="C40" s="274">
        <v>0.95</v>
      </c>
      <c r="D40" s="257"/>
      <c r="E40" s="257"/>
      <c r="F40" s="257"/>
      <c r="G40" s="257"/>
    </row>
    <row r="41" spans="1:16" s="257" customFormat="1" x14ac:dyDescent="0.25"/>
    <row r="42" spans="1:16" s="257" customFormat="1" x14ac:dyDescent="0.25"/>
    <row r="43" spans="1:16" s="257" customFormat="1" x14ac:dyDescent="0.25"/>
    <row r="44" spans="1:16" s="257" customFormat="1" x14ac:dyDescent="0.25"/>
    <row r="45" spans="1:16" s="257" customFormat="1" ht="15.75" thickBot="1" x14ac:dyDescent="0.3">
      <c r="F45" s="517" t="s">
        <v>114</v>
      </c>
      <c r="G45" s="518"/>
      <c r="H45" s="518"/>
      <c r="I45" s="518"/>
      <c r="J45" s="518"/>
      <c r="K45" s="518"/>
      <c r="L45" s="518"/>
      <c r="M45" s="518"/>
      <c r="N45" s="518"/>
      <c r="O45" s="518"/>
      <c r="P45" s="347"/>
    </row>
    <row r="46" spans="1:16" s="257" customFormat="1" ht="15.75" thickBot="1" x14ac:dyDescent="0.3">
      <c r="F46" s="348"/>
      <c r="G46" s="349"/>
      <c r="H46" s="519" t="s">
        <v>112</v>
      </c>
      <c r="I46" s="521" t="s">
        <v>115</v>
      </c>
      <c r="J46" s="522"/>
      <c r="K46" s="522"/>
      <c r="L46" s="522"/>
      <c r="M46" s="522"/>
      <c r="N46" s="522"/>
      <c r="O46" s="523"/>
      <c r="P46" s="347"/>
    </row>
    <row r="47" spans="1:16" s="257" customFormat="1" ht="15.75" thickBot="1" x14ac:dyDescent="0.3">
      <c r="F47" s="350"/>
      <c r="G47" s="351"/>
      <c r="H47" s="520"/>
      <c r="I47" s="352">
        <v>5</v>
      </c>
      <c r="J47" s="353">
        <v>10</v>
      </c>
      <c r="K47" s="353">
        <v>25</v>
      </c>
      <c r="L47" s="353">
        <v>50</v>
      </c>
      <c r="M47" s="353">
        <v>75</v>
      </c>
      <c r="N47" s="353">
        <v>90</v>
      </c>
      <c r="O47" s="354">
        <v>95</v>
      </c>
      <c r="P47" s="347"/>
    </row>
    <row r="48" spans="1:16" s="257" customFormat="1" x14ac:dyDescent="0.25">
      <c r="F48" s="524" t="s">
        <v>116</v>
      </c>
      <c r="G48" s="515" t="s">
        <v>117</v>
      </c>
      <c r="H48" s="355" t="s">
        <v>113</v>
      </c>
      <c r="I48" s="356">
        <v>3250</v>
      </c>
      <c r="J48" s="357">
        <v>4399</v>
      </c>
      <c r="K48" s="357">
        <v>6480</v>
      </c>
      <c r="L48" s="357">
        <v>9165</v>
      </c>
      <c r="M48" s="357">
        <v>15900</v>
      </c>
      <c r="N48" s="357">
        <v>49658</v>
      </c>
      <c r="O48" s="358">
        <v>110207</v>
      </c>
      <c r="P48" s="347"/>
    </row>
    <row r="49" spans="6:16" s="257" customFormat="1" x14ac:dyDescent="0.25">
      <c r="F49" s="525"/>
      <c r="G49" s="516"/>
      <c r="H49" s="359" t="s">
        <v>118</v>
      </c>
      <c r="I49" s="360">
        <v>169.39803921568628</v>
      </c>
      <c r="J49" s="361">
        <v>314.59211469534051</v>
      </c>
      <c r="K49" s="361">
        <v>776.66666666666663</v>
      </c>
      <c r="L49" s="361">
        <v>1960.25</v>
      </c>
      <c r="M49" s="361">
        <v>5133.9038461538457</v>
      </c>
      <c r="N49" s="361">
        <v>14727.909523809532</v>
      </c>
      <c r="O49" s="362">
        <v>36202.333333333219</v>
      </c>
      <c r="P49" s="347"/>
    </row>
    <row r="50" spans="6:16" s="257" customFormat="1" ht="15.75" customHeight="1" x14ac:dyDescent="0.25">
      <c r="F50" s="347"/>
    </row>
    <row r="51" spans="6:16" s="257" customFormat="1" x14ac:dyDescent="0.25">
      <c r="F51" s="347"/>
    </row>
    <row r="52" spans="6:16" s="257" customFormat="1" x14ac:dyDescent="0.25">
      <c r="F52" s="347"/>
      <c r="G52" s="347"/>
      <c r="H52" s="347"/>
      <c r="I52" s="347"/>
      <c r="J52" s="347"/>
      <c r="K52" s="347"/>
      <c r="L52" s="347"/>
      <c r="M52" s="347"/>
      <c r="N52" s="347"/>
      <c r="O52" s="347"/>
      <c r="P52" s="347"/>
    </row>
    <row r="53" spans="6:16" s="257" customFormat="1" x14ac:dyDescent="0.25"/>
    <row r="54" spans="6:16" s="257" customFormat="1" x14ac:dyDescent="0.25"/>
    <row r="55" spans="6:16" s="257" customFormat="1" x14ac:dyDescent="0.25"/>
    <row r="56" spans="6:16" s="257" customFormat="1" x14ac:dyDescent="0.25">
      <c r="G56" s="257" t="s">
        <v>122</v>
      </c>
      <c r="H56" s="257" t="s">
        <v>123</v>
      </c>
    </row>
    <row r="57" spans="6:16" s="257" customFormat="1" x14ac:dyDescent="0.25">
      <c r="F57" s="257" t="s">
        <v>119</v>
      </c>
      <c r="G57" s="257">
        <v>5000</v>
      </c>
      <c r="H57" s="257">
        <v>1100</v>
      </c>
      <c r="K57" s="363"/>
      <c r="M57" s="363"/>
      <c r="N57" s="363"/>
    </row>
    <row r="58" spans="6:16" s="257" customFormat="1" x14ac:dyDescent="0.25">
      <c r="F58" s="257" t="s">
        <v>120</v>
      </c>
      <c r="G58" s="257">
        <v>10000</v>
      </c>
      <c r="H58" s="257">
        <v>2000</v>
      </c>
      <c r="K58" s="363"/>
      <c r="M58" s="363"/>
      <c r="N58" s="363"/>
    </row>
    <row r="59" spans="6:16" s="257" customFormat="1" x14ac:dyDescent="0.25">
      <c r="F59" s="257" t="s">
        <v>121</v>
      </c>
      <c r="G59" s="257">
        <v>20000</v>
      </c>
      <c r="H59" s="257">
        <v>3000</v>
      </c>
      <c r="K59" s="363"/>
      <c r="M59" s="363"/>
      <c r="N59" s="363"/>
    </row>
    <row r="60" spans="6:16" s="257" customFormat="1" x14ac:dyDescent="0.25"/>
    <row r="61" spans="6:16" s="257" customFormat="1" x14ac:dyDescent="0.25"/>
    <row r="62" spans="6:16" s="257" customFormat="1" x14ac:dyDescent="0.25"/>
    <row r="63" spans="6:16" s="257" customFormat="1" x14ac:dyDescent="0.25">
      <c r="G63" s="257" t="s">
        <v>37</v>
      </c>
      <c r="H63" s="257" t="s">
        <v>38</v>
      </c>
      <c r="I63" s="257" t="s">
        <v>39</v>
      </c>
      <c r="J63" s="257" t="s">
        <v>40</v>
      </c>
      <c r="K63" s="257" t="s">
        <v>41</v>
      </c>
    </row>
    <row r="64" spans="6:16" s="257" customFormat="1" x14ac:dyDescent="0.25">
      <c r="F64" s="257" t="s">
        <v>135</v>
      </c>
      <c r="G64" s="363">
        <v>628685.7477872544</v>
      </c>
      <c r="H64" s="363">
        <v>1233950.7193163834</v>
      </c>
      <c r="I64" s="363">
        <v>820015.43931051344</v>
      </c>
      <c r="J64" s="363">
        <v>968341.83837151481</v>
      </c>
      <c r="K64" s="363">
        <v>851253.9899381476</v>
      </c>
      <c r="M64" s="363"/>
    </row>
    <row r="65" spans="6:13" s="257" customFormat="1" x14ac:dyDescent="0.25">
      <c r="F65" s="257" t="s">
        <v>136</v>
      </c>
      <c r="G65" s="363">
        <v>1230079.5387595659</v>
      </c>
      <c r="H65" s="363">
        <v>883344.21338910423</v>
      </c>
      <c r="I65" s="363">
        <v>1130595.5354392156</v>
      </c>
      <c r="J65" s="363">
        <v>978602.31208411651</v>
      </c>
      <c r="K65" s="363">
        <v>609384.37359381327</v>
      </c>
      <c r="M65" s="363"/>
    </row>
    <row r="66" spans="6:13" s="257" customFormat="1" x14ac:dyDescent="0.25">
      <c r="F66" s="257" t="s">
        <v>137</v>
      </c>
      <c r="G66" s="363">
        <v>294357.71345317957</v>
      </c>
      <c r="H66" s="363">
        <v>122888.06729451289</v>
      </c>
      <c r="I66" s="363">
        <v>105732.02525027088</v>
      </c>
      <c r="J66" s="363">
        <v>193783.84954436909</v>
      </c>
      <c r="K66" s="363">
        <v>84775.636468039593</v>
      </c>
      <c r="M66" s="363"/>
    </row>
    <row r="67" spans="6:13" s="257" customFormat="1" x14ac:dyDescent="0.25"/>
    <row r="68" spans="6:13" s="257" customFormat="1" x14ac:dyDescent="0.25"/>
    <row r="69" spans="6:13" s="257" customFormat="1" x14ac:dyDescent="0.25"/>
    <row r="70" spans="6:13" s="257" customFormat="1" x14ac:dyDescent="0.25">
      <c r="G70" s="257" t="s">
        <v>37</v>
      </c>
      <c r="H70" s="257" t="s">
        <v>38</v>
      </c>
      <c r="I70" s="257" t="s">
        <v>39</v>
      </c>
      <c r="J70" s="257" t="s">
        <v>40</v>
      </c>
      <c r="K70" s="257" t="s">
        <v>41</v>
      </c>
    </row>
    <row r="71" spans="6:13" s="257" customFormat="1" x14ac:dyDescent="0.25">
      <c r="F71" s="257" t="s">
        <v>133</v>
      </c>
      <c r="G71" s="257">
        <v>1554859</v>
      </c>
      <c r="H71" s="257">
        <v>1680158</v>
      </c>
      <c r="I71" s="257">
        <v>1697816</v>
      </c>
      <c r="J71" s="257">
        <v>1658252</v>
      </c>
      <c r="K71" s="257">
        <v>1197098</v>
      </c>
    </row>
    <row r="72" spans="6:13" s="257" customFormat="1" x14ac:dyDescent="0.25">
      <c r="F72" s="257" t="s">
        <v>124</v>
      </c>
      <c r="G72" s="257">
        <v>46692</v>
      </c>
      <c r="H72" s="257">
        <v>415042</v>
      </c>
      <c r="I72" s="257">
        <v>202974</v>
      </c>
      <c r="J72" s="257">
        <v>162449</v>
      </c>
      <c r="K72" s="257">
        <v>153889</v>
      </c>
    </row>
    <row r="73" spans="6:13" s="257" customFormat="1" x14ac:dyDescent="0.25">
      <c r="F73" s="257" t="s">
        <v>125</v>
      </c>
      <c r="G73" s="257">
        <v>1018312</v>
      </c>
      <c r="H73" s="257">
        <v>844446</v>
      </c>
      <c r="I73" s="257">
        <v>1283340</v>
      </c>
      <c r="J73" s="257">
        <v>1174762</v>
      </c>
      <c r="K73" s="257">
        <v>834843</v>
      </c>
    </row>
    <row r="74" spans="6:13" s="257" customFormat="1" x14ac:dyDescent="0.25">
      <c r="F74" s="257" t="s">
        <v>126</v>
      </c>
      <c r="G74" s="257">
        <v>489855</v>
      </c>
      <c r="H74" s="257">
        <v>420670</v>
      </c>
      <c r="I74" s="257">
        <v>211502</v>
      </c>
      <c r="J74" s="257">
        <v>321041</v>
      </c>
      <c r="K74" s="257">
        <v>208366</v>
      </c>
    </row>
    <row r="75" spans="6:13" s="257" customFormat="1" x14ac:dyDescent="0.25"/>
    <row r="76" spans="6:13" s="257" customFormat="1" x14ac:dyDescent="0.25">
      <c r="G76" s="257" t="s">
        <v>37</v>
      </c>
      <c r="H76" s="257" t="s">
        <v>38</v>
      </c>
      <c r="I76" s="257" t="s">
        <v>39</v>
      </c>
      <c r="J76" s="257" t="s">
        <v>40</v>
      </c>
      <c r="K76" s="257" t="s">
        <v>41</v>
      </c>
    </row>
    <row r="77" spans="6:13" s="257" customFormat="1" x14ac:dyDescent="0.25">
      <c r="F77" s="257" t="s">
        <v>134</v>
      </c>
      <c r="G77" s="363">
        <f>SUM(G78:G80)</f>
        <v>8480.2300000000032</v>
      </c>
      <c r="H77" s="363">
        <f t="shared" ref="H77:K77" si="0">SUM(H78:H80)</f>
        <v>4216.5499997999977</v>
      </c>
      <c r="I77" s="363">
        <f t="shared" si="0"/>
        <v>4114.8799997999995</v>
      </c>
      <c r="J77" s="363">
        <f t="shared" si="0"/>
        <v>10062.290000000001</v>
      </c>
      <c r="K77" s="363">
        <f t="shared" si="0"/>
        <v>6308.8500000000013</v>
      </c>
    </row>
    <row r="78" spans="6:13" s="257" customFormat="1" x14ac:dyDescent="0.25">
      <c r="F78" s="257" t="s">
        <v>130</v>
      </c>
      <c r="G78" s="363">
        <v>32.950000000000003</v>
      </c>
      <c r="H78" s="363">
        <v>59.559999999999988</v>
      </c>
      <c r="I78" s="363">
        <v>101.02000000000005</v>
      </c>
      <c r="J78" s="363">
        <v>71.97999999999999</v>
      </c>
      <c r="K78" s="363">
        <v>64.38000000000001</v>
      </c>
    </row>
    <row r="79" spans="6:13" s="257" customFormat="1" x14ac:dyDescent="0.25">
      <c r="F79" s="257" t="s">
        <v>131</v>
      </c>
      <c r="G79" s="363">
        <v>1312.3399999999992</v>
      </c>
      <c r="H79" s="363">
        <v>866.72999999999956</v>
      </c>
      <c r="I79" s="363">
        <v>1062.2799999999977</v>
      </c>
      <c r="J79" s="363">
        <v>1150.0599999999997</v>
      </c>
      <c r="K79" s="363">
        <v>755.16999999999985</v>
      </c>
    </row>
    <row r="80" spans="6:13" s="257" customFormat="1" x14ac:dyDescent="0.25">
      <c r="F80" s="257" t="s">
        <v>132</v>
      </c>
      <c r="G80" s="363">
        <v>7134.9400000000041</v>
      </c>
      <c r="H80" s="363">
        <v>3290.2599997999987</v>
      </c>
      <c r="I80" s="363">
        <v>2951.5799998000016</v>
      </c>
      <c r="J80" s="363">
        <v>8840.2500000000018</v>
      </c>
      <c r="K80" s="363">
        <v>5489.3000000000011</v>
      </c>
    </row>
    <row r="81" spans="6:11" s="257" customFormat="1" x14ac:dyDescent="0.25"/>
    <row r="82" spans="6:11" s="257" customFormat="1" x14ac:dyDescent="0.25">
      <c r="G82" s="257" t="s">
        <v>37</v>
      </c>
      <c r="H82" s="257" t="s">
        <v>38</v>
      </c>
      <c r="I82" s="257" t="s">
        <v>39</v>
      </c>
      <c r="J82" s="257" t="s">
        <v>40</v>
      </c>
      <c r="K82" s="257" t="s">
        <v>41</v>
      </c>
    </row>
    <row r="83" spans="6:11" s="257" customFormat="1" x14ac:dyDescent="0.25">
      <c r="F83" s="257" t="s">
        <v>138</v>
      </c>
      <c r="G83" s="363">
        <f>G64*$H57/(5280*5280)</f>
        <v>24.806098002969318</v>
      </c>
      <c r="H83" s="363">
        <f t="shared" ref="H83:K85" si="1">H64*$H57/(5280*5280)</f>
        <v>48.688080781107296</v>
      </c>
      <c r="I83" s="363">
        <f t="shared" si="1"/>
        <v>32.355407169764575</v>
      </c>
      <c r="J83" s="363">
        <f t="shared" si="1"/>
        <v>38.207932385239694</v>
      </c>
      <c r="K83" s="363">
        <f t="shared" si="1"/>
        <v>33.587988870665548</v>
      </c>
    </row>
    <row r="84" spans="6:11" s="257" customFormat="1" x14ac:dyDescent="0.25">
      <c r="F84" s="257" t="s">
        <v>139</v>
      </c>
      <c r="G84" s="363">
        <f>G65*$H58/(5280*5280)</f>
        <v>88.24606424755838</v>
      </c>
      <c r="H84" s="363">
        <f t="shared" si="1"/>
        <v>63.371227429773896</v>
      </c>
      <c r="I84" s="363">
        <f t="shared" si="1"/>
        <v>81.109069059861085</v>
      </c>
      <c r="J84" s="363">
        <f t="shared" si="1"/>
        <v>70.205055676374286</v>
      </c>
      <c r="K84" s="363">
        <f t="shared" si="1"/>
        <v>43.717313303045607</v>
      </c>
    </row>
    <row r="85" spans="6:11" s="257" customFormat="1" x14ac:dyDescent="0.25">
      <c r="F85" s="257" t="s">
        <v>140</v>
      </c>
      <c r="G85" s="363">
        <f>G66*$H59/(5280*5280)</f>
        <v>31.675890307892082</v>
      </c>
      <c r="H85" s="363">
        <f t="shared" si="1"/>
        <v>13.224008618985977</v>
      </c>
      <c r="I85" s="363">
        <f t="shared" si="1"/>
        <v>11.377843626277429</v>
      </c>
      <c r="J85" s="363">
        <f t="shared" si="1"/>
        <v>20.853117418255973</v>
      </c>
      <c r="K85" s="363">
        <f t="shared" si="1"/>
        <v>9.1227225882446188</v>
      </c>
    </row>
    <row r="86" spans="6:11" s="257" customFormat="1" x14ac:dyDescent="0.25">
      <c r="F86" s="257" t="s">
        <v>141</v>
      </c>
      <c r="G86" s="363">
        <f>G72*$G57/(5280*5280)</f>
        <v>8.3742252066115697</v>
      </c>
      <c r="H86" s="363">
        <f t="shared" ref="H86:K86" si="2">H72*$G57/(5280*5280)</f>
        <v>74.437916092745638</v>
      </c>
      <c r="I86" s="363">
        <f t="shared" si="2"/>
        <v>36.403452134986225</v>
      </c>
      <c r="J86" s="363">
        <f t="shared" si="2"/>
        <v>29.135280360422406</v>
      </c>
      <c r="K86" s="363">
        <f t="shared" si="2"/>
        <v>27.600041609274562</v>
      </c>
    </row>
    <row r="87" spans="6:11" s="257" customFormat="1" x14ac:dyDescent="0.25">
      <c r="F87" s="257" t="s">
        <v>142</v>
      </c>
      <c r="G87" s="363">
        <f t="shared" ref="G87:K87" si="3">G73*$G58/(5280*5280)</f>
        <v>365.26916896235076</v>
      </c>
      <c r="H87" s="363">
        <f t="shared" si="3"/>
        <v>302.9033230027548</v>
      </c>
      <c r="I87" s="363">
        <f t="shared" si="3"/>
        <v>460.3348829201102</v>
      </c>
      <c r="J87" s="363">
        <f t="shared" si="3"/>
        <v>421.38788452708906</v>
      </c>
      <c r="K87" s="363">
        <f t="shared" si="3"/>
        <v>299.45872073002755</v>
      </c>
    </row>
    <row r="88" spans="6:11" s="257" customFormat="1" x14ac:dyDescent="0.25">
      <c r="F88" s="257" t="s">
        <v>143</v>
      </c>
      <c r="G88" s="363">
        <f>G74*$G59/(5280*5280)</f>
        <v>351.42260674931129</v>
      </c>
      <c r="H88" s="363">
        <f t="shared" ref="H88:K88" si="4">H74*$G59/(5280*5280)</f>
        <v>301.78919880624426</v>
      </c>
      <c r="I88" s="363">
        <f t="shared" si="4"/>
        <v>151.73180670339761</v>
      </c>
      <c r="J88" s="363">
        <f t="shared" si="4"/>
        <v>230.31522612488521</v>
      </c>
      <c r="K88" s="363">
        <f t="shared" si="4"/>
        <v>149.48203627180899</v>
      </c>
    </row>
    <row r="89" spans="6:11" s="257" customFormat="1" x14ac:dyDescent="0.25">
      <c r="F89" s="257" t="s">
        <v>144</v>
      </c>
      <c r="G89" s="363">
        <f>G78-G83-G86</f>
        <v>-0.23032320958088448</v>
      </c>
      <c r="H89" s="363">
        <f t="shared" ref="H89:K91" si="5">H78-H83-H86</f>
        <v>-63.565996873852946</v>
      </c>
      <c r="I89" s="363">
        <f t="shared" si="5"/>
        <v>32.261140695249253</v>
      </c>
      <c r="J89" s="363">
        <f t="shared" si="5"/>
        <v>4.6367872543378894</v>
      </c>
      <c r="K89" s="363">
        <f t="shared" si="5"/>
        <v>3.1919695200598994</v>
      </c>
    </row>
    <row r="90" spans="6:11" s="257" customFormat="1" x14ac:dyDescent="0.25">
      <c r="F90" s="257" t="s">
        <v>145</v>
      </c>
      <c r="G90" s="363">
        <f>G79-G84-G87</f>
        <v>858.82476679009005</v>
      </c>
      <c r="H90" s="363">
        <f t="shared" si="5"/>
        <v>500.45544956747091</v>
      </c>
      <c r="I90" s="363">
        <f t="shared" si="5"/>
        <v>520.8360480200264</v>
      </c>
      <c r="J90" s="363">
        <f t="shared" si="5"/>
        <v>658.46705979653643</v>
      </c>
      <c r="K90" s="363">
        <f t="shared" si="5"/>
        <v>411.99396596692674</v>
      </c>
    </row>
    <row r="91" spans="6:11" s="257" customFormat="1" x14ac:dyDescent="0.25">
      <c r="F91" s="257" t="s">
        <v>146</v>
      </c>
      <c r="G91" s="363">
        <f>G80-G85-G88</f>
        <v>6751.8415029428015</v>
      </c>
      <c r="H91" s="363">
        <f t="shared" si="5"/>
        <v>2975.2467923747686</v>
      </c>
      <c r="I91" s="363">
        <f t="shared" si="5"/>
        <v>2788.4703494703267</v>
      </c>
      <c r="J91" s="363">
        <f t="shared" si="5"/>
        <v>8589.0816564568613</v>
      </c>
      <c r="K91" s="363">
        <f t="shared" si="5"/>
        <v>5330.695241139947</v>
      </c>
    </row>
    <row r="92" spans="6:11" s="257" customFormat="1" x14ac:dyDescent="0.25"/>
    <row r="93" spans="6:11" s="257" customFormat="1" x14ac:dyDescent="0.25"/>
    <row r="94" spans="6:11" s="257" customFormat="1" x14ac:dyDescent="0.25"/>
    <row r="95" spans="6:11" s="257" customFormat="1" x14ac:dyDescent="0.25"/>
    <row r="96" spans="6:11" s="257" customFormat="1" x14ac:dyDescent="0.25"/>
    <row r="97" spans="11:11" s="257" customFormat="1" x14ac:dyDescent="0.25"/>
    <row r="98" spans="11:11" s="257" customFormat="1" x14ac:dyDescent="0.25">
      <c r="K98" s="347"/>
    </row>
    <row r="99" spans="11:11" s="257" customFormat="1" x14ac:dyDescent="0.25">
      <c r="K99" s="347"/>
    </row>
    <row r="100" spans="11:11" x14ac:dyDescent="0.25">
      <c r="K100" s="347"/>
    </row>
    <row r="101" spans="11:11" x14ac:dyDescent="0.25">
      <c r="K101" s="347"/>
    </row>
    <row r="102" spans="11:11" x14ac:dyDescent="0.25">
      <c r="K102" s="347"/>
    </row>
    <row r="103" spans="11:11" x14ac:dyDescent="0.25">
      <c r="K103" s="347"/>
    </row>
  </sheetData>
  <mergeCells count="5">
    <mergeCell ref="G48:G49"/>
    <mergeCell ref="F45:O45"/>
    <mergeCell ref="H46:H47"/>
    <mergeCell ref="I46:O46"/>
    <mergeCell ref="F48:F49"/>
  </mergeCells>
  <hyperlinks>
    <hyperlink ref="A1" location="'Main Menu'!A1" display="Return to Main Menu"/>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51"/>
  <sheetViews>
    <sheetView showGridLines="0" zoomScale="90" zoomScaleNormal="90" workbookViewId="0">
      <selection activeCell="G33" sqref="G33"/>
    </sheetView>
  </sheetViews>
  <sheetFormatPr defaultRowHeight="15" x14ac:dyDescent="0.25"/>
  <cols>
    <col min="1" max="1" width="32.42578125" style="277" customWidth="1"/>
    <col min="2" max="2" width="13.5703125" style="277" customWidth="1"/>
    <col min="3" max="3" width="12.42578125" style="277" customWidth="1"/>
    <col min="4" max="4" width="10.5703125" style="277" bestFit="1" customWidth="1"/>
    <col min="5" max="6" width="11.5703125" style="277" bestFit="1" customWidth="1"/>
    <col min="7" max="7" width="13.28515625" style="277" customWidth="1"/>
    <col min="8" max="8" width="12.7109375" style="277" customWidth="1"/>
    <col min="9" max="9" width="12" style="277" customWidth="1"/>
    <col min="10" max="10" width="12.5703125" style="277" customWidth="1"/>
    <col min="11" max="11" width="1.85546875" style="277" customWidth="1"/>
    <col min="12" max="17" width="9.140625" style="277"/>
    <col min="18" max="18" width="17.5703125" style="277" customWidth="1"/>
    <col min="19" max="16384" width="9.140625" style="277"/>
  </cols>
  <sheetData>
    <row r="1" spans="1:18" ht="33" customHeight="1" x14ac:dyDescent="0.25">
      <c r="A1" s="324" t="s">
        <v>34</v>
      </c>
    </row>
    <row r="3" spans="1:18" s="327" customFormat="1" x14ac:dyDescent="0.25">
      <c r="A3" s="325" t="s">
        <v>654</v>
      </c>
      <c r="B3" s="404" t="s">
        <v>219</v>
      </c>
      <c r="C3" s="326" t="s">
        <v>37</v>
      </c>
      <c r="D3" s="326" t="s">
        <v>38</v>
      </c>
      <c r="E3" s="326" t="s">
        <v>39</v>
      </c>
      <c r="F3" s="326" t="s">
        <v>40</v>
      </c>
      <c r="G3" s="326" t="s">
        <v>41</v>
      </c>
      <c r="H3" s="325"/>
      <c r="I3" s="325"/>
      <c r="J3" s="325" t="s">
        <v>482</v>
      </c>
      <c r="K3" s="325"/>
      <c r="L3" s="326" t="s">
        <v>37</v>
      </c>
      <c r="M3" s="326" t="s">
        <v>37</v>
      </c>
      <c r="N3" s="326" t="s">
        <v>38</v>
      </c>
      <c r="O3" s="326" t="s">
        <v>39</v>
      </c>
      <c r="P3" s="326" t="s">
        <v>40</v>
      </c>
      <c r="Q3" s="326" t="s">
        <v>41</v>
      </c>
    </row>
    <row r="4" spans="1:18" x14ac:dyDescent="0.25">
      <c r="A4" s="328" t="s">
        <v>147</v>
      </c>
      <c r="B4" s="405">
        <v>1011.9</v>
      </c>
      <c r="C4" s="275">
        <v>1011.9</v>
      </c>
      <c r="D4" s="275">
        <f t="shared" ref="D4:G4" si="0">$J4*N4</f>
        <v>80</v>
      </c>
      <c r="E4" s="275">
        <f t="shared" si="0"/>
        <v>80</v>
      </c>
      <c r="F4" s="275">
        <f t="shared" si="0"/>
        <v>80</v>
      </c>
      <c r="G4" s="275">
        <f t="shared" si="0"/>
        <v>120</v>
      </c>
      <c r="H4" s="277" t="s">
        <v>296</v>
      </c>
      <c r="J4" s="276">
        <v>8</v>
      </c>
      <c r="L4" s="275">
        <v>30</v>
      </c>
      <c r="M4" s="275">
        <v>30</v>
      </c>
      <c r="N4" s="275">
        <v>10</v>
      </c>
      <c r="O4" s="275">
        <v>10</v>
      </c>
      <c r="P4" s="275">
        <v>10</v>
      </c>
      <c r="Q4" s="275">
        <v>15</v>
      </c>
      <c r="R4" s="277" t="s">
        <v>481</v>
      </c>
    </row>
    <row r="5" spans="1:18" x14ac:dyDescent="0.25">
      <c r="A5" s="328" t="s">
        <v>148</v>
      </c>
      <c r="B5" s="405">
        <v>4564.8</v>
      </c>
      <c r="C5" s="275">
        <v>4564.8</v>
      </c>
      <c r="D5" s="275">
        <f t="shared" ref="D5:D12" si="1">$J5*N5</f>
        <v>1229.3103791174644</v>
      </c>
      <c r="E5" s="275">
        <f t="shared" ref="E5:E12" si="2">$J5*O5</f>
        <v>960.43231821006816</v>
      </c>
      <c r="F5" s="275">
        <f t="shared" ref="F5:F12" si="3">$J5*P5</f>
        <v>691.22302050963322</v>
      </c>
      <c r="G5" s="275">
        <f t="shared" ref="G5:G12" si="4">$J5*Q5</f>
        <v>913.07008079552509</v>
      </c>
      <c r="H5" s="277" t="s">
        <v>296</v>
      </c>
      <c r="J5" s="276">
        <v>4</v>
      </c>
      <c r="L5" s="275">
        <v>75</v>
      </c>
      <c r="M5" s="275">
        <v>75</v>
      </c>
      <c r="N5" s="275">
        <v>307.32759477936611</v>
      </c>
      <c r="O5" s="275">
        <v>240.10807955251704</v>
      </c>
      <c r="P5" s="275">
        <v>172.8057551274083</v>
      </c>
      <c r="Q5" s="275">
        <v>228.26752019888127</v>
      </c>
      <c r="R5" s="277" t="s">
        <v>481</v>
      </c>
    </row>
    <row r="6" spans="1:18" x14ac:dyDescent="0.25">
      <c r="A6" s="328" t="s">
        <v>149</v>
      </c>
      <c r="B6" s="405">
        <v>9332</v>
      </c>
      <c r="C6" s="275">
        <v>9332</v>
      </c>
      <c r="D6" s="275">
        <f t="shared" si="1"/>
        <v>2230.9995027967698</v>
      </c>
      <c r="E6" s="275">
        <f t="shared" si="2"/>
        <v>2634.5666128029829</v>
      </c>
      <c r="F6" s="275">
        <f t="shared" si="3"/>
        <v>1816.049993784959</v>
      </c>
      <c r="G6" s="275">
        <f t="shared" si="4"/>
        <v>1595.7498446239908</v>
      </c>
      <c r="H6" s="277" t="s">
        <v>296</v>
      </c>
      <c r="J6" s="276">
        <v>2</v>
      </c>
      <c r="L6" s="275">
        <v>300</v>
      </c>
      <c r="M6" s="275">
        <v>300</v>
      </c>
      <c r="N6" s="275">
        <v>1115.4997513983849</v>
      </c>
      <c r="O6" s="275">
        <v>1317.2833064014915</v>
      </c>
      <c r="P6" s="275">
        <v>908.02499689247952</v>
      </c>
      <c r="Q6" s="275">
        <v>797.87492231199542</v>
      </c>
      <c r="R6" s="277" t="s">
        <v>481</v>
      </c>
    </row>
    <row r="7" spans="1:18" x14ac:dyDescent="0.25">
      <c r="A7" s="328" t="s">
        <v>150</v>
      </c>
      <c r="B7" s="405">
        <v>947</v>
      </c>
      <c r="C7" s="275">
        <v>947</v>
      </c>
      <c r="D7" s="275">
        <f t="shared" si="1"/>
        <v>120</v>
      </c>
      <c r="E7" s="275">
        <f t="shared" si="2"/>
        <v>120</v>
      </c>
      <c r="F7" s="275">
        <f t="shared" si="3"/>
        <v>393.87415786202598</v>
      </c>
      <c r="G7" s="275">
        <f t="shared" si="4"/>
        <v>234.20565568676193</v>
      </c>
      <c r="H7" s="277" t="s">
        <v>296</v>
      </c>
      <c r="J7" s="276">
        <v>6</v>
      </c>
      <c r="L7" s="275">
        <v>60</v>
      </c>
      <c r="M7" s="275">
        <v>60</v>
      </c>
      <c r="N7" s="275">
        <v>20</v>
      </c>
      <c r="O7" s="275">
        <v>20</v>
      </c>
      <c r="P7" s="275">
        <v>65.64569297700433</v>
      </c>
      <c r="Q7" s="275">
        <v>39.034275947793653</v>
      </c>
      <c r="R7" s="277" t="s">
        <v>481</v>
      </c>
    </row>
    <row r="8" spans="1:18" x14ac:dyDescent="0.25">
      <c r="A8" s="328" t="s">
        <v>151</v>
      </c>
      <c r="B8" s="405">
        <v>10751</v>
      </c>
      <c r="C8" s="275">
        <v>10751</v>
      </c>
      <c r="D8" s="275">
        <f t="shared" si="1"/>
        <v>5812.1748943443226</v>
      </c>
      <c r="E8" s="343">
        <f t="shared" si="2"/>
        <v>6781.73662834058</v>
      </c>
      <c r="F8" s="275">
        <f t="shared" si="3"/>
        <v>5279.7733840894944</v>
      </c>
      <c r="G8" s="275">
        <f t="shared" si="4"/>
        <v>4917.0369515226876</v>
      </c>
      <c r="H8" s="277" t="s">
        <v>296</v>
      </c>
      <c r="J8" s="276">
        <v>3.5</v>
      </c>
      <c r="L8" s="275">
        <v>1500</v>
      </c>
      <c r="M8" s="275">
        <v>1500</v>
      </c>
      <c r="N8" s="275">
        <v>1660.6213983840921</v>
      </c>
      <c r="O8" s="275">
        <v>1937.6390366687372</v>
      </c>
      <c r="P8" s="275">
        <v>1508.5066811684269</v>
      </c>
      <c r="Q8" s="275">
        <v>1404.8677004350536</v>
      </c>
      <c r="R8" s="277" t="s">
        <v>481</v>
      </c>
    </row>
    <row r="9" spans="1:18" x14ac:dyDescent="0.25">
      <c r="A9" s="328" t="s">
        <v>152</v>
      </c>
      <c r="B9" s="405">
        <v>35980</v>
      </c>
      <c r="C9" s="275">
        <v>35980</v>
      </c>
      <c r="D9" s="275">
        <f t="shared" si="1"/>
        <v>13724.639080174025</v>
      </c>
      <c r="E9" s="275">
        <f t="shared" si="2"/>
        <v>21671.118756991935</v>
      </c>
      <c r="F9" s="275">
        <f t="shared" si="3"/>
        <v>21337.823132380367</v>
      </c>
      <c r="G9" s="275">
        <f t="shared" si="4"/>
        <v>13785.444213797391</v>
      </c>
      <c r="H9" s="277" t="s">
        <v>296</v>
      </c>
      <c r="J9" s="276">
        <v>2</v>
      </c>
      <c r="L9" s="275">
        <v>10000</v>
      </c>
      <c r="M9" s="275">
        <v>10000</v>
      </c>
      <c r="N9" s="275">
        <v>6862.3195400870127</v>
      </c>
      <c r="O9" s="275">
        <v>10835.559378495967</v>
      </c>
      <c r="P9" s="275">
        <v>10668.911566190183</v>
      </c>
      <c r="Q9" s="275">
        <v>6892.7221068986955</v>
      </c>
      <c r="R9" s="277" t="s">
        <v>481</v>
      </c>
    </row>
    <row r="10" spans="1:18" x14ac:dyDescent="0.25">
      <c r="A10" s="328" t="s">
        <v>153</v>
      </c>
      <c r="B10" s="405">
        <v>365.8</v>
      </c>
      <c r="C10" s="275">
        <v>365.8</v>
      </c>
      <c r="D10" s="275">
        <f t="shared" si="1"/>
        <v>248.78103169670601</v>
      </c>
      <c r="E10" s="275">
        <f t="shared" si="2"/>
        <v>200</v>
      </c>
      <c r="F10" s="275">
        <f t="shared" si="3"/>
        <v>200</v>
      </c>
      <c r="G10" s="275">
        <f t="shared" si="4"/>
        <v>200</v>
      </c>
      <c r="H10" s="277" t="s">
        <v>296</v>
      </c>
      <c r="J10" s="276">
        <v>4</v>
      </c>
      <c r="L10" s="275">
        <v>90</v>
      </c>
      <c r="M10" s="275">
        <v>90</v>
      </c>
      <c r="N10" s="275">
        <v>62.195257924176502</v>
      </c>
      <c r="O10" s="275">
        <v>50</v>
      </c>
      <c r="P10" s="275">
        <v>50</v>
      </c>
      <c r="Q10" s="275">
        <v>50</v>
      </c>
      <c r="R10" s="277" t="s">
        <v>481</v>
      </c>
    </row>
    <row r="11" spans="1:18" x14ac:dyDescent="0.25">
      <c r="A11" s="328" t="s">
        <v>154</v>
      </c>
      <c r="B11" s="405">
        <v>5190.7</v>
      </c>
      <c r="C11" s="275">
        <v>5190.7</v>
      </c>
      <c r="D11" s="275">
        <f t="shared" si="1"/>
        <v>6417.8051895587323</v>
      </c>
      <c r="E11" s="275">
        <f t="shared" si="2"/>
        <v>3570.5906401491593</v>
      </c>
      <c r="F11" s="275">
        <f t="shared" si="3"/>
        <v>7530.6768551895584</v>
      </c>
      <c r="G11" s="275">
        <f t="shared" si="4"/>
        <v>3593.4958918582947</v>
      </c>
      <c r="H11" s="277" t="s">
        <v>296</v>
      </c>
      <c r="J11" s="276">
        <v>3</v>
      </c>
      <c r="L11" s="275">
        <v>2946.9411124922312</v>
      </c>
      <c r="M11" s="275">
        <v>2946.9411124922312</v>
      </c>
      <c r="N11" s="275">
        <v>2139.2683965195774</v>
      </c>
      <c r="O11" s="275">
        <v>1190.1968800497198</v>
      </c>
      <c r="P11" s="275">
        <v>2510.2256183965196</v>
      </c>
      <c r="Q11" s="275">
        <v>1197.8319639527649</v>
      </c>
      <c r="R11" s="277" t="s">
        <v>481</v>
      </c>
    </row>
    <row r="12" spans="1:18" x14ac:dyDescent="0.25">
      <c r="A12" s="328" t="s">
        <v>155</v>
      </c>
      <c r="B12" s="405">
        <v>15344</v>
      </c>
      <c r="C12" s="275">
        <v>15344</v>
      </c>
      <c r="D12" s="275">
        <f t="shared" si="1"/>
        <v>18885.122075823481</v>
      </c>
      <c r="E12" s="275">
        <f t="shared" si="2"/>
        <v>15289.696457426982</v>
      </c>
      <c r="F12" s="275">
        <f t="shared" si="3"/>
        <v>34254.724288377867</v>
      </c>
      <c r="G12" s="275">
        <f t="shared" si="4"/>
        <v>21509.970105655702</v>
      </c>
      <c r="H12" s="277" t="s">
        <v>296</v>
      </c>
      <c r="J12" s="276">
        <v>2</v>
      </c>
      <c r="L12" s="275">
        <v>20000</v>
      </c>
      <c r="M12" s="275">
        <v>20000</v>
      </c>
      <c r="N12" s="275">
        <v>9442.5610379117406</v>
      </c>
      <c r="O12" s="275">
        <v>7644.8482287134912</v>
      </c>
      <c r="P12" s="275">
        <v>17127.362144188934</v>
      </c>
      <c r="Q12" s="275">
        <v>10754.985052827851</v>
      </c>
      <c r="R12" s="277" t="s">
        <v>481</v>
      </c>
    </row>
    <row r="13" spans="1:18" x14ac:dyDescent="0.25">
      <c r="A13" s="328" t="s">
        <v>156</v>
      </c>
      <c r="B13" s="406">
        <v>85.1</v>
      </c>
      <c r="C13" s="269">
        <v>85.1</v>
      </c>
      <c r="D13" s="269">
        <v>769</v>
      </c>
      <c r="E13" s="269">
        <v>2.9</v>
      </c>
      <c r="F13" s="269">
        <v>0</v>
      </c>
      <c r="G13" s="269">
        <v>3.7</v>
      </c>
      <c r="H13" s="277" t="s">
        <v>297</v>
      </c>
      <c r="L13" s="278"/>
      <c r="M13" s="278"/>
      <c r="N13" s="278"/>
      <c r="O13" s="278"/>
      <c r="P13" s="278"/>
      <c r="Q13" s="278"/>
    </row>
    <row r="14" spans="1:18" x14ac:dyDescent="0.25">
      <c r="A14" s="328" t="s">
        <v>157</v>
      </c>
      <c r="B14" s="406">
        <v>4056.3</v>
      </c>
      <c r="C14" s="269">
        <v>4056.3</v>
      </c>
      <c r="D14" s="269">
        <v>2169.6999999999998</v>
      </c>
      <c r="E14" s="269">
        <v>2770.4</v>
      </c>
      <c r="F14" s="269">
        <v>2460.5</v>
      </c>
      <c r="G14" s="269">
        <v>4875.2</v>
      </c>
      <c r="H14" s="277" t="s">
        <v>297</v>
      </c>
      <c r="L14" s="278"/>
      <c r="M14" s="278"/>
      <c r="N14" s="278"/>
      <c r="O14" s="278"/>
      <c r="P14" s="278"/>
      <c r="Q14" s="278"/>
    </row>
    <row r="15" spans="1:18" x14ac:dyDescent="0.25">
      <c r="B15" s="407">
        <v>87628.36</v>
      </c>
      <c r="C15" s="277">
        <v>78049.100000000006</v>
      </c>
    </row>
    <row r="16" spans="1:18" x14ac:dyDescent="0.25">
      <c r="A16" s="329" t="s">
        <v>492</v>
      </c>
      <c r="B16" s="330"/>
    </row>
    <row r="17" spans="1:4" x14ac:dyDescent="0.25">
      <c r="A17" s="331" t="s">
        <v>445</v>
      </c>
      <c r="B17" s="426">
        <v>5</v>
      </c>
      <c r="C17" s="277">
        <v>100</v>
      </c>
    </row>
    <row r="18" spans="1:4" x14ac:dyDescent="0.25">
      <c r="A18" s="332" t="s">
        <v>446</v>
      </c>
      <c r="B18" s="427">
        <v>5</v>
      </c>
      <c r="C18" s="277">
        <v>200</v>
      </c>
    </row>
    <row r="19" spans="1:4" x14ac:dyDescent="0.25">
      <c r="A19" s="332" t="s">
        <v>447</v>
      </c>
      <c r="B19" s="427">
        <v>50</v>
      </c>
      <c r="C19" s="277">
        <v>50</v>
      </c>
    </row>
    <row r="20" spans="1:4" x14ac:dyDescent="0.25">
      <c r="A20" s="333" t="s">
        <v>448</v>
      </c>
      <c r="B20" s="428">
        <v>200</v>
      </c>
      <c r="C20" s="277">
        <v>200</v>
      </c>
    </row>
    <row r="22" spans="1:4" x14ac:dyDescent="0.25">
      <c r="A22" s="334" t="s">
        <v>575</v>
      </c>
      <c r="B22" s="334"/>
      <c r="C22" s="334"/>
      <c r="D22" s="334"/>
    </row>
    <row r="23" spans="1:4" x14ac:dyDescent="0.25">
      <c r="A23" s="335" t="s">
        <v>293</v>
      </c>
      <c r="B23" s="336" t="s">
        <v>294</v>
      </c>
      <c r="C23" s="336" t="s">
        <v>295</v>
      </c>
      <c r="D23" s="336" t="s">
        <v>88</v>
      </c>
    </row>
    <row r="24" spans="1:4" x14ac:dyDescent="0.25">
      <c r="A24" s="328" t="s">
        <v>119</v>
      </c>
      <c r="B24" s="274">
        <v>2000</v>
      </c>
      <c r="C24" s="274">
        <v>1500</v>
      </c>
      <c r="D24" s="274">
        <v>1000</v>
      </c>
    </row>
    <row r="25" spans="1:4" x14ac:dyDescent="0.25">
      <c r="A25" s="328" t="s">
        <v>120</v>
      </c>
      <c r="B25" s="274">
        <v>2000</v>
      </c>
      <c r="C25" s="274">
        <v>1500</v>
      </c>
      <c r="D25" s="274">
        <v>1000</v>
      </c>
    </row>
    <row r="26" spans="1:4" x14ac:dyDescent="0.25">
      <c r="A26" s="328" t="s">
        <v>121</v>
      </c>
      <c r="B26" s="274">
        <v>2000</v>
      </c>
      <c r="C26" s="274">
        <v>1500</v>
      </c>
      <c r="D26" s="274">
        <v>1000</v>
      </c>
    </row>
    <row r="28" spans="1:4" x14ac:dyDescent="0.25">
      <c r="A28" s="334" t="s">
        <v>620</v>
      </c>
      <c r="B28" s="334"/>
      <c r="C28" s="334"/>
      <c r="D28" s="337"/>
    </row>
    <row r="29" spans="1:4" x14ac:dyDescent="0.25">
      <c r="A29" s="335" t="s">
        <v>298</v>
      </c>
      <c r="B29" s="336" t="s">
        <v>299</v>
      </c>
      <c r="C29" s="336" t="s">
        <v>300</v>
      </c>
    </row>
    <row r="30" spans="1:4" x14ac:dyDescent="0.25">
      <c r="A30" s="328" t="s">
        <v>119</v>
      </c>
      <c r="B30" s="274">
        <v>5000</v>
      </c>
      <c r="C30" s="274">
        <v>2000</v>
      </c>
    </row>
    <row r="31" spans="1:4" x14ac:dyDescent="0.25">
      <c r="A31" s="328" t="s">
        <v>120</v>
      </c>
      <c r="B31" s="274">
        <v>5000</v>
      </c>
      <c r="C31" s="274">
        <v>2000</v>
      </c>
    </row>
    <row r="32" spans="1:4" x14ac:dyDescent="0.25">
      <c r="A32" s="328" t="s">
        <v>121</v>
      </c>
      <c r="B32" s="274">
        <v>5000</v>
      </c>
      <c r="C32" s="274">
        <v>2000</v>
      </c>
    </row>
    <row r="34" spans="1:12" x14ac:dyDescent="0.25">
      <c r="A34" s="329" t="s">
        <v>576</v>
      </c>
      <c r="B34" s="330"/>
    </row>
    <row r="35" spans="1:12" x14ac:dyDescent="0.25">
      <c r="A35" s="331" t="s">
        <v>201</v>
      </c>
      <c r="B35" s="271">
        <v>0.2</v>
      </c>
    </row>
    <row r="36" spans="1:12" x14ac:dyDescent="0.25">
      <c r="A36" s="333" t="s">
        <v>198</v>
      </c>
      <c r="B36" s="273">
        <v>0.1</v>
      </c>
    </row>
    <row r="38" spans="1:12" x14ac:dyDescent="0.25">
      <c r="A38" s="329" t="s">
        <v>583</v>
      </c>
      <c r="B38" s="338"/>
      <c r="C38" s="338"/>
      <c r="D38" s="338"/>
      <c r="E38" s="338"/>
      <c r="F38" s="338"/>
      <c r="G38" s="338"/>
      <c r="H38" s="338"/>
      <c r="I38" s="338"/>
      <c r="J38" s="338"/>
    </row>
    <row r="39" spans="1:12" ht="30" x14ac:dyDescent="0.25">
      <c r="A39" s="339" t="s">
        <v>308</v>
      </c>
      <c r="B39" s="340" t="s">
        <v>634</v>
      </c>
      <c r="C39" s="340" t="s">
        <v>635</v>
      </c>
      <c r="D39" s="340" t="s">
        <v>636</v>
      </c>
      <c r="E39" s="340" t="s">
        <v>637</v>
      </c>
      <c r="F39" s="340" t="s">
        <v>638</v>
      </c>
      <c r="G39" s="340" t="s">
        <v>639</v>
      </c>
      <c r="H39" s="340" t="s">
        <v>640</v>
      </c>
      <c r="I39" s="340" t="s">
        <v>641</v>
      </c>
      <c r="J39" s="340" t="s">
        <v>642</v>
      </c>
    </row>
    <row r="40" spans="1:12" x14ac:dyDescent="0.25">
      <c r="A40" s="341" t="s">
        <v>584</v>
      </c>
      <c r="B40" s="270">
        <v>0.05</v>
      </c>
      <c r="C40" s="270">
        <v>0.4</v>
      </c>
      <c r="D40" s="270">
        <v>0.45</v>
      </c>
      <c r="E40" s="270">
        <v>0.05</v>
      </c>
      <c r="F40" s="270">
        <v>0.05</v>
      </c>
      <c r="G40" s="270">
        <v>0</v>
      </c>
      <c r="H40" s="270">
        <v>0</v>
      </c>
      <c r="I40" s="270">
        <v>0</v>
      </c>
      <c r="J40" s="270">
        <v>0</v>
      </c>
      <c r="L40" s="342">
        <f>SUM(B40:J40)</f>
        <v>1</v>
      </c>
    </row>
    <row r="41" spans="1:12" x14ac:dyDescent="0.25">
      <c r="A41" s="341" t="s">
        <v>607</v>
      </c>
      <c r="B41" s="270">
        <v>0.1</v>
      </c>
      <c r="C41" s="270">
        <v>0.1</v>
      </c>
      <c r="D41" s="270">
        <v>0.1</v>
      </c>
      <c r="E41" s="270">
        <v>0.2</v>
      </c>
      <c r="F41" s="270">
        <v>0.3</v>
      </c>
      <c r="G41" s="270">
        <v>0.2</v>
      </c>
      <c r="H41" s="270">
        <v>0</v>
      </c>
      <c r="I41" s="270">
        <v>0</v>
      </c>
      <c r="J41" s="270">
        <v>0</v>
      </c>
      <c r="L41" s="342">
        <f t="shared" ref="L41:L51" si="5">SUM(B41:J41)</f>
        <v>1</v>
      </c>
    </row>
    <row r="42" spans="1:12" x14ac:dyDescent="0.25">
      <c r="A42" s="341" t="s">
        <v>609</v>
      </c>
      <c r="B42" s="270">
        <v>0.05</v>
      </c>
      <c r="C42" s="270">
        <v>0.05</v>
      </c>
      <c r="D42" s="270">
        <v>0.05</v>
      </c>
      <c r="E42" s="270">
        <v>0.15</v>
      </c>
      <c r="F42" s="270">
        <v>0.15</v>
      </c>
      <c r="G42" s="270">
        <v>0</v>
      </c>
      <c r="H42" s="270">
        <v>0.15</v>
      </c>
      <c r="I42" s="270">
        <v>0.2</v>
      </c>
      <c r="J42" s="270">
        <v>0.2</v>
      </c>
      <c r="L42" s="342">
        <f t="shared" si="5"/>
        <v>1</v>
      </c>
    </row>
    <row r="43" spans="1:12" x14ac:dyDescent="0.25">
      <c r="A43" s="341" t="s">
        <v>585</v>
      </c>
      <c r="B43" s="270">
        <v>0.1</v>
      </c>
      <c r="C43" s="270">
        <v>0.1</v>
      </c>
      <c r="D43" s="270">
        <v>0.1</v>
      </c>
      <c r="E43" s="270">
        <v>0.2</v>
      </c>
      <c r="F43" s="270">
        <v>0.3</v>
      </c>
      <c r="G43" s="270">
        <v>0.2</v>
      </c>
      <c r="H43" s="270">
        <v>0</v>
      </c>
      <c r="I43" s="270">
        <v>0</v>
      </c>
      <c r="J43" s="270">
        <v>0</v>
      </c>
      <c r="L43" s="342">
        <f t="shared" si="5"/>
        <v>1</v>
      </c>
    </row>
    <row r="44" spans="1:12" x14ac:dyDescent="0.25">
      <c r="A44" s="341" t="s">
        <v>587</v>
      </c>
      <c r="B44" s="270">
        <v>0.05</v>
      </c>
      <c r="C44" s="270">
        <v>0.05</v>
      </c>
      <c r="D44" s="270">
        <v>0</v>
      </c>
      <c r="E44" s="270">
        <v>0.3</v>
      </c>
      <c r="F44" s="270">
        <v>0.3</v>
      </c>
      <c r="G44" s="270">
        <v>0.3</v>
      </c>
      <c r="H44" s="270">
        <v>0</v>
      </c>
      <c r="I44" s="270">
        <v>0</v>
      </c>
      <c r="J44" s="270">
        <v>0</v>
      </c>
      <c r="L44" s="342">
        <f t="shared" si="5"/>
        <v>1</v>
      </c>
    </row>
    <row r="45" spans="1:12" x14ac:dyDescent="0.25">
      <c r="A45" s="341" t="s">
        <v>608</v>
      </c>
      <c r="B45" s="270">
        <v>0</v>
      </c>
      <c r="C45" s="270">
        <v>0</v>
      </c>
      <c r="D45" s="270">
        <v>0</v>
      </c>
      <c r="E45" s="270">
        <v>0.1</v>
      </c>
      <c r="F45" s="270">
        <v>0.2</v>
      </c>
      <c r="G45" s="270">
        <v>0.15</v>
      </c>
      <c r="H45" s="270">
        <v>0.15</v>
      </c>
      <c r="I45" s="270">
        <v>0.2</v>
      </c>
      <c r="J45" s="270">
        <v>0.2</v>
      </c>
      <c r="L45" s="342">
        <f t="shared" si="5"/>
        <v>1</v>
      </c>
    </row>
    <row r="46" spans="1:12" x14ac:dyDescent="0.25">
      <c r="A46" s="341" t="s">
        <v>586</v>
      </c>
      <c r="B46" s="270">
        <v>0.05</v>
      </c>
      <c r="C46" s="270">
        <v>0.05</v>
      </c>
      <c r="D46" s="270">
        <v>0.05</v>
      </c>
      <c r="E46" s="270">
        <v>0.15</v>
      </c>
      <c r="F46" s="270">
        <v>0.15</v>
      </c>
      <c r="G46" s="270">
        <v>0</v>
      </c>
      <c r="H46" s="270">
        <v>0.15</v>
      </c>
      <c r="I46" s="270">
        <v>0.2</v>
      </c>
      <c r="J46" s="270">
        <v>0.2</v>
      </c>
      <c r="L46" s="342">
        <f t="shared" si="5"/>
        <v>1</v>
      </c>
    </row>
    <row r="47" spans="1:12" x14ac:dyDescent="0.25">
      <c r="A47" s="341" t="s">
        <v>588</v>
      </c>
      <c r="B47" s="270">
        <v>0</v>
      </c>
      <c r="C47" s="270">
        <v>0</v>
      </c>
      <c r="D47" s="270">
        <v>0</v>
      </c>
      <c r="E47" s="270">
        <v>0.1</v>
      </c>
      <c r="F47" s="270">
        <v>0.2</v>
      </c>
      <c r="G47" s="270">
        <v>0.15</v>
      </c>
      <c r="H47" s="270">
        <v>0.15</v>
      </c>
      <c r="I47" s="270">
        <v>0.2</v>
      </c>
      <c r="J47" s="270">
        <v>0.2</v>
      </c>
      <c r="L47" s="342">
        <f t="shared" si="5"/>
        <v>1</v>
      </c>
    </row>
    <row r="48" spans="1:12" x14ac:dyDescent="0.25">
      <c r="A48" s="341" t="s">
        <v>589</v>
      </c>
      <c r="B48" s="270">
        <v>0</v>
      </c>
      <c r="C48" s="270">
        <v>0</v>
      </c>
      <c r="D48" s="270">
        <v>0</v>
      </c>
      <c r="E48" s="270">
        <v>0</v>
      </c>
      <c r="F48" s="270">
        <v>0</v>
      </c>
      <c r="G48" s="270">
        <v>0</v>
      </c>
      <c r="H48" s="270">
        <v>0.2</v>
      </c>
      <c r="I48" s="270">
        <v>0.5</v>
      </c>
      <c r="J48" s="270">
        <v>0.3</v>
      </c>
      <c r="L48" s="342">
        <f t="shared" si="5"/>
        <v>1</v>
      </c>
    </row>
    <row r="49" spans="1:12" x14ac:dyDescent="0.25">
      <c r="A49" s="341" t="s">
        <v>590</v>
      </c>
      <c r="B49" s="270">
        <v>0.15</v>
      </c>
      <c r="C49" s="270">
        <v>0.3</v>
      </c>
      <c r="D49" s="270">
        <v>0.3</v>
      </c>
      <c r="E49" s="270">
        <v>0.05</v>
      </c>
      <c r="F49" s="270">
        <v>0.1</v>
      </c>
      <c r="G49" s="270">
        <v>0</v>
      </c>
      <c r="H49" s="270">
        <v>0.05</v>
      </c>
      <c r="I49" s="270">
        <v>0.05</v>
      </c>
      <c r="J49" s="270">
        <v>0</v>
      </c>
      <c r="L49" s="342">
        <f t="shared" si="5"/>
        <v>1</v>
      </c>
    </row>
    <row r="50" spans="1:12" x14ac:dyDescent="0.25">
      <c r="A50" s="341" t="s">
        <v>591</v>
      </c>
      <c r="B50" s="270">
        <v>0.05</v>
      </c>
      <c r="C50" s="270">
        <v>0.05</v>
      </c>
      <c r="D50" s="270">
        <v>0.05</v>
      </c>
      <c r="E50" s="270">
        <v>0.1</v>
      </c>
      <c r="F50" s="270">
        <v>0.25</v>
      </c>
      <c r="G50" s="270">
        <v>0.4</v>
      </c>
      <c r="H50" s="270">
        <v>0.05</v>
      </c>
      <c r="I50" s="270">
        <v>0.05</v>
      </c>
      <c r="J50" s="270">
        <v>0</v>
      </c>
      <c r="L50" s="342">
        <f t="shared" si="5"/>
        <v>1</v>
      </c>
    </row>
    <row r="51" spans="1:12" x14ac:dyDescent="0.25">
      <c r="A51" s="341" t="s">
        <v>592</v>
      </c>
      <c r="B51" s="270">
        <v>0.01</v>
      </c>
      <c r="C51" s="270">
        <v>0.01</v>
      </c>
      <c r="D51" s="270">
        <v>0.01</v>
      </c>
      <c r="E51" s="270">
        <v>0.05</v>
      </c>
      <c r="F51" s="270">
        <v>0.06</v>
      </c>
      <c r="G51" s="270">
        <v>0.06</v>
      </c>
      <c r="H51" s="270">
        <v>0.05</v>
      </c>
      <c r="I51" s="270">
        <v>0.4</v>
      </c>
      <c r="J51" s="270">
        <v>0.35</v>
      </c>
      <c r="L51" s="342">
        <f t="shared" si="5"/>
        <v>1</v>
      </c>
    </row>
  </sheetData>
  <hyperlinks>
    <hyperlink ref="A1" location="'Main Menu'!A1" display="Return to Main Menu"/>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305"/>
  <sheetViews>
    <sheetView showGridLines="0" zoomScale="80" zoomScaleNormal="80" workbookViewId="0">
      <pane xSplit="3" ySplit="4" topLeftCell="G91" activePane="bottomRight" state="frozen"/>
      <selection pane="topRight"/>
      <selection pane="bottomLeft"/>
      <selection pane="bottomRight" activeCell="Q101" sqref="Q101:Q124"/>
    </sheetView>
  </sheetViews>
  <sheetFormatPr defaultRowHeight="15" x14ac:dyDescent="0.25"/>
  <cols>
    <col min="1" max="1" width="30" style="22" customWidth="1"/>
    <col min="2" max="2" width="16.42578125" style="22" customWidth="1"/>
    <col min="3" max="3" width="13.5703125" style="22" customWidth="1"/>
    <col min="4" max="4" width="12.28515625" style="22" customWidth="1"/>
    <col min="5" max="5" width="10" style="22" customWidth="1"/>
    <col min="6" max="7" width="9.140625" style="22"/>
    <col min="9" max="9" width="9.85546875" customWidth="1"/>
    <col min="10" max="11" width="10.140625" style="22" customWidth="1"/>
    <col min="12" max="12" width="10.42578125" customWidth="1"/>
    <col min="13" max="13" width="10.140625" customWidth="1"/>
    <col min="14" max="14" width="10.42578125" style="22" customWidth="1"/>
    <col min="15" max="15" width="10.85546875" style="22" customWidth="1"/>
    <col min="16" max="16" width="10" style="22" customWidth="1"/>
    <col min="17" max="17" width="10" customWidth="1"/>
  </cols>
  <sheetData>
    <row r="1" spans="1:25" ht="34.5" customHeight="1" x14ac:dyDescent="0.25">
      <c r="A1" s="127" t="s">
        <v>34</v>
      </c>
    </row>
    <row r="2" spans="1:25" s="22" customFormat="1" ht="4.5" customHeight="1" x14ac:dyDescent="0.25">
      <c r="A2" s="19"/>
    </row>
    <row r="3" spans="1:25" s="22" customFormat="1" ht="4.5" customHeight="1" thickBot="1" x14ac:dyDescent="0.3">
      <c r="A3" s="19"/>
    </row>
    <row r="4" spans="1:25" s="17" customFormat="1" ht="49.5" customHeight="1" thickBot="1" x14ac:dyDescent="0.3">
      <c r="A4" s="162" t="s">
        <v>507</v>
      </c>
      <c r="B4" s="163" t="s">
        <v>506</v>
      </c>
      <c r="C4" s="164" t="s">
        <v>514</v>
      </c>
      <c r="D4" s="165" t="s">
        <v>220</v>
      </c>
      <c r="E4" s="166" t="s">
        <v>343</v>
      </c>
      <c r="F4" s="167" t="s">
        <v>344</v>
      </c>
      <c r="G4" s="165" t="s">
        <v>33</v>
      </c>
      <c r="H4" s="166" t="s">
        <v>32</v>
      </c>
      <c r="I4" s="167" t="s">
        <v>221</v>
      </c>
      <c r="J4" s="167" t="s">
        <v>222</v>
      </c>
      <c r="K4" s="167" t="s">
        <v>229</v>
      </c>
      <c r="L4" s="165" t="s">
        <v>226</v>
      </c>
      <c r="M4" s="167" t="s">
        <v>225</v>
      </c>
      <c r="N4" s="165" t="s">
        <v>227</v>
      </c>
      <c r="O4" s="167" t="s">
        <v>228</v>
      </c>
      <c r="P4" s="166" t="s">
        <v>223</v>
      </c>
      <c r="Q4" s="166" t="s">
        <v>224</v>
      </c>
    </row>
    <row r="5" spans="1:25" ht="15" customHeight="1" x14ac:dyDescent="0.25">
      <c r="A5" s="543" t="s">
        <v>18</v>
      </c>
      <c r="B5" s="542" t="s">
        <v>577</v>
      </c>
      <c r="C5" s="16" t="s">
        <v>3</v>
      </c>
      <c r="D5" s="303">
        <v>0</v>
      </c>
      <c r="E5" s="304">
        <v>0</v>
      </c>
      <c r="F5" s="305">
        <v>0</v>
      </c>
      <c r="G5" s="306">
        <v>0</v>
      </c>
      <c r="H5" s="304">
        <v>0</v>
      </c>
      <c r="I5" s="305">
        <v>0</v>
      </c>
      <c r="J5" s="305">
        <v>0</v>
      </c>
      <c r="K5" s="305">
        <v>0</v>
      </c>
      <c r="L5" s="306">
        <v>0</v>
      </c>
      <c r="M5" s="305">
        <v>0</v>
      </c>
      <c r="N5" s="306">
        <v>0</v>
      </c>
      <c r="O5" s="305">
        <v>0</v>
      </c>
      <c r="P5" s="305">
        <v>0</v>
      </c>
      <c r="Q5" s="305">
        <v>0</v>
      </c>
    </row>
    <row r="6" spans="1:25" x14ac:dyDescent="0.25">
      <c r="A6" s="537"/>
      <c r="B6" s="540"/>
      <c r="C6" s="15" t="s">
        <v>2</v>
      </c>
      <c r="D6" s="307">
        <v>0</v>
      </c>
      <c r="E6" s="308">
        <v>0</v>
      </c>
      <c r="F6" s="302">
        <v>0</v>
      </c>
      <c r="G6" s="309">
        <v>0</v>
      </c>
      <c r="H6" s="308">
        <v>0</v>
      </c>
      <c r="I6" s="302">
        <v>0</v>
      </c>
      <c r="J6" s="302">
        <v>0</v>
      </c>
      <c r="K6" s="302">
        <v>0</v>
      </c>
      <c r="L6" s="309">
        <v>0</v>
      </c>
      <c r="M6" s="302">
        <v>0</v>
      </c>
      <c r="N6" s="309">
        <v>0</v>
      </c>
      <c r="O6" s="302">
        <v>0</v>
      </c>
      <c r="P6" s="302">
        <v>0</v>
      </c>
      <c r="Q6" s="302">
        <v>0</v>
      </c>
    </row>
    <row r="7" spans="1:25" x14ac:dyDescent="0.25">
      <c r="A7" s="537"/>
      <c r="B7" s="540"/>
      <c r="C7" s="15" t="s">
        <v>1</v>
      </c>
      <c r="D7" s="310">
        <v>3.8</v>
      </c>
      <c r="E7" s="308">
        <v>0</v>
      </c>
      <c r="F7" s="302">
        <v>0</v>
      </c>
      <c r="G7" s="309">
        <v>0</v>
      </c>
      <c r="H7" s="308">
        <v>0</v>
      </c>
      <c r="I7" s="302">
        <v>0</v>
      </c>
      <c r="J7" s="302">
        <v>0</v>
      </c>
      <c r="K7" s="302">
        <v>0</v>
      </c>
      <c r="L7" s="311">
        <v>0.05</v>
      </c>
      <c r="M7" s="312">
        <v>0.05</v>
      </c>
      <c r="N7" s="311">
        <v>0.01</v>
      </c>
      <c r="O7" s="312">
        <v>0.01</v>
      </c>
      <c r="P7" s="302">
        <v>0</v>
      </c>
      <c r="Q7" s="302">
        <v>0</v>
      </c>
    </row>
    <row r="8" spans="1:25" ht="15.75" thickBot="1" x14ac:dyDescent="0.3">
      <c r="A8" s="537"/>
      <c r="B8" s="541"/>
      <c r="C8" s="15" t="s">
        <v>0</v>
      </c>
      <c r="D8" s="310">
        <v>4.9000000000000004</v>
      </c>
      <c r="E8" s="308">
        <v>0</v>
      </c>
      <c r="F8" s="302">
        <v>0</v>
      </c>
      <c r="G8" s="309">
        <v>0</v>
      </c>
      <c r="H8" s="308">
        <v>0</v>
      </c>
      <c r="I8" s="302">
        <v>0</v>
      </c>
      <c r="J8" s="302">
        <v>0</v>
      </c>
      <c r="K8" s="302">
        <v>0</v>
      </c>
      <c r="L8" s="311">
        <v>0.05</v>
      </c>
      <c r="M8" s="312">
        <v>0.05</v>
      </c>
      <c r="N8" s="311">
        <v>0.02</v>
      </c>
      <c r="O8" s="312">
        <v>0.02</v>
      </c>
      <c r="P8" s="302">
        <v>0</v>
      </c>
      <c r="Q8" s="302">
        <v>0</v>
      </c>
    </row>
    <row r="9" spans="1:25" ht="15" customHeight="1" x14ac:dyDescent="0.25">
      <c r="A9" s="537"/>
      <c r="B9" s="539" t="s">
        <v>578</v>
      </c>
      <c r="C9" s="16" t="s">
        <v>3</v>
      </c>
      <c r="D9" s="303">
        <v>0</v>
      </c>
      <c r="E9" s="304">
        <v>0</v>
      </c>
      <c r="F9" s="305">
        <v>0</v>
      </c>
      <c r="G9" s="306">
        <v>0</v>
      </c>
      <c r="H9" s="304">
        <v>0</v>
      </c>
      <c r="I9" s="305">
        <v>0</v>
      </c>
      <c r="J9" s="305">
        <v>0</v>
      </c>
      <c r="K9" s="305">
        <v>0</v>
      </c>
      <c r="L9" s="306">
        <v>0</v>
      </c>
      <c r="M9" s="305">
        <v>0</v>
      </c>
      <c r="N9" s="306">
        <v>0</v>
      </c>
      <c r="O9" s="305">
        <v>0</v>
      </c>
      <c r="P9" s="305">
        <v>0</v>
      </c>
      <c r="Q9" s="305">
        <v>0</v>
      </c>
    </row>
    <row r="10" spans="1:25" x14ac:dyDescent="0.25">
      <c r="A10" s="537"/>
      <c r="B10" s="540"/>
      <c r="C10" s="15" t="s">
        <v>2</v>
      </c>
      <c r="D10" s="307">
        <v>0</v>
      </c>
      <c r="E10" s="308">
        <v>0</v>
      </c>
      <c r="F10" s="302">
        <v>0</v>
      </c>
      <c r="G10" s="309">
        <v>0</v>
      </c>
      <c r="H10" s="308">
        <v>0</v>
      </c>
      <c r="I10" s="302">
        <v>0</v>
      </c>
      <c r="J10" s="302">
        <v>0</v>
      </c>
      <c r="K10" s="302">
        <v>0</v>
      </c>
      <c r="L10" s="309">
        <v>0</v>
      </c>
      <c r="M10" s="302">
        <v>0</v>
      </c>
      <c r="N10" s="309">
        <v>0</v>
      </c>
      <c r="O10" s="302">
        <v>0</v>
      </c>
      <c r="P10" s="302">
        <v>0</v>
      </c>
      <c r="Q10" s="302">
        <v>0</v>
      </c>
    </row>
    <row r="11" spans="1:25" x14ac:dyDescent="0.25">
      <c r="A11" s="537"/>
      <c r="B11" s="540"/>
      <c r="C11" s="15" t="s">
        <v>1</v>
      </c>
      <c r="D11" s="313">
        <v>0</v>
      </c>
      <c r="E11" s="308">
        <v>0</v>
      </c>
      <c r="F11" s="302">
        <v>0</v>
      </c>
      <c r="G11" s="309">
        <v>0</v>
      </c>
      <c r="H11" s="308">
        <v>0</v>
      </c>
      <c r="I11" s="302">
        <v>0</v>
      </c>
      <c r="J11" s="302">
        <v>0</v>
      </c>
      <c r="K11" s="302">
        <v>0</v>
      </c>
      <c r="L11" s="309">
        <v>0</v>
      </c>
      <c r="M11" s="308">
        <v>0</v>
      </c>
      <c r="N11" s="302">
        <v>0</v>
      </c>
      <c r="O11" s="302">
        <v>0</v>
      </c>
      <c r="P11" s="302">
        <v>0</v>
      </c>
      <c r="Q11" s="302">
        <v>0</v>
      </c>
    </row>
    <row r="12" spans="1:25" ht="15.75" thickBot="1" x14ac:dyDescent="0.3">
      <c r="A12" s="537"/>
      <c r="B12" s="544"/>
      <c r="C12" s="15" t="s">
        <v>0</v>
      </c>
      <c r="D12" s="313">
        <v>0</v>
      </c>
      <c r="E12" s="308">
        <v>0</v>
      </c>
      <c r="F12" s="302">
        <v>0</v>
      </c>
      <c r="G12" s="309">
        <v>0</v>
      </c>
      <c r="H12" s="308">
        <v>0</v>
      </c>
      <c r="I12" s="302">
        <v>0</v>
      </c>
      <c r="J12" s="302">
        <v>0</v>
      </c>
      <c r="K12" s="302">
        <v>0</v>
      </c>
      <c r="L12" s="309">
        <v>0</v>
      </c>
      <c r="M12" s="308">
        <v>0</v>
      </c>
      <c r="N12" s="302">
        <v>0</v>
      </c>
      <c r="O12" s="302">
        <v>0</v>
      </c>
      <c r="P12" s="302">
        <v>0</v>
      </c>
      <c r="Q12" s="302">
        <v>0</v>
      </c>
    </row>
    <row r="13" spans="1:25" s="22" customFormat="1" x14ac:dyDescent="0.25">
      <c r="A13" s="537"/>
      <c r="B13" s="542" t="s">
        <v>579</v>
      </c>
      <c r="C13" s="16" t="s">
        <v>3</v>
      </c>
      <c r="D13" s="303">
        <v>0</v>
      </c>
      <c r="E13" s="304">
        <v>0</v>
      </c>
      <c r="F13" s="305">
        <v>0</v>
      </c>
      <c r="G13" s="306">
        <v>0</v>
      </c>
      <c r="H13" s="304">
        <v>0</v>
      </c>
      <c r="I13" s="305">
        <v>0</v>
      </c>
      <c r="J13" s="305">
        <v>0</v>
      </c>
      <c r="K13" s="305">
        <v>0</v>
      </c>
      <c r="L13" s="306">
        <v>0</v>
      </c>
      <c r="M13" s="305">
        <v>0</v>
      </c>
      <c r="N13" s="306">
        <v>0</v>
      </c>
      <c r="O13" s="305">
        <v>0</v>
      </c>
      <c r="P13" s="305">
        <v>0</v>
      </c>
      <c r="Q13" s="305">
        <v>0</v>
      </c>
    </row>
    <row r="14" spans="1:25" s="22" customFormat="1" x14ac:dyDescent="0.25">
      <c r="A14" s="537"/>
      <c r="B14" s="540"/>
      <c r="C14" s="15" t="s">
        <v>2</v>
      </c>
      <c r="D14" s="307">
        <v>0</v>
      </c>
      <c r="E14" s="308">
        <v>0</v>
      </c>
      <c r="F14" s="302">
        <v>0</v>
      </c>
      <c r="G14" s="309">
        <v>0</v>
      </c>
      <c r="H14" s="308">
        <v>0</v>
      </c>
      <c r="I14" s="302">
        <v>0</v>
      </c>
      <c r="J14" s="302">
        <v>0</v>
      </c>
      <c r="K14" s="302">
        <v>0</v>
      </c>
      <c r="L14" s="309">
        <v>0</v>
      </c>
      <c r="M14" s="302">
        <v>0</v>
      </c>
      <c r="N14" s="309">
        <v>0</v>
      </c>
      <c r="O14" s="302">
        <v>0</v>
      </c>
      <c r="P14" s="302">
        <v>0</v>
      </c>
      <c r="Q14" s="302">
        <v>0</v>
      </c>
    </row>
    <row r="15" spans="1:25" s="22" customFormat="1" x14ac:dyDescent="0.25">
      <c r="A15" s="537"/>
      <c r="B15" s="540"/>
      <c r="C15" s="15" t="s">
        <v>1</v>
      </c>
      <c r="D15" s="310">
        <v>3.4</v>
      </c>
      <c r="E15" s="453">
        <f>Y15*10</f>
        <v>2.9999999999999996E-3</v>
      </c>
      <c r="F15" s="312">
        <v>0</v>
      </c>
      <c r="G15" s="309">
        <v>0</v>
      </c>
      <c r="H15" s="308">
        <v>0</v>
      </c>
      <c r="I15" s="302">
        <v>0</v>
      </c>
      <c r="J15" s="302">
        <v>0</v>
      </c>
      <c r="K15" s="302">
        <v>0</v>
      </c>
      <c r="L15" s="311">
        <v>0.05</v>
      </c>
      <c r="M15" s="312">
        <v>0.05</v>
      </c>
      <c r="N15" s="311">
        <v>0.01</v>
      </c>
      <c r="O15" s="312">
        <v>0.01</v>
      </c>
      <c r="P15" s="302">
        <v>0</v>
      </c>
      <c r="Q15" s="302">
        <v>0</v>
      </c>
      <c r="Y15" s="314">
        <v>2.9999999999999997E-4</v>
      </c>
    </row>
    <row r="16" spans="1:25" s="22" customFormat="1" ht="15.75" thickBot="1" x14ac:dyDescent="0.3">
      <c r="A16" s="537"/>
      <c r="B16" s="544"/>
      <c r="C16" s="15" t="s">
        <v>0</v>
      </c>
      <c r="D16" s="310">
        <v>4.4000000000000004</v>
      </c>
      <c r="E16" s="453">
        <f>Y16*10.2</f>
        <v>3.0599999999999994E-3</v>
      </c>
      <c r="F16" s="312">
        <v>0</v>
      </c>
      <c r="G16" s="309">
        <v>0</v>
      </c>
      <c r="H16" s="308">
        <v>0</v>
      </c>
      <c r="I16" s="302">
        <v>0</v>
      </c>
      <c r="J16" s="302">
        <v>0</v>
      </c>
      <c r="K16" s="302">
        <v>0</v>
      </c>
      <c r="L16" s="311">
        <v>0.05</v>
      </c>
      <c r="M16" s="312">
        <v>0.05</v>
      </c>
      <c r="N16" s="311">
        <v>0.02</v>
      </c>
      <c r="O16" s="312">
        <v>0.02</v>
      </c>
      <c r="P16" s="302">
        <v>0</v>
      </c>
      <c r="Q16" s="302">
        <v>0</v>
      </c>
      <c r="Y16" s="314">
        <v>2.9999999999999997E-4</v>
      </c>
    </row>
    <row r="17" spans="1:27" s="22" customFormat="1" x14ac:dyDescent="0.25">
      <c r="A17" s="537"/>
      <c r="B17" s="542" t="s">
        <v>580</v>
      </c>
      <c r="C17" s="16" t="s">
        <v>3</v>
      </c>
      <c r="D17" s="303">
        <v>0</v>
      </c>
      <c r="E17" s="304">
        <v>0</v>
      </c>
      <c r="F17" s="305">
        <v>0</v>
      </c>
      <c r="G17" s="306">
        <v>0</v>
      </c>
      <c r="H17" s="304">
        <v>0</v>
      </c>
      <c r="I17" s="305">
        <v>0</v>
      </c>
      <c r="J17" s="305">
        <v>0</v>
      </c>
      <c r="K17" s="305">
        <v>0</v>
      </c>
      <c r="L17" s="306">
        <v>0</v>
      </c>
      <c r="M17" s="305">
        <v>0</v>
      </c>
      <c r="N17" s="306">
        <v>0</v>
      </c>
      <c r="O17" s="305">
        <v>0</v>
      </c>
      <c r="P17" s="305">
        <v>0</v>
      </c>
      <c r="Q17" s="305">
        <v>0</v>
      </c>
      <c r="Y17" s="304">
        <v>0</v>
      </c>
    </row>
    <row r="18" spans="1:27" s="22" customFormat="1" x14ac:dyDescent="0.25">
      <c r="A18" s="537"/>
      <c r="B18" s="540"/>
      <c r="C18" s="15" t="s">
        <v>2</v>
      </c>
      <c r="D18" s="307">
        <v>0</v>
      </c>
      <c r="E18" s="308">
        <v>0</v>
      </c>
      <c r="F18" s="302">
        <v>0</v>
      </c>
      <c r="G18" s="309">
        <v>0</v>
      </c>
      <c r="H18" s="308">
        <v>0</v>
      </c>
      <c r="I18" s="302">
        <v>0</v>
      </c>
      <c r="J18" s="302">
        <v>0</v>
      </c>
      <c r="K18" s="302">
        <v>0</v>
      </c>
      <c r="L18" s="309">
        <v>0</v>
      </c>
      <c r="M18" s="302">
        <v>0</v>
      </c>
      <c r="N18" s="309">
        <v>0</v>
      </c>
      <c r="O18" s="302">
        <v>0</v>
      </c>
      <c r="P18" s="302">
        <v>0</v>
      </c>
      <c r="Q18" s="302">
        <v>0</v>
      </c>
      <c r="Y18" s="308">
        <v>0</v>
      </c>
    </row>
    <row r="19" spans="1:27" s="22" customFormat="1" x14ac:dyDescent="0.25">
      <c r="A19" s="537"/>
      <c r="B19" s="540"/>
      <c r="C19" s="15" t="s">
        <v>1</v>
      </c>
      <c r="D19" s="310">
        <v>3.4</v>
      </c>
      <c r="E19" s="453">
        <f>Y19*10</f>
        <v>2.9999999999999996E-3</v>
      </c>
      <c r="F19" s="312">
        <v>0</v>
      </c>
      <c r="G19" s="309">
        <v>0</v>
      </c>
      <c r="H19" s="308">
        <v>0</v>
      </c>
      <c r="I19" s="302">
        <v>0</v>
      </c>
      <c r="J19" s="302">
        <v>0</v>
      </c>
      <c r="K19" s="302">
        <v>0</v>
      </c>
      <c r="L19" s="311">
        <v>0.05</v>
      </c>
      <c r="M19" s="312">
        <v>0.05</v>
      </c>
      <c r="N19" s="311">
        <v>0.01</v>
      </c>
      <c r="O19" s="312">
        <v>0.01</v>
      </c>
      <c r="P19" s="302">
        <v>0</v>
      </c>
      <c r="Q19" s="302">
        <v>0</v>
      </c>
      <c r="Y19" s="314">
        <v>2.9999999999999997E-4</v>
      </c>
    </row>
    <row r="20" spans="1:27" s="22" customFormat="1" ht="15.75" thickBot="1" x14ac:dyDescent="0.3">
      <c r="A20" s="537"/>
      <c r="B20" s="541"/>
      <c r="C20" s="15" t="s">
        <v>0</v>
      </c>
      <c r="D20" s="310">
        <v>4.4000000000000004</v>
      </c>
      <c r="E20" s="453">
        <f>Y20*10</f>
        <v>2.9999999999999996E-3</v>
      </c>
      <c r="F20" s="312">
        <v>0</v>
      </c>
      <c r="G20" s="309">
        <v>0</v>
      </c>
      <c r="H20" s="308">
        <v>0</v>
      </c>
      <c r="I20" s="302">
        <v>0</v>
      </c>
      <c r="J20" s="302">
        <v>0</v>
      </c>
      <c r="K20" s="302">
        <v>0</v>
      </c>
      <c r="L20" s="311">
        <v>0.05</v>
      </c>
      <c r="M20" s="312">
        <v>0.05</v>
      </c>
      <c r="N20" s="311">
        <v>0.02</v>
      </c>
      <c r="O20" s="312">
        <v>0.02</v>
      </c>
      <c r="P20" s="302">
        <v>0</v>
      </c>
      <c r="Q20" s="302">
        <v>0</v>
      </c>
      <c r="Y20" s="314">
        <v>2.9999999999999997E-4</v>
      </c>
    </row>
    <row r="21" spans="1:27" ht="15" customHeight="1" x14ac:dyDescent="0.25">
      <c r="A21" s="537"/>
      <c r="B21" s="542" t="s">
        <v>581</v>
      </c>
      <c r="C21" s="16" t="s">
        <v>3</v>
      </c>
      <c r="D21" s="303">
        <v>0</v>
      </c>
      <c r="E21" s="304">
        <v>0</v>
      </c>
      <c r="F21" s="305">
        <v>0</v>
      </c>
      <c r="G21" s="306">
        <v>0</v>
      </c>
      <c r="H21" s="304">
        <v>0</v>
      </c>
      <c r="I21" s="305">
        <v>0</v>
      </c>
      <c r="J21" s="305">
        <v>0</v>
      </c>
      <c r="K21" s="305">
        <v>0</v>
      </c>
      <c r="L21" s="306">
        <v>0</v>
      </c>
      <c r="M21" s="305">
        <v>0</v>
      </c>
      <c r="N21" s="306">
        <v>0</v>
      </c>
      <c r="O21" s="305">
        <v>0</v>
      </c>
      <c r="P21" s="305">
        <v>0</v>
      </c>
      <c r="Q21" s="305">
        <v>0</v>
      </c>
      <c r="Y21" s="304">
        <v>0</v>
      </c>
    </row>
    <row r="22" spans="1:27" x14ac:dyDescent="0.25">
      <c r="A22" s="537"/>
      <c r="B22" s="540"/>
      <c r="C22" s="15" t="s">
        <v>2</v>
      </c>
      <c r="D22" s="307">
        <v>0</v>
      </c>
      <c r="E22" s="308">
        <v>0</v>
      </c>
      <c r="F22" s="302">
        <v>0</v>
      </c>
      <c r="G22" s="309">
        <v>0</v>
      </c>
      <c r="H22" s="308">
        <v>0</v>
      </c>
      <c r="I22" s="302">
        <v>0</v>
      </c>
      <c r="J22" s="302">
        <v>0</v>
      </c>
      <c r="K22" s="302">
        <v>0</v>
      </c>
      <c r="L22" s="309">
        <v>0</v>
      </c>
      <c r="M22" s="302">
        <v>0</v>
      </c>
      <c r="N22" s="309">
        <v>0</v>
      </c>
      <c r="O22" s="302">
        <v>0</v>
      </c>
      <c r="P22" s="302">
        <v>0</v>
      </c>
      <c r="Q22" s="302">
        <v>0</v>
      </c>
      <c r="Y22" s="308">
        <v>0</v>
      </c>
    </row>
    <row r="23" spans="1:27" x14ac:dyDescent="0.25">
      <c r="A23" s="537"/>
      <c r="B23" s="540"/>
      <c r="C23" s="15" t="s">
        <v>1</v>
      </c>
      <c r="D23" s="310">
        <v>3.4</v>
      </c>
      <c r="E23" s="453">
        <f>Y23*10</f>
        <v>2.9999999999999996E-3</v>
      </c>
      <c r="F23" s="312">
        <v>0</v>
      </c>
      <c r="G23" s="309">
        <v>0</v>
      </c>
      <c r="H23" s="308">
        <v>0</v>
      </c>
      <c r="I23" s="302">
        <v>0</v>
      </c>
      <c r="J23" s="302">
        <v>0</v>
      </c>
      <c r="K23" s="302">
        <v>0</v>
      </c>
      <c r="L23" s="311">
        <v>0.05</v>
      </c>
      <c r="M23" s="312">
        <v>0.05</v>
      </c>
      <c r="N23" s="311">
        <v>0.01</v>
      </c>
      <c r="O23" s="312">
        <v>0.01</v>
      </c>
      <c r="P23" s="302">
        <v>0</v>
      </c>
      <c r="Q23" s="302">
        <v>0</v>
      </c>
      <c r="Y23" s="314">
        <v>2.9999999999999997E-4</v>
      </c>
    </row>
    <row r="24" spans="1:27" ht="15.75" thickBot="1" x14ac:dyDescent="0.3">
      <c r="A24" s="537"/>
      <c r="B24" s="541"/>
      <c r="C24" s="15" t="s">
        <v>0</v>
      </c>
      <c r="D24" s="310">
        <v>4.4000000000000004</v>
      </c>
      <c r="E24" s="453">
        <f>Y24*10</f>
        <v>2.9999999999999996E-3</v>
      </c>
      <c r="F24" s="312">
        <v>0</v>
      </c>
      <c r="G24" s="309">
        <v>0</v>
      </c>
      <c r="H24" s="308">
        <v>0</v>
      </c>
      <c r="I24" s="302">
        <v>0</v>
      </c>
      <c r="J24" s="302">
        <v>0</v>
      </c>
      <c r="K24" s="302">
        <v>0</v>
      </c>
      <c r="L24" s="311">
        <v>0.05</v>
      </c>
      <c r="M24" s="312">
        <v>0.05</v>
      </c>
      <c r="N24" s="311">
        <v>0.02</v>
      </c>
      <c r="O24" s="312">
        <v>0.02</v>
      </c>
      <c r="P24" s="302">
        <v>0</v>
      </c>
      <c r="Q24" s="302">
        <v>0</v>
      </c>
      <c r="Y24" s="314">
        <v>2.9999999999999997E-4</v>
      </c>
    </row>
    <row r="25" spans="1:27" ht="15" customHeight="1" x14ac:dyDescent="0.25">
      <c r="A25" s="537"/>
      <c r="B25" s="539" t="s">
        <v>582</v>
      </c>
      <c r="C25" s="16" t="s">
        <v>3</v>
      </c>
      <c r="D25" s="303">
        <v>0</v>
      </c>
      <c r="E25" s="304">
        <v>0</v>
      </c>
      <c r="F25" s="315">
        <v>0</v>
      </c>
      <c r="G25" s="306">
        <v>0</v>
      </c>
      <c r="H25" s="316">
        <v>0</v>
      </c>
      <c r="I25" s="315">
        <v>0</v>
      </c>
      <c r="J25" s="315">
        <v>0</v>
      </c>
      <c r="K25" s="315">
        <v>0</v>
      </c>
      <c r="L25" s="317">
        <v>0</v>
      </c>
      <c r="M25" s="315">
        <v>0</v>
      </c>
      <c r="N25" s="317">
        <v>0</v>
      </c>
      <c r="O25" s="315">
        <v>0</v>
      </c>
      <c r="P25" s="315">
        <v>0</v>
      </c>
      <c r="Q25" s="315">
        <v>0</v>
      </c>
      <c r="Y25" s="304">
        <v>0</v>
      </c>
    </row>
    <row r="26" spans="1:27" x14ac:dyDescent="0.25">
      <c r="A26" s="537"/>
      <c r="B26" s="540"/>
      <c r="C26" s="15" t="s">
        <v>2</v>
      </c>
      <c r="D26" s="307">
        <v>0</v>
      </c>
      <c r="E26" s="308">
        <v>0</v>
      </c>
      <c r="F26" s="302">
        <v>0</v>
      </c>
      <c r="G26" s="309">
        <v>0</v>
      </c>
      <c r="H26" s="308">
        <v>0</v>
      </c>
      <c r="I26" s="302">
        <v>0</v>
      </c>
      <c r="J26" s="302">
        <v>0</v>
      </c>
      <c r="K26" s="302">
        <v>0</v>
      </c>
      <c r="L26" s="309">
        <v>0</v>
      </c>
      <c r="M26" s="302">
        <v>0</v>
      </c>
      <c r="N26" s="309">
        <v>0</v>
      </c>
      <c r="O26" s="302">
        <v>0</v>
      </c>
      <c r="P26" s="302">
        <v>0</v>
      </c>
      <c r="Q26" s="302">
        <v>0</v>
      </c>
      <c r="Y26" s="308">
        <v>0</v>
      </c>
    </row>
    <row r="27" spans="1:27" x14ac:dyDescent="0.25">
      <c r="A27" s="537"/>
      <c r="B27" s="540"/>
      <c r="C27" s="15" t="s">
        <v>1</v>
      </c>
      <c r="D27" s="310">
        <v>3.1</v>
      </c>
      <c r="E27" s="453">
        <f>Y27*10</f>
        <v>2.9999999999999996E-3</v>
      </c>
      <c r="F27" s="312">
        <v>0</v>
      </c>
      <c r="G27" s="309">
        <v>0</v>
      </c>
      <c r="H27" s="308">
        <v>0</v>
      </c>
      <c r="I27" s="302">
        <v>0</v>
      </c>
      <c r="J27" s="302">
        <v>0</v>
      </c>
      <c r="K27" s="302">
        <v>0</v>
      </c>
      <c r="L27" s="311">
        <v>0.05</v>
      </c>
      <c r="M27" s="434">
        <v>5.0720000000000001E-2</v>
      </c>
      <c r="N27" s="311">
        <v>0.05</v>
      </c>
      <c r="O27" s="448">
        <v>0.50719999999999998</v>
      </c>
      <c r="P27" s="302">
        <v>0</v>
      </c>
      <c r="Q27" s="302">
        <v>0</v>
      </c>
      <c r="Y27" s="314">
        <v>2.9999999999999997E-4</v>
      </c>
    </row>
    <row r="28" spans="1:27" ht="15.75" thickBot="1" x14ac:dyDescent="0.3">
      <c r="A28" s="538"/>
      <c r="B28" s="541"/>
      <c r="C28" s="15" t="s">
        <v>0</v>
      </c>
      <c r="D28" s="310">
        <v>4.2</v>
      </c>
      <c r="E28" s="453">
        <f>Y28*10</f>
        <v>2.9999999999999996E-3</v>
      </c>
      <c r="F28" s="312">
        <v>0</v>
      </c>
      <c r="G28" s="309">
        <v>0</v>
      </c>
      <c r="H28" s="308">
        <v>0</v>
      </c>
      <c r="I28" s="302">
        <v>0</v>
      </c>
      <c r="J28" s="302">
        <v>0</v>
      </c>
      <c r="K28" s="302">
        <v>0</v>
      </c>
      <c r="L28" s="311">
        <v>0.02</v>
      </c>
      <c r="M28" s="434">
        <v>5.4128010131252499E-2</v>
      </c>
      <c r="N28" s="311">
        <v>0.02</v>
      </c>
      <c r="O28" s="312">
        <v>9.4128010131252549E-2</v>
      </c>
      <c r="P28" s="302">
        <v>0</v>
      </c>
      <c r="Q28" s="302">
        <v>0</v>
      </c>
      <c r="Y28" s="314">
        <v>2.9999999999999997E-4</v>
      </c>
    </row>
    <row r="29" spans="1:27" ht="15" customHeight="1" x14ac:dyDescent="0.25">
      <c r="A29" s="536" t="s">
        <v>17</v>
      </c>
      <c r="B29" s="539" t="s">
        <v>577</v>
      </c>
      <c r="C29" s="16" t="s">
        <v>3</v>
      </c>
      <c r="D29" s="318">
        <v>1.1000000000000001</v>
      </c>
      <c r="E29" s="450">
        <f>Y29*20</f>
        <v>1.1999999999999999E-2</v>
      </c>
      <c r="F29" s="435">
        <f>U29*0.92</f>
        <v>9.1999999999999998E-3</v>
      </c>
      <c r="G29" s="321">
        <v>0.08</v>
      </c>
      <c r="H29" s="316">
        <v>0</v>
      </c>
      <c r="I29" s="315">
        <v>0</v>
      </c>
      <c r="J29" s="315">
        <v>0</v>
      </c>
      <c r="K29" s="315">
        <v>0</v>
      </c>
      <c r="L29" s="442">
        <f>V29*0.81</f>
        <v>5.6700000000000007E-2</v>
      </c>
      <c r="M29" s="435">
        <v>0.21</v>
      </c>
      <c r="N29" s="442">
        <f>X29*0.72</f>
        <v>3.5999999999999999E-3</v>
      </c>
      <c r="O29" s="451">
        <f>W29*1.2</f>
        <v>6.0000000000000001E-3</v>
      </c>
      <c r="P29" s="450">
        <f>S29*2.95</f>
        <v>0.14750000000000002</v>
      </c>
      <c r="Q29" s="446">
        <f>AA29*0.9</f>
        <v>1.8000000000000002E-2</v>
      </c>
      <c r="S29" s="319">
        <v>0.05</v>
      </c>
      <c r="U29" s="436">
        <v>0.01</v>
      </c>
      <c r="V29" s="321">
        <v>7.0000000000000007E-2</v>
      </c>
      <c r="W29" s="320">
        <v>5.0000000000000001E-3</v>
      </c>
      <c r="X29" s="321">
        <v>5.0000000000000001E-3</v>
      </c>
      <c r="Y29" s="319">
        <v>5.9999999999999995E-4</v>
      </c>
      <c r="Z29" s="320">
        <v>0.11</v>
      </c>
      <c r="AA29" s="319">
        <v>0.02</v>
      </c>
    </row>
    <row r="30" spans="1:27" x14ac:dyDescent="0.25">
      <c r="A30" s="537"/>
      <c r="B30" s="540"/>
      <c r="C30" s="15" t="s">
        <v>2</v>
      </c>
      <c r="D30" s="310">
        <v>2</v>
      </c>
      <c r="E30" s="450">
        <f t="shared" ref="E30:E52" si="0">Y30*20</f>
        <v>1.1999999999999999E-2</v>
      </c>
      <c r="F30" s="435">
        <f t="shared" ref="F30:F52" si="1">U30*0.92</f>
        <v>0.1012</v>
      </c>
      <c r="G30" s="309">
        <v>0</v>
      </c>
      <c r="H30" s="314">
        <v>0.04</v>
      </c>
      <c r="I30" s="302">
        <v>0</v>
      </c>
      <c r="J30" s="302">
        <v>0</v>
      </c>
      <c r="K30" s="302">
        <v>0</v>
      </c>
      <c r="L30" s="442">
        <f t="shared" ref="L30:L52" si="2">V30*0.81</f>
        <v>2.4300000000000002E-2</v>
      </c>
      <c r="M30" s="434">
        <v>0.09</v>
      </c>
      <c r="N30" s="442">
        <f t="shared" ref="N30:N52" si="3">X30*0.72</f>
        <v>3.5999999999999999E-3</v>
      </c>
      <c r="O30" s="451">
        <f t="shared" ref="O30:O52" si="4">W30*1.2</f>
        <v>6.0000000000000001E-3</v>
      </c>
      <c r="P30" s="450">
        <f t="shared" ref="P30:P52" si="5">S30*2.95</f>
        <v>0.14750000000000002</v>
      </c>
      <c r="Q30" s="446">
        <f t="shared" ref="Q30:Q76" si="6">AA30*0.9</f>
        <v>1.8000000000000002E-2</v>
      </c>
      <c r="S30" s="314">
        <v>0.05</v>
      </c>
      <c r="U30" s="312">
        <v>0.11</v>
      </c>
      <c r="V30" s="311">
        <v>0.03</v>
      </c>
      <c r="W30" s="311">
        <v>5.0000000000000001E-3</v>
      </c>
      <c r="X30" s="311">
        <v>5.0000000000000001E-3</v>
      </c>
      <c r="Y30" s="314">
        <v>5.9999999999999995E-4</v>
      </c>
      <c r="Z30" s="312">
        <v>0.08</v>
      </c>
      <c r="AA30" s="314">
        <v>0.02</v>
      </c>
    </row>
    <row r="31" spans="1:27" x14ac:dyDescent="0.25">
      <c r="A31" s="537"/>
      <c r="B31" s="540"/>
      <c r="C31" s="15" t="s">
        <v>1</v>
      </c>
      <c r="D31" s="310">
        <v>2.8</v>
      </c>
      <c r="E31" s="450">
        <f t="shared" si="0"/>
        <v>1.1999999999999999E-2</v>
      </c>
      <c r="F31" s="435">
        <f t="shared" si="1"/>
        <v>8.7400000000000005E-2</v>
      </c>
      <c r="G31" s="311">
        <v>0.08</v>
      </c>
      <c r="H31" s="308">
        <v>0</v>
      </c>
      <c r="I31" s="312">
        <v>7.0000000000000007E-2</v>
      </c>
      <c r="J31" s="312">
        <v>0.02</v>
      </c>
      <c r="K31" s="312">
        <v>0.02</v>
      </c>
      <c r="L31" s="442">
        <f t="shared" si="2"/>
        <v>4.0500000000000008E-2</v>
      </c>
      <c r="M31" s="434">
        <v>0.2</v>
      </c>
      <c r="N31" s="442">
        <f t="shared" si="3"/>
        <v>3.5999999999999999E-3</v>
      </c>
      <c r="O31" s="451">
        <f t="shared" si="4"/>
        <v>6.0000000000000001E-3</v>
      </c>
      <c r="P31" s="450">
        <f t="shared" si="5"/>
        <v>0.41300000000000009</v>
      </c>
      <c r="Q31" s="446">
        <f t="shared" si="6"/>
        <v>1.8000000000000002E-2</v>
      </c>
      <c r="S31" s="314">
        <v>0.14000000000000001</v>
      </c>
      <c r="U31" s="312">
        <v>9.5000000000000001E-2</v>
      </c>
      <c r="V31" s="311">
        <v>0.05</v>
      </c>
      <c r="W31" s="311">
        <v>5.0000000000000001E-3</v>
      </c>
      <c r="X31" s="311">
        <v>5.0000000000000001E-3</v>
      </c>
      <c r="Y31" s="314">
        <v>5.9999999999999995E-4</v>
      </c>
      <c r="Z31" s="312">
        <v>0.1</v>
      </c>
      <c r="AA31" s="314">
        <v>0.02</v>
      </c>
    </row>
    <row r="32" spans="1:27" ht="15.75" thickBot="1" x14ac:dyDescent="0.3">
      <c r="A32" s="537"/>
      <c r="B32" s="541"/>
      <c r="C32" s="15" t="s">
        <v>0</v>
      </c>
      <c r="D32" s="310">
        <v>3.8</v>
      </c>
      <c r="E32" s="450">
        <f t="shared" si="0"/>
        <v>1.1999999999999999E-2</v>
      </c>
      <c r="F32" s="435">
        <f t="shared" si="1"/>
        <v>0.1426</v>
      </c>
      <c r="G32" s="309">
        <v>0</v>
      </c>
      <c r="H32" s="314">
        <v>0.02</v>
      </c>
      <c r="I32" s="312">
        <v>0.04</v>
      </c>
      <c r="J32" s="312">
        <v>0.02</v>
      </c>
      <c r="K32" s="312">
        <v>0</v>
      </c>
      <c r="L32" s="442">
        <f t="shared" si="2"/>
        <v>2.4300000000000002E-2</v>
      </c>
      <c r="M32" s="434">
        <v>0.09</v>
      </c>
      <c r="N32" s="442">
        <f t="shared" si="3"/>
        <v>7.1999999999999998E-3</v>
      </c>
      <c r="O32" s="451">
        <f t="shared" si="4"/>
        <v>6.0000000000000001E-3</v>
      </c>
      <c r="P32" s="450">
        <f t="shared" si="5"/>
        <v>0.41300000000000009</v>
      </c>
      <c r="Q32" s="446">
        <f t="shared" si="6"/>
        <v>1.8000000000000002E-2</v>
      </c>
      <c r="S32" s="314">
        <v>0.14000000000000001</v>
      </c>
      <c r="U32" s="312">
        <v>0.155</v>
      </c>
      <c r="V32" s="311">
        <v>0.03</v>
      </c>
      <c r="W32" s="312">
        <v>5.0000000000000001E-3</v>
      </c>
      <c r="X32" s="311">
        <v>0.01</v>
      </c>
      <c r="Y32" s="314">
        <v>5.9999999999999995E-4</v>
      </c>
      <c r="Z32" s="312">
        <v>0.08</v>
      </c>
      <c r="AA32" s="314">
        <v>0.02</v>
      </c>
    </row>
    <row r="33" spans="1:27" ht="15" customHeight="1" x14ac:dyDescent="0.25">
      <c r="A33" s="537"/>
      <c r="B33" s="539" t="s">
        <v>578</v>
      </c>
      <c r="C33" s="16" t="s">
        <v>3</v>
      </c>
      <c r="D33" s="318">
        <v>1.1000000000000001</v>
      </c>
      <c r="E33" s="450">
        <f t="shared" si="0"/>
        <v>1.1999999999999999E-2</v>
      </c>
      <c r="F33" s="435">
        <f t="shared" si="1"/>
        <v>2.76E-2</v>
      </c>
      <c r="G33" s="321">
        <v>0.06</v>
      </c>
      <c r="H33" s="316">
        <v>0</v>
      </c>
      <c r="I33" s="315">
        <v>0</v>
      </c>
      <c r="J33" s="315">
        <v>0</v>
      </c>
      <c r="K33" s="315">
        <v>0</v>
      </c>
      <c r="L33" s="442">
        <f t="shared" si="2"/>
        <v>5.6700000000000007E-2</v>
      </c>
      <c r="M33" s="435">
        <v>0.21</v>
      </c>
      <c r="N33" s="442">
        <f t="shared" si="3"/>
        <v>3.5999999999999999E-3</v>
      </c>
      <c r="O33" s="451">
        <f t="shared" si="4"/>
        <v>6.0000000000000001E-3</v>
      </c>
      <c r="P33" s="450">
        <f t="shared" si="5"/>
        <v>0.11800000000000001</v>
      </c>
      <c r="Q33" s="446">
        <f t="shared" si="6"/>
        <v>1.8000000000000002E-2</v>
      </c>
      <c r="S33" s="319">
        <v>0.04</v>
      </c>
      <c r="T33" s="18"/>
      <c r="U33" s="436">
        <v>0.03</v>
      </c>
      <c r="V33" s="321">
        <v>7.0000000000000007E-2</v>
      </c>
      <c r="W33" s="320">
        <v>5.0000000000000001E-3</v>
      </c>
      <c r="X33" s="321">
        <v>5.0000000000000001E-3</v>
      </c>
      <c r="Y33" s="319">
        <v>5.9999999999999995E-4</v>
      </c>
      <c r="Z33" s="320">
        <v>0.11</v>
      </c>
      <c r="AA33" s="319">
        <v>0.02</v>
      </c>
    </row>
    <row r="34" spans="1:27" x14ac:dyDescent="0.25">
      <c r="A34" s="537"/>
      <c r="B34" s="540"/>
      <c r="C34" s="15" t="s">
        <v>2</v>
      </c>
      <c r="D34" s="310">
        <v>2</v>
      </c>
      <c r="E34" s="450">
        <f t="shared" si="0"/>
        <v>1.1999999999999999E-2</v>
      </c>
      <c r="F34" s="435">
        <f t="shared" si="1"/>
        <v>7.3599999999999999E-2</v>
      </c>
      <c r="G34" s="309">
        <v>0</v>
      </c>
      <c r="H34" s="314">
        <v>0.04</v>
      </c>
      <c r="I34" s="302">
        <v>0</v>
      </c>
      <c r="J34" s="302">
        <v>0</v>
      </c>
      <c r="K34" s="302">
        <v>0</v>
      </c>
      <c r="L34" s="442">
        <f t="shared" si="2"/>
        <v>2.4300000000000002E-2</v>
      </c>
      <c r="M34" s="434">
        <v>0.09</v>
      </c>
      <c r="N34" s="442">
        <f t="shared" si="3"/>
        <v>3.5999999999999999E-3</v>
      </c>
      <c r="O34" s="451">
        <f t="shared" si="4"/>
        <v>6.0000000000000001E-3</v>
      </c>
      <c r="P34" s="450">
        <f t="shared" si="5"/>
        <v>0.11800000000000001</v>
      </c>
      <c r="Q34" s="446">
        <f t="shared" si="6"/>
        <v>1.8000000000000002E-2</v>
      </c>
      <c r="S34" s="314">
        <v>0.04</v>
      </c>
      <c r="U34" s="437">
        <v>0.08</v>
      </c>
      <c r="V34" s="311">
        <v>0.03</v>
      </c>
      <c r="W34" s="311">
        <v>5.0000000000000001E-3</v>
      </c>
      <c r="X34" s="311">
        <v>5.0000000000000001E-3</v>
      </c>
      <c r="Y34" s="314">
        <v>5.9999999999999995E-4</v>
      </c>
      <c r="Z34" s="312">
        <v>0.08</v>
      </c>
      <c r="AA34" s="314">
        <v>0.02</v>
      </c>
    </row>
    <row r="35" spans="1:27" x14ac:dyDescent="0.25">
      <c r="A35" s="537"/>
      <c r="B35" s="540"/>
      <c r="C35" s="15" t="s">
        <v>1</v>
      </c>
      <c r="D35" s="310">
        <v>2.8</v>
      </c>
      <c r="E35" s="450">
        <f t="shared" si="0"/>
        <v>1.1999999999999999E-2</v>
      </c>
      <c r="F35" s="435">
        <f t="shared" si="1"/>
        <v>7.8200000000000006E-2</v>
      </c>
      <c r="G35" s="311">
        <v>0.03</v>
      </c>
      <c r="H35" s="308">
        <v>0</v>
      </c>
      <c r="I35" s="312">
        <v>7.0000000000000007E-2</v>
      </c>
      <c r="J35" s="312">
        <v>0.02</v>
      </c>
      <c r="K35" s="312">
        <v>0.02</v>
      </c>
      <c r="L35" s="442">
        <f t="shared" si="2"/>
        <v>4.0500000000000008E-2</v>
      </c>
      <c r="M35" s="434">
        <v>0.2</v>
      </c>
      <c r="N35" s="442">
        <f t="shared" si="3"/>
        <v>3.5999999999999999E-3</v>
      </c>
      <c r="O35" s="451">
        <f t="shared" si="4"/>
        <v>6.0000000000000001E-3</v>
      </c>
      <c r="P35" s="450">
        <f t="shared" si="5"/>
        <v>0.35399999999999998</v>
      </c>
      <c r="Q35" s="446">
        <f t="shared" si="6"/>
        <v>1.8000000000000002E-2</v>
      </c>
      <c r="S35" s="314">
        <v>0.12</v>
      </c>
      <c r="U35" s="437">
        <v>8.5000000000000006E-2</v>
      </c>
      <c r="V35" s="311">
        <v>0.05</v>
      </c>
      <c r="W35" s="311">
        <v>5.0000000000000001E-3</v>
      </c>
      <c r="X35" s="311">
        <v>5.0000000000000001E-3</v>
      </c>
      <c r="Y35" s="314">
        <v>5.9999999999999995E-4</v>
      </c>
      <c r="Z35" s="312">
        <v>0.1</v>
      </c>
      <c r="AA35" s="314">
        <v>0.02</v>
      </c>
    </row>
    <row r="36" spans="1:27" ht="15.75" thickBot="1" x14ac:dyDescent="0.3">
      <c r="A36" s="537"/>
      <c r="B36" s="541"/>
      <c r="C36" s="15" t="s">
        <v>0</v>
      </c>
      <c r="D36" s="310">
        <v>3.8</v>
      </c>
      <c r="E36" s="450">
        <f t="shared" si="0"/>
        <v>1.1999999999999999E-2</v>
      </c>
      <c r="F36" s="435">
        <f t="shared" si="1"/>
        <v>7.3599999999999999E-2</v>
      </c>
      <c r="G36" s="309">
        <v>0</v>
      </c>
      <c r="H36" s="314">
        <v>0.02</v>
      </c>
      <c r="I36" s="312">
        <v>0.04</v>
      </c>
      <c r="J36" s="312">
        <v>0.02</v>
      </c>
      <c r="K36" s="312">
        <v>0</v>
      </c>
      <c r="L36" s="442">
        <f t="shared" si="2"/>
        <v>2.4300000000000002E-2</v>
      </c>
      <c r="M36" s="434">
        <v>0.09</v>
      </c>
      <c r="N36" s="442">
        <f t="shared" si="3"/>
        <v>7.1999999999999998E-3</v>
      </c>
      <c r="O36" s="451">
        <f t="shared" si="4"/>
        <v>6.0000000000000001E-3</v>
      </c>
      <c r="P36" s="450">
        <f t="shared" si="5"/>
        <v>0.35399999999999998</v>
      </c>
      <c r="Q36" s="446">
        <f t="shared" si="6"/>
        <v>1.8000000000000002E-2</v>
      </c>
      <c r="S36" s="314">
        <v>0.12</v>
      </c>
      <c r="U36" s="437">
        <v>0.08</v>
      </c>
      <c r="V36" s="311">
        <v>0.03</v>
      </c>
      <c r="W36" s="312">
        <v>5.0000000000000001E-3</v>
      </c>
      <c r="X36" s="311">
        <v>0.01</v>
      </c>
      <c r="Y36" s="314">
        <v>5.9999999999999995E-4</v>
      </c>
      <c r="Z36" s="312">
        <v>0.08</v>
      </c>
      <c r="AA36" s="314">
        <v>0.02</v>
      </c>
    </row>
    <row r="37" spans="1:27" s="22" customFormat="1" x14ac:dyDescent="0.25">
      <c r="A37" s="537"/>
      <c r="B37" s="542" t="s">
        <v>579</v>
      </c>
      <c r="C37" s="16" t="s">
        <v>3</v>
      </c>
      <c r="D37" s="318">
        <v>1.1000000000000001</v>
      </c>
      <c r="E37" s="450">
        <f t="shared" si="0"/>
        <v>1.1999999999999999E-2</v>
      </c>
      <c r="F37" s="435">
        <f t="shared" si="1"/>
        <v>2.76E-2</v>
      </c>
      <c r="G37" s="321">
        <v>0.06</v>
      </c>
      <c r="H37" s="316">
        <v>0</v>
      </c>
      <c r="I37" s="315">
        <v>0</v>
      </c>
      <c r="J37" s="315">
        <v>0</v>
      </c>
      <c r="K37" s="315">
        <v>0</v>
      </c>
      <c r="L37" s="442">
        <f t="shared" si="2"/>
        <v>1.6200000000000003E-2</v>
      </c>
      <c r="M37" s="435">
        <v>0.1</v>
      </c>
      <c r="N37" s="442">
        <f t="shared" si="3"/>
        <v>1.44E-2</v>
      </c>
      <c r="O37" s="451">
        <f t="shared" si="4"/>
        <v>1.2E-2</v>
      </c>
      <c r="P37" s="450">
        <f t="shared" si="5"/>
        <v>8.8499999999999995E-2</v>
      </c>
      <c r="Q37" s="446">
        <f t="shared" si="6"/>
        <v>1.8000000000000002E-2</v>
      </c>
      <c r="S37" s="319">
        <v>0.03</v>
      </c>
      <c r="U37" s="320">
        <v>0.03</v>
      </c>
      <c r="V37" s="321">
        <v>0.02</v>
      </c>
      <c r="W37" s="320">
        <v>0.01</v>
      </c>
      <c r="X37" s="321">
        <v>0.02</v>
      </c>
      <c r="Y37" s="319">
        <v>5.9999999999999995E-4</v>
      </c>
      <c r="Z37" s="320">
        <v>0.09</v>
      </c>
      <c r="AA37" s="319">
        <v>0.02</v>
      </c>
    </row>
    <row r="38" spans="1:27" s="22" customFormat="1" x14ac:dyDescent="0.25">
      <c r="A38" s="537"/>
      <c r="B38" s="540"/>
      <c r="C38" s="15" t="s">
        <v>2</v>
      </c>
      <c r="D38" s="310">
        <v>2</v>
      </c>
      <c r="E38" s="450">
        <f t="shared" si="0"/>
        <v>1.1999999999999999E-2</v>
      </c>
      <c r="F38" s="435">
        <f t="shared" si="1"/>
        <v>7.3599999999999999E-2</v>
      </c>
      <c r="G38" s="309">
        <v>0</v>
      </c>
      <c r="H38" s="314">
        <v>0.04</v>
      </c>
      <c r="I38" s="302">
        <v>0</v>
      </c>
      <c r="J38" s="302">
        <v>0</v>
      </c>
      <c r="K38" s="302">
        <v>0</v>
      </c>
      <c r="L38" s="442">
        <f t="shared" si="2"/>
        <v>5.6700000000000007E-2</v>
      </c>
      <c r="M38" s="434">
        <v>0.06</v>
      </c>
      <c r="N38" s="442">
        <f t="shared" si="3"/>
        <v>2.8799999999999999E-2</v>
      </c>
      <c r="O38" s="451">
        <f t="shared" si="4"/>
        <v>2.4E-2</v>
      </c>
      <c r="P38" s="450">
        <f t="shared" si="5"/>
        <v>0.11800000000000001</v>
      </c>
      <c r="Q38" s="446">
        <f t="shared" si="6"/>
        <v>1.8000000000000002E-2</v>
      </c>
      <c r="S38" s="314">
        <v>0.04</v>
      </c>
      <c r="U38" s="312">
        <v>0.08</v>
      </c>
      <c r="V38" s="311">
        <v>7.0000000000000007E-2</v>
      </c>
      <c r="W38" s="312">
        <v>0.02</v>
      </c>
      <c r="X38" s="311">
        <v>0.04</v>
      </c>
      <c r="Y38" s="314">
        <v>5.9999999999999995E-4</v>
      </c>
      <c r="Z38" s="312">
        <v>0.05</v>
      </c>
      <c r="AA38" s="314">
        <v>0.02</v>
      </c>
    </row>
    <row r="39" spans="1:27" s="22" customFormat="1" x14ac:dyDescent="0.25">
      <c r="A39" s="537"/>
      <c r="B39" s="540"/>
      <c r="C39" s="15" t="s">
        <v>1</v>
      </c>
      <c r="D39" s="310">
        <v>2.8</v>
      </c>
      <c r="E39" s="450">
        <f t="shared" si="0"/>
        <v>1.1999999999999999E-2</v>
      </c>
      <c r="F39" s="435">
        <f t="shared" si="1"/>
        <v>7.8200000000000006E-2</v>
      </c>
      <c r="G39" s="311">
        <v>0.03</v>
      </c>
      <c r="H39" s="308">
        <v>0</v>
      </c>
      <c r="I39" s="312">
        <v>0.08</v>
      </c>
      <c r="J39" s="312">
        <v>0.01</v>
      </c>
      <c r="K39" s="312">
        <v>0.02</v>
      </c>
      <c r="L39" s="442">
        <f t="shared" si="2"/>
        <v>4.0500000000000008E-2</v>
      </c>
      <c r="M39" s="434">
        <v>0.08</v>
      </c>
      <c r="N39" s="442">
        <f t="shared" si="3"/>
        <v>7.1999999999999998E-3</v>
      </c>
      <c r="O39" s="451">
        <f t="shared" si="4"/>
        <v>1.2E-2</v>
      </c>
      <c r="P39" s="450">
        <f t="shared" si="5"/>
        <v>0.32450000000000001</v>
      </c>
      <c r="Q39" s="446">
        <f t="shared" si="6"/>
        <v>1.8000000000000002E-2</v>
      </c>
      <c r="S39" s="314">
        <v>0.11</v>
      </c>
      <c r="U39" s="312">
        <v>8.5000000000000006E-2</v>
      </c>
      <c r="V39" s="311">
        <v>0.05</v>
      </c>
      <c r="W39" s="312">
        <v>0.01</v>
      </c>
      <c r="X39" s="311">
        <v>0.01</v>
      </c>
      <c r="Y39" s="314">
        <v>5.9999999999999995E-4</v>
      </c>
      <c r="Z39" s="312">
        <v>7.0000000000000007E-2</v>
      </c>
      <c r="AA39" s="314">
        <v>0.02</v>
      </c>
    </row>
    <row r="40" spans="1:27" s="22" customFormat="1" ht="15.75" thickBot="1" x14ac:dyDescent="0.3">
      <c r="A40" s="537"/>
      <c r="B40" s="541"/>
      <c r="C40" s="15" t="s">
        <v>0</v>
      </c>
      <c r="D40" s="310">
        <v>3.8</v>
      </c>
      <c r="E40" s="450">
        <f t="shared" si="0"/>
        <v>1.1999999999999999E-2</v>
      </c>
      <c r="F40" s="435">
        <f t="shared" si="1"/>
        <v>7.3599999999999999E-2</v>
      </c>
      <c r="G40" s="309">
        <v>0</v>
      </c>
      <c r="H40" s="314">
        <v>0.02</v>
      </c>
      <c r="I40" s="312">
        <v>0.05</v>
      </c>
      <c r="J40" s="312">
        <v>0.01</v>
      </c>
      <c r="K40" s="312">
        <v>0</v>
      </c>
      <c r="L40" s="442">
        <f t="shared" si="2"/>
        <v>4.8600000000000004E-2</v>
      </c>
      <c r="M40" s="434">
        <v>0.06</v>
      </c>
      <c r="N40" s="442">
        <f t="shared" si="3"/>
        <v>1.44E-2</v>
      </c>
      <c r="O40" s="451">
        <f t="shared" si="4"/>
        <v>4.8000000000000001E-2</v>
      </c>
      <c r="P40" s="450">
        <f t="shared" si="5"/>
        <v>0.29500000000000004</v>
      </c>
      <c r="Q40" s="446">
        <f t="shared" si="6"/>
        <v>1.8000000000000002E-2</v>
      </c>
      <c r="S40" s="314">
        <v>0.1</v>
      </c>
      <c r="U40" s="312">
        <v>0.08</v>
      </c>
      <c r="V40" s="311">
        <v>0.06</v>
      </c>
      <c r="W40" s="312">
        <v>0.04</v>
      </c>
      <c r="X40" s="311">
        <v>0.02</v>
      </c>
      <c r="Y40" s="314">
        <v>5.9999999999999995E-4</v>
      </c>
      <c r="Z40" s="312">
        <v>0.05</v>
      </c>
      <c r="AA40" s="314">
        <v>0.02</v>
      </c>
    </row>
    <row r="41" spans="1:27" s="22" customFormat="1" x14ac:dyDescent="0.25">
      <c r="A41" s="537"/>
      <c r="B41" s="542" t="s">
        <v>580</v>
      </c>
      <c r="C41" s="16" t="s">
        <v>3</v>
      </c>
      <c r="D41" s="318">
        <v>1.1000000000000001</v>
      </c>
      <c r="E41" s="450">
        <f t="shared" si="0"/>
        <v>1.1999999999999999E-2</v>
      </c>
      <c r="F41" s="435">
        <f t="shared" si="1"/>
        <v>2.76E-2</v>
      </c>
      <c r="G41" s="321">
        <v>0.06</v>
      </c>
      <c r="H41" s="316">
        <v>0</v>
      </c>
      <c r="I41" s="315">
        <v>0</v>
      </c>
      <c r="J41" s="315">
        <v>0</v>
      </c>
      <c r="K41" s="315">
        <v>0</v>
      </c>
      <c r="L41" s="442">
        <f t="shared" si="2"/>
        <v>1.6200000000000003E-2</v>
      </c>
      <c r="M41" s="435">
        <v>0.1</v>
      </c>
      <c r="N41" s="442">
        <f t="shared" si="3"/>
        <v>1.44E-2</v>
      </c>
      <c r="O41" s="451">
        <f t="shared" si="4"/>
        <v>1.2E-2</v>
      </c>
      <c r="P41" s="450">
        <f t="shared" si="5"/>
        <v>8.8499999999999995E-2</v>
      </c>
      <c r="Q41" s="446">
        <f t="shared" si="6"/>
        <v>1.8000000000000002E-2</v>
      </c>
      <c r="S41" s="319">
        <v>0.03</v>
      </c>
      <c r="U41" s="320">
        <v>0.03</v>
      </c>
      <c r="V41" s="321">
        <v>0.02</v>
      </c>
      <c r="W41" s="320">
        <v>0.01</v>
      </c>
      <c r="X41" s="321">
        <v>0.02</v>
      </c>
      <c r="Y41" s="319">
        <v>5.9999999999999995E-4</v>
      </c>
      <c r="Z41" s="320">
        <v>0.09</v>
      </c>
      <c r="AA41" s="319">
        <v>0.02</v>
      </c>
    </row>
    <row r="42" spans="1:27" s="22" customFormat="1" x14ac:dyDescent="0.25">
      <c r="A42" s="537"/>
      <c r="B42" s="540"/>
      <c r="C42" s="15" t="s">
        <v>2</v>
      </c>
      <c r="D42" s="310">
        <v>2</v>
      </c>
      <c r="E42" s="450">
        <f t="shared" si="0"/>
        <v>1.1999999999999999E-2</v>
      </c>
      <c r="F42" s="435">
        <f t="shared" si="1"/>
        <v>7.3599999999999999E-2</v>
      </c>
      <c r="G42" s="309">
        <v>0</v>
      </c>
      <c r="H42" s="314">
        <v>0.04</v>
      </c>
      <c r="I42" s="302">
        <v>0</v>
      </c>
      <c r="J42" s="302">
        <v>0</v>
      </c>
      <c r="K42" s="302">
        <v>0</v>
      </c>
      <c r="L42" s="442">
        <f t="shared" si="2"/>
        <v>5.6700000000000007E-2</v>
      </c>
      <c r="M42" s="434">
        <v>0.06</v>
      </c>
      <c r="N42" s="442">
        <f t="shared" si="3"/>
        <v>2.8799999999999999E-2</v>
      </c>
      <c r="O42" s="451">
        <f t="shared" si="4"/>
        <v>2.4E-2</v>
      </c>
      <c r="P42" s="450">
        <f t="shared" si="5"/>
        <v>0.11800000000000001</v>
      </c>
      <c r="Q42" s="446">
        <f t="shared" si="6"/>
        <v>1.8000000000000002E-2</v>
      </c>
      <c r="S42" s="314">
        <v>0.04</v>
      </c>
      <c r="U42" s="312">
        <v>0.08</v>
      </c>
      <c r="V42" s="311">
        <v>7.0000000000000007E-2</v>
      </c>
      <c r="W42" s="312">
        <v>0.02</v>
      </c>
      <c r="X42" s="311">
        <v>0.04</v>
      </c>
      <c r="Y42" s="314">
        <v>5.9999999999999995E-4</v>
      </c>
      <c r="Z42" s="312">
        <v>0.05</v>
      </c>
      <c r="AA42" s="314">
        <v>0.02</v>
      </c>
    </row>
    <row r="43" spans="1:27" s="22" customFormat="1" x14ac:dyDescent="0.25">
      <c r="A43" s="537"/>
      <c r="B43" s="540"/>
      <c r="C43" s="15" t="s">
        <v>1</v>
      </c>
      <c r="D43" s="310">
        <v>2.8</v>
      </c>
      <c r="E43" s="450">
        <f t="shared" si="0"/>
        <v>1.1999999999999999E-2</v>
      </c>
      <c r="F43" s="435">
        <f t="shared" si="1"/>
        <v>7.8200000000000006E-2</v>
      </c>
      <c r="G43" s="311">
        <v>0.03</v>
      </c>
      <c r="H43" s="308">
        <v>0</v>
      </c>
      <c r="I43" s="312">
        <v>0.08</v>
      </c>
      <c r="J43" s="312">
        <v>0.01</v>
      </c>
      <c r="K43" s="312">
        <v>0.02</v>
      </c>
      <c r="L43" s="442">
        <f t="shared" si="2"/>
        <v>4.0500000000000008E-2</v>
      </c>
      <c r="M43" s="434">
        <v>0.08</v>
      </c>
      <c r="N43" s="442">
        <f t="shared" si="3"/>
        <v>7.1999999999999998E-3</v>
      </c>
      <c r="O43" s="451">
        <f t="shared" si="4"/>
        <v>1.2E-2</v>
      </c>
      <c r="P43" s="450">
        <f t="shared" si="5"/>
        <v>0.32450000000000001</v>
      </c>
      <c r="Q43" s="446">
        <f t="shared" si="6"/>
        <v>1.8000000000000002E-2</v>
      </c>
      <c r="S43" s="314">
        <v>0.11</v>
      </c>
      <c r="U43" s="312">
        <v>8.5000000000000006E-2</v>
      </c>
      <c r="V43" s="311">
        <v>0.05</v>
      </c>
      <c r="W43" s="312">
        <v>0.01</v>
      </c>
      <c r="X43" s="311">
        <v>0.01</v>
      </c>
      <c r="Y43" s="314">
        <v>5.9999999999999995E-4</v>
      </c>
      <c r="Z43" s="312">
        <v>7.0000000000000007E-2</v>
      </c>
      <c r="AA43" s="314">
        <v>0.02</v>
      </c>
    </row>
    <row r="44" spans="1:27" s="22" customFormat="1" ht="15.75" thickBot="1" x14ac:dyDescent="0.3">
      <c r="A44" s="537"/>
      <c r="B44" s="541"/>
      <c r="C44" s="15" t="s">
        <v>0</v>
      </c>
      <c r="D44" s="310">
        <v>3.8</v>
      </c>
      <c r="E44" s="450">
        <f t="shared" si="0"/>
        <v>1.1999999999999999E-2</v>
      </c>
      <c r="F44" s="435">
        <f t="shared" si="1"/>
        <v>7.3599999999999999E-2</v>
      </c>
      <c r="G44" s="309">
        <v>0</v>
      </c>
      <c r="H44" s="314">
        <v>0.02</v>
      </c>
      <c r="I44" s="312">
        <v>0.05</v>
      </c>
      <c r="J44" s="312">
        <v>0.01</v>
      </c>
      <c r="K44" s="312">
        <v>0</v>
      </c>
      <c r="L44" s="442">
        <f t="shared" si="2"/>
        <v>4.8600000000000004E-2</v>
      </c>
      <c r="M44" s="434">
        <v>0.06</v>
      </c>
      <c r="N44" s="442">
        <f t="shared" si="3"/>
        <v>1.44E-2</v>
      </c>
      <c r="O44" s="451">
        <f t="shared" si="4"/>
        <v>4.8000000000000001E-2</v>
      </c>
      <c r="P44" s="450">
        <f t="shared" si="5"/>
        <v>0.29500000000000004</v>
      </c>
      <c r="Q44" s="446">
        <f t="shared" si="6"/>
        <v>1.8000000000000002E-2</v>
      </c>
      <c r="S44" s="314">
        <v>0.1</v>
      </c>
      <c r="U44" s="312">
        <v>0.08</v>
      </c>
      <c r="V44" s="311">
        <v>0.06</v>
      </c>
      <c r="W44" s="312">
        <v>0.04</v>
      </c>
      <c r="X44" s="311">
        <v>0.02</v>
      </c>
      <c r="Y44" s="314">
        <v>5.9999999999999995E-4</v>
      </c>
      <c r="Z44" s="312">
        <v>0.05</v>
      </c>
      <c r="AA44" s="314">
        <v>0.02</v>
      </c>
    </row>
    <row r="45" spans="1:27" ht="15" customHeight="1" x14ac:dyDescent="0.25">
      <c r="A45" s="537"/>
      <c r="B45" s="542" t="s">
        <v>581</v>
      </c>
      <c r="C45" s="16" t="s">
        <v>3</v>
      </c>
      <c r="D45" s="318">
        <v>1.1000000000000001</v>
      </c>
      <c r="E45" s="450">
        <f t="shared" si="0"/>
        <v>1.1999999999999999E-2</v>
      </c>
      <c r="F45" s="435">
        <f t="shared" si="1"/>
        <v>1.84E-2</v>
      </c>
      <c r="G45" s="321">
        <v>0.06</v>
      </c>
      <c r="H45" s="316">
        <v>0</v>
      </c>
      <c r="I45" s="315">
        <v>0</v>
      </c>
      <c r="J45" s="315">
        <v>0</v>
      </c>
      <c r="K45" s="315">
        <v>0</v>
      </c>
      <c r="L45" s="442">
        <f t="shared" si="2"/>
        <v>2.4300000000000002E-2</v>
      </c>
      <c r="M45" s="435">
        <v>0.2</v>
      </c>
      <c r="N45" s="442">
        <f t="shared" si="3"/>
        <v>2.1599999999999998E-2</v>
      </c>
      <c r="O45" s="451">
        <f t="shared" si="4"/>
        <v>1.2E-2</v>
      </c>
      <c r="P45" s="450">
        <f t="shared" si="5"/>
        <v>5.9000000000000004E-2</v>
      </c>
      <c r="Q45" s="446">
        <f t="shared" si="6"/>
        <v>1.8000000000000002E-2</v>
      </c>
      <c r="S45" s="319">
        <v>0.02</v>
      </c>
      <c r="U45" s="320">
        <v>0.02</v>
      </c>
      <c r="V45" s="321">
        <v>0.03</v>
      </c>
      <c r="W45" s="320">
        <v>0.01</v>
      </c>
      <c r="X45" s="321">
        <v>0.03</v>
      </c>
      <c r="Y45" s="319">
        <v>5.9999999999999995E-4</v>
      </c>
      <c r="Z45" s="320">
        <v>0.1</v>
      </c>
      <c r="AA45" s="319">
        <v>0.02</v>
      </c>
    </row>
    <row r="46" spans="1:27" x14ac:dyDescent="0.25">
      <c r="A46" s="537"/>
      <c r="B46" s="540"/>
      <c r="C46" s="15" t="s">
        <v>2</v>
      </c>
      <c r="D46" s="310">
        <v>2</v>
      </c>
      <c r="E46" s="450">
        <f t="shared" si="0"/>
        <v>1.1999999999999999E-2</v>
      </c>
      <c r="F46" s="435">
        <f t="shared" si="1"/>
        <v>6.9000000000000006E-2</v>
      </c>
      <c r="G46" s="309">
        <v>0</v>
      </c>
      <c r="H46" s="314">
        <v>0.04</v>
      </c>
      <c r="I46" s="302">
        <v>0</v>
      </c>
      <c r="J46" s="302">
        <v>0</v>
      </c>
      <c r="K46" s="302">
        <v>0</v>
      </c>
      <c r="L46" s="442">
        <f t="shared" si="2"/>
        <v>2.4300000000000002E-2</v>
      </c>
      <c r="M46" s="434">
        <v>7.0000000000000007E-2</v>
      </c>
      <c r="N46" s="442">
        <f t="shared" si="3"/>
        <v>3.5999999999999997E-2</v>
      </c>
      <c r="O46" s="451">
        <f t="shared" si="4"/>
        <v>3.5999999999999997E-2</v>
      </c>
      <c r="P46" s="450">
        <f t="shared" si="5"/>
        <v>5.9000000000000004E-2</v>
      </c>
      <c r="Q46" s="446">
        <f t="shared" si="6"/>
        <v>1.8000000000000002E-2</v>
      </c>
      <c r="S46" s="314">
        <v>0.02</v>
      </c>
      <c r="U46" s="312">
        <v>7.4999999999999997E-2</v>
      </c>
      <c r="V46" s="311">
        <v>0.03</v>
      </c>
      <c r="W46" s="312">
        <v>0.03</v>
      </c>
      <c r="X46" s="311">
        <v>0.05</v>
      </c>
      <c r="Y46" s="314">
        <v>5.9999999999999995E-4</v>
      </c>
      <c r="Z46" s="312">
        <v>0.05</v>
      </c>
      <c r="AA46" s="314">
        <v>0.02</v>
      </c>
    </row>
    <row r="47" spans="1:27" x14ac:dyDescent="0.25">
      <c r="A47" s="537"/>
      <c r="B47" s="540"/>
      <c r="C47" s="15" t="s">
        <v>1</v>
      </c>
      <c r="D47" s="310">
        <v>2.4</v>
      </c>
      <c r="E47" s="450">
        <f t="shared" si="0"/>
        <v>1.1999999999999999E-2</v>
      </c>
      <c r="F47" s="435">
        <f t="shared" si="1"/>
        <v>7.3599999999999999E-2</v>
      </c>
      <c r="G47" s="311">
        <v>0.05</v>
      </c>
      <c r="H47" s="308">
        <v>0</v>
      </c>
      <c r="I47" s="312">
        <v>0.1</v>
      </c>
      <c r="J47" s="312">
        <v>0.02</v>
      </c>
      <c r="K47" s="312">
        <v>0.01</v>
      </c>
      <c r="L47" s="442">
        <f t="shared" si="2"/>
        <v>6.480000000000001E-2</v>
      </c>
      <c r="M47" s="434">
        <v>0.08</v>
      </c>
      <c r="N47" s="442">
        <f t="shared" si="3"/>
        <v>2.1599999999999998E-2</v>
      </c>
      <c r="O47" s="451">
        <f t="shared" si="4"/>
        <v>3.5999999999999997E-2</v>
      </c>
      <c r="P47" s="450">
        <f t="shared" si="5"/>
        <v>0.29500000000000004</v>
      </c>
      <c r="Q47" s="446">
        <f t="shared" si="6"/>
        <v>1.8000000000000002E-2</v>
      </c>
      <c r="S47" s="314">
        <v>0.1</v>
      </c>
      <c r="U47" s="312">
        <v>0.08</v>
      </c>
      <c r="V47" s="311">
        <v>0.08</v>
      </c>
      <c r="W47" s="312">
        <v>0.03</v>
      </c>
      <c r="X47" s="311">
        <v>0.03</v>
      </c>
      <c r="Y47" s="314">
        <v>5.9999999999999995E-4</v>
      </c>
      <c r="Z47" s="312">
        <v>0.06</v>
      </c>
      <c r="AA47" s="314">
        <v>0.02</v>
      </c>
    </row>
    <row r="48" spans="1:27" ht="15.75" thickBot="1" x14ac:dyDescent="0.3">
      <c r="A48" s="537"/>
      <c r="B48" s="541"/>
      <c r="C48" s="15" t="s">
        <v>0</v>
      </c>
      <c r="D48" s="310">
        <v>3.5</v>
      </c>
      <c r="E48" s="450">
        <f t="shared" si="0"/>
        <v>1.1999999999999999E-2</v>
      </c>
      <c r="F48" s="435">
        <f t="shared" si="1"/>
        <v>7.8200000000000006E-2</v>
      </c>
      <c r="G48" s="309">
        <v>0</v>
      </c>
      <c r="H48" s="314">
        <v>0.02</v>
      </c>
      <c r="I48" s="312">
        <v>0.06</v>
      </c>
      <c r="J48" s="312">
        <v>0.02</v>
      </c>
      <c r="K48" s="312">
        <v>0</v>
      </c>
      <c r="L48" s="442">
        <f t="shared" si="2"/>
        <v>3.2400000000000005E-2</v>
      </c>
      <c r="M48" s="434">
        <v>0.04</v>
      </c>
      <c r="N48" s="442">
        <f t="shared" si="3"/>
        <v>2.8799999999999999E-2</v>
      </c>
      <c r="O48" s="451">
        <f t="shared" si="4"/>
        <v>8.4000000000000005E-2</v>
      </c>
      <c r="P48" s="450">
        <f t="shared" si="5"/>
        <v>0.29500000000000004</v>
      </c>
      <c r="Q48" s="446">
        <f t="shared" si="6"/>
        <v>1.8000000000000002E-2</v>
      </c>
      <c r="S48" s="314">
        <v>0.1</v>
      </c>
      <c r="U48" s="312">
        <v>8.5000000000000006E-2</v>
      </c>
      <c r="V48" s="311">
        <v>0.04</v>
      </c>
      <c r="W48" s="312">
        <v>7.0000000000000007E-2</v>
      </c>
      <c r="X48" s="311">
        <v>0.04</v>
      </c>
      <c r="Y48" s="314">
        <v>5.9999999999999995E-4</v>
      </c>
      <c r="Z48" s="312">
        <v>0.02</v>
      </c>
      <c r="AA48" s="314">
        <v>0.02</v>
      </c>
    </row>
    <row r="49" spans="1:27" ht="15" customHeight="1" x14ac:dyDescent="0.25">
      <c r="A49" s="537"/>
      <c r="B49" s="539" t="s">
        <v>582</v>
      </c>
      <c r="C49" s="16" t="s">
        <v>3</v>
      </c>
      <c r="D49" s="318">
        <v>1.1000000000000001</v>
      </c>
      <c r="E49" s="450">
        <f t="shared" si="0"/>
        <v>1.1999999999999999E-2</v>
      </c>
      <c r="F49" s="435">
        <f t="shared" si="1"/>
        <v>1.84E-2</v>
      </c>
      <c r="G49" s="321">
        <v>0.06</v>
      </c>
      <c r="H49" s="316">
        <v>0</v>
      </c>
      <c r="I49" s="315">
        <v>0</v>
      </c>
      <c r="J49" s="315">
        <v>0</v>
      </c>
      <c r="K49" s="315">
        <v>0</v>
      </c>
      <c r="L49" s="442">
        <f t="shared" si="2"/>
        <v>2.4300000000000002E-2</v>
      </c>
      <c r="M49" s="435">
        <v>0.2</v>
      </c>
      <c r="N49" s="442">
        <f t="shared" si="3"/>
        <v>2.1599999999999998E-2</v>
      </c>
      <c r="O49" s="451">
        <f t="shared" si="4"/>
        <v>1.2E-2</v>
      </c>
      <c r="P49" s="450">
        <f t="shared" si="5"/>
        <v>5.9000000000000004E-2</v>
      </c>
      <c r="Q49" s="446">
        <f t="shared" si="6"/>
        <v>1.8000000000000002E-2</v>
      </c>
      <c r="S49" s="319">
        <v>0.02</v>
      </c>
      <c r="U49" s="320">
        <v>0.02</v>
      </c>
      <c r="V49" s="321">
        <v>0.03</v>
      </c>
      <c r="W49" s="320">
        <v>0.01</v>
      </c>
      <c r="X49" s="321">
        <v>0.03</v>
      </c>
      <c r="Y49" s="319">
        <v>5.9999999999999995E-4</v>
      </c>
      <c r="Z49" s="320">
        <v>0.1</v>
      </c>
      <c r="AA49" s="319">
        <v>0.02</v>
      </c>
    </row>
    <row r="50" spans="1:27" x14ac:dyDescent="0.25">
      <c r="A50" s="537"/>
      <c r="B50" s="540"/>
      <c r="C50" s="15" t="s">
        <v>2</v>
      </c>
      <c r="D50" s="310">
        <v>2</v>
      </c>
      <c r="E50" s="450">
        <f t="shared" si="0"/>
        <v>1.1999999999999999E-2</v>
      </c>
      <c r="F50" s="435">
        <f t="shared" si="1"/>
        <v>6.9000000000000006E-2</v>
      </c>
      <c r="G50" s="309">
        <v>0</v>
      </c>
      <c r="H50" s="314">
        <v>0.04</v>
      </c>
      <c r="I50" s="302">
        <v>0</v>
      </c>
      <c r="J50" s="302">
        <v>0</v>
      </c>
      <c r="K50" s="302">
        <v>0</v>
      </c>
      <c r="L50" s="442">
        <f t="shared" si="2"/>
        <v>2.4300000000000002E-2</v>
      </c>
      <c r="M50" s="434">
        <v>7.0000000000000007E-2</v>
      </c>
      <c r="N50" s="442">
        <f t="shared" si="3"/>
        <v>3.5999999999999997E-2</v>
      </c>
      <c r="O50" s="451">
        <f t="shared" si="4"/>
        <v>3.5999999999999997E-2</v>
      </c>
      <c r="P50" s="450">
        <f t="shared" si="5"/>
        <v>5.9000000000000004E-2</v>
      </c>
      <c r="Q50" s="446">
        <f t="shared" si="6"/>
        <v>1.8000000000000002E-2</v>
      </c>
      <c r="S50" s="314">
        <v>0.02</v>
      </c>
      <c r="U50" s="312">
        <v>7.4999999999999997E-2</v>
      </c>
      <c r="V50" s="311">
        <v>0.03</v>
      </c>
      <c r="W50" s="312">
        <v>0.03</v>
      </c>
      <c r="X50" s="311">
        <v>0.05</v>
      </c>
      <c r="Y50" s="314">
        <v>5.9999999999999995E-4</v>
      </c>
      <c r="Z50" s="312">
        <v>0.05</v>
      </c>
      <c r="AA50" s="314">
        <v>0.02</v>
      </c>
    </row>
    <row r="51" spans="1:27" x14ac:dyDescent="0.25">
      <c r="A51" s="537"/>
      <c r="B51" s="540"/>
      <c r="C51" s="15" t="s">
        <v>1</v>
      </c>
      <c r="D51" s="310">
        <v>2.4</v>
      </c>
      <c r="E51" s="450">
        <f t="shared" si="0"/>
        <v>1.1999999999999999E-2</v>
      </c>
      <c r="F51" s="435">
        <f t="shared" si="1"/>
        <v>7.3599999999999999E-2</v>
      </c>
      <c r="G51" s="311">
        <v>0.05</v>
      </c>
      <c r="H51" s="308">
        <v>0</v>
      </c>
      <c r="I51" s="312">
        <v>0.1</v>
      </c>
      <c r="J51" s="312">
        <v>0.02</v>
      </c>
      <c r="K51" s="312">
        <v>0.01</v>
      </c>
      <c r="L51" s="442">
        <f t="shared" si="2"/>
        <v>6.480000000000001E-2</v>
      </c>
      <c r="M51" s="434">
        <v>0.08</v>
      </c>
      <c r="N51" s="442">
        <f t="shared" si="3"/>
        <v>2.1599999999999998E-2</v>
      </c>
      <c r="O51" s="451">
        <f t="shared" si="4"/>
        <v>3.5999999999999997E-2</v>
      </c>
      <c r="P51" s="450">
        <f t="shared" si="5"/>
        <v>0.29500000000000004</v>
      </c>
      <c r="Q51" s="446">
        <f t="shared" si="6"/>
        <v>1.8000000000000002E-2</v>
      </c>
      <c r="S51" s="314">
        <v>0.1</v>
      </c>
      <c r="U51" s="312">
        <v>0.08</v>
      </c>
      <c r="V51" s="311">
        <v>0.08</v>
      </c>
      <c r="W51" s="312">
        <v>0.03</v>
      </c>
      <c r="X51" s="311">
        <v>0.03</v>
      </c>
      <c r="Y51" s="314">
        <v>5.9999999999999995E-4</v>
      </c>
      <c r="Z51" s="312">
        <v>0.06</v>
      </c>
      <c r="AA51" s="314">
        <v>0.02</v>
      </c>
    </row>
    <row r="52" spans="1:27" ht="14.25" customHeight="1" thickBot="1" x14ac:dyDescent="0.3">
      <c r="A52" s="538"/>
      <c r="B52" s="541"/>
      <c r="C52" s="15" t="s">
        <v>0</v>
      </c>
      <c r="D52" s="310">
        <v>3.5</v>
      </c>
      <c r="E52" s="450">
        <f t="shared" si="0"/>
        <v>1.1999999999999999E-2</v>
      </c>
      <c r="F52" s="435">
        <f t="shared" si="1"/>
        <v>7.8200000000000006E-2</v>
      </c>
      <c r="G52" s="309">
        <v>0</v>
      </c>
      <c r="H52" s="314">
        <v>0.02</v>
      </c>
      <c r="I52" s="312">
        <v>0.06</v>
      </c>
      <c r="J52" s="312">
        <v>0.02</v>
      </c>
      <c r="K52" s="312">
        <v>0</v>
      </c>
      <c r="L52" s="442">
        <f t="shared" si="2"/>
        <v>3.2400000000000005E-2</v>
      </c>
      <c r="M52" s="434">
        <v>0.04</v>
      </c>
      <c r="N52" s="442">
        <f t="shared" si="3"/>
        <v>2.8799999999999999E-2</v>
      </c>
      <c r="O52" s="451">
        <f t="shared" si="4"/>
        <v>8.4000000000000005E-2</v>
      </c>
      <c r="P52" s="450">
        <f t="shared" si="5"/>
        <v>0.29500000000000004</v>
      </c>
      <c r="Q52" s="446">
        <f t="shared" si="6"/>
        <v>1.8000000000000002E-2</v>
      </c>
      <c r="S52" s="314">
        <v>0.1</v>
      </c>
      <c r="U52" s="312">
        <v>8.5000000000000006E-2</v>
      </c>
      <c r="V52" s="311">
        <v>0.04</v>
      </c>
      <c r="W52" s="312">
        <v>7.0000000000000007E-2</v>
      </c>
      <c r="X52" s="311">
        <v>0.04</v>
      </c>
      <c r="Y52" s="314">
        <v>5.9999999999999995E-4</v>
      </c>
      <c r="Z52" s="312">
        <v>0.02</v>
      </c>
      <c r="AA52" s="314">
        <v>0.02</v>
      </c>
    </row>
    <row r="53" spans="1:27" ht="15" customHeight="1" x14ac:dyDescent="0.25">
      <c r="A53" s="536" t="s">
        <v>16</v>
      </c>
      <c r="B53" s="539" t="s">
        <v>577</v>
      </c>
      <c r="C53" s="16" t="s">
        <v>3</v>
      </c>
      <c r="D53" s="318">
        <v>1.1000000000000001</v>
      </c>
      <c r="E53" s="450">
        <f>Y53*0.2</f>
        <v>3.2000000000000003E-4</v>
      </c>
      <c r="F53" s="435">
        <f>U53*1.1</f>
        <v>5.5000000000000005E-3</v>
      </c>
      <c r="G53" s="321">
        <v>0.06</v>
      </c>
      <c r="H53" s="316">
        <v>0</v>
      </c>
      <c r="I53" s="305">
        <v>0</v>
      </c>
      <c r="J53" s="305">
        <v>0</v>
      </c>
      <c r="K53" s="315">
        <v>0</v>
      </c>
      <c r="L53" s="442">
        <f>V53*0.76</f>
        <v>3.8000000000000006E-2</v>
      </c>
      <c r="M53" s="435">
        <v>0.24149999999999999</v>
      </c>
      <c r="N53" s="442">
        <f>X53*0.7</f>
        <v>2.7999999999999997E-2</v>
      </c>
      <c r="O53" s="435">
        <f t="shared" ref="O53:O75" si="7">W53*1.2</f>
        <v>1.2E-2</v>
      </c>
      <c r="P53" s="450">
        <f>S53*2.95</f>
        <v>5.9000000000000004E-2</v>
      </c>
      <c r="Q53" s="446">
        <f t="shared" si="6"/>
        <v>1.8000000000000002E-2</v>
      </c>
      <c r="R53" s="321">
        <v>0.05</v>
      </c>
      <c r="S53" s="319">
        <v>0.02</v>
      </c>
      <c r="T53" s="319">
        <v>0.02</v>
      </c>
      <c r="U53" s="320">
        <v>5.0000000000000001E-3</v>
      </c>
      <c r="V53" s="321">
        <v>0.05</v>
      </c>
      <c r="W53" s="320">
        <v>0.01</v>
      </c>
      <c r="X53" s="321">
        <v>0.04</v>
      </c>
      <c r="Y53" s="319">
        <v>1.6000000000000001E-3</v>
      </c>
      <c r="Z53" s="320">
        <v>0.02</v>
      </c>
      <c r="AA53" s="319">
        <v>0.02</v>
      </c>
    </row>
    <row r="54" spans="1:27" x14ac:dyDescent="0.25">
      <c r="A54" s="537"/>
      <c r="B54" s="540"/>
      <c r="C54" s="15" t="s">
        <v>2</v>
      </c>
      <c r="D54" s="310">
        <v>2.1</v>
      </c>
      <c r="E54" s="450">
        <f t="shared" ref="E54:E76" si="8">Y54*0.2</f>
        <v>3.2000000000000003E-4</v>
      </c>
      <c r="F54" s="435">
        <f t="shared" ref="F54:F76" si="9">U54*1.1</f>
        <v>0.11000000000000001</v>
      </c>
      <c r="G54" s="309">
        <v>0</v>
      </c>
      <c r="H54" s="314">
        <v>0.04</v>
      </c>
      <c r="I54" s="302">
        <v>0</v>
      </c>
      <c r="J54" s="302">
        <v>0</v>
      </c>
      <c r="K54" s="302">
        <v>0</v>
      </c>
      <c r="L54" s="442">
        <f t="shared" ref="L54:L100" si="10">V54*0.76</f>
        <v>1.52E-2</v>
      </c>
      <c r="M54" s="434">
        <v>0.10349999999999999</v>
      </c>
      <c r="N54" s="442">
        <f t="shared" ref="N54:N76" si="11">X54*0.7</f>
        <v>3.4999999999999996E-3</v>
      </c>
      <c r="O54" s="435">
        <f t="shared" si="7"/>
        <v>1.2E-2</v>
      </c>
      <c r="P54" s="450">
        <f t="shared" ref="P54:P76" si="12">S54*2.9</f>
        <v>5.7999999999999996E-2</v>
      </c>
      <c r="Q54" s="446">
        <f t="shared" si="6"/>
        <v>1.8000000000000002E-2</v>
      </c>
      <c r="R54" s="311">
        <v>0.02</v>
      </c>
      <c r="S54" s="314">
        <v>0.02</v>
      </c>
      <c r="T54" s="314">
        <v>0.02</v>
      </c>
      <c r="U54" s="437">
        <v>0.1</v>
      </c>
      <c r="V54" s="311">
        <v>0.02</v>
      </c>
      <c r="W54" s="311">
        <v>0.01</v>
      </c>
      <c r="X54" s="311">
        <v>5.0000000000000001E-3</v>
      </c>
      <c r="Y54" s="314">
        <v>1.6000000000000001E-3</v>
      </c>
      <c r="Z54" s="312">
        <v>0.06</v>
      </c>
      <c r="AA54" s="314">
        <v>0.02</v>
      </c>
    </row>
    <row r="55" spans="1:27" x14ac:dyDescent="0.25">
      <c r="A55" s="537"/>
      <c r="B55" s="540"/>
      <c r="C55" s="15" t="s">
        <v>1</v>
      </c>
      <c r="D55" s="310">
        <v>3.1</v>
      </c>
      <c r="E55" s="450">
        <f t="shared" si="8"/>
        <v>3.2000000000000003E-4</v>
      </c>
      <c r="F55" s="435">
        <f t="shared" si="9"/>
        <v>1.1000000000000001E-2</v>
      </c>
      <c r="G55" s="311">
        <v>7.0000000000000007E-2</v>
      </c>
      <c r="H55" s="308">
        <v>0</v>
      </c>
      <c r="I55" s="302">
        <v>0</v>
      </c>
      <c r="J55" s="302">
        <v>0</v>
      </c>
      <c r="K55" s="312">
        <v>0.02</v>
      </c>
      <c r="L55" s="442">
        <f t="shared" si="10"/>
        <v>3.04E-2</v>
      </c>
      <c r="M55" s="434">
        <v>0.22999999999999998</v>
      </c>
      <c r="N55" s="442">
        <f t="shared" si="11"/>
        <v>6.9999999999999993E-3</v>
      </c>
      <c r="O55" s="435">
        <f t="shared" si="7"/>
        <v>6.0000000000000001E-3</v>
      </c>
      <c r="P55" s="450">
        <f t="shared" si="12"/>
        <v>8.6999999999999994E-2</v>
      </c>
      <c r="Q55" s="446">
        <f t="shared" si="6"/>
        <v>1.8000000000000002E-2</v>
      </c>
      <c r="R55" s="311">
        <v>0.04</v>
      </c>
      <c r="S55" s="314">
        <v>0.03</v>
      </c>
      <c r="T55" s="314">
        <v>0.02</v>
      </c>
      <c r="U55" s="312">
        <v>0.01</v>
      </c>
      <c r="V55" s="311">
        <v>0.04</v>
      </c>
      <c r="W55" s="311">
        <v>5.0000000000000001E-3</v>
      </c>
      <c r="X55" s="311">
        <v>0.01</v>
      </c>
      <c r="Y55" s="314">
        <v>1.6000000000000001E-3</v>
      </c>
      <c r="Z55" s="312">
        <v>0.09</v>
      </c>
      <c r="AA55" s="314">
        <v>0.02</v>
      </c>
    </row>
    <row r="56" spans="1:27" ht="15.75" thickBot="1" x14ac:dyDescent="0.3">
      <c r="A56" s="537"/>
      <c r="B56" s="541"/>
      <c r="C56" s="15" t="s">
        <v>0</v>
      </c>
      <c r="D56" s="310">
        <v>4.5</v>
      </c>
      <c r="E56" s="450">
        <f t="shared" si="8"/>
        <v>3.2000000000000003E-4</v>
      </c>
      <c r="F56" s="435">
        <f t="shared" si="9"/>
        <v>2.2000000000000002E-2</v>
      </c>
      <c r="G56" s="309">
        <v>0</v>
      </c>
      <c r="H56" s="314">
        <v>0.02</v>
      </c>
      <c r="I56" s="302">
        <v>0</v>
      </c>
      <c r="J56" s="302">
        <v>0</v>
      </c>
      <c r="K56" s="312">
        <v>0.01</v>
      </c>
      <c r="L56" s="442">
        <f t="shared" si="10"/>
        <v>3.8000000000000006E-2</v>
      </c>
      <c r="M56" s="434">
        <v>0.10349999999999999</v>
      </c>
      <c r="N56" s="442">
        <f t="shared" si="11"/>
        <v>1.3999999999999999E-2</v>
      </c>
      <c r="O56" s="435">
        <f t="shared" si="7"/>
        <v>1.2E-2</v>
      </c>
      <c r="P56" s="450">
        <f t="shared" si="12"/>
        <v>8.6999999999999994E-2</v>
      </c>
      <c r="Q56" s="446">
        <f t="shared" si="6"/>
        <v>1.8000000000000002E-2</v>
      </c>
      <c r="R56" s="311">
        <v>0.05</v>
      </c>
      <c r="S56" s="314">
        <v>0.03</v>
      </c>
      <c r="T56" s="314">
        <v>0.02</v>
      </c>
      <c r="U56" s="312">
        <v>0.02</v>
      </c>
      <c r="V56" s="311">
        <v>0.05</v>
      </c>
      <c r="W56" s="312">
        <v>0.01</v>
      </c>
      <c r="X56" s="311">
        <v>0.02</v>
      </c>
      <c r="Y56" s="314">
        <v>1.6000000000000001E-3</v>
      </c>
      <c r="Z56" s="312">
        <v>0.06</v>
      </c>
      <c r="AA56" s="314">
        <v>0.02</v>
      </c>
    </row>
    <row r="57" spans="1:27" ht="15" customHeight="1" x14ac:dyDescent="0.25">
      <c r="A57" s="537"/>
      <c r="B57" s="539" t="s">
        <v>578</v>
      </c>
      <c r="C57" s="16" t="s">
        <v>3</v>
      </c>
      <c r="D57" s="318">
        <v>1.1000000000000001</v>
      </c>
      <c r="E57" s="450">
        <f t="shared" si="8"/>
        <v>3.2000000000000003E-4</v>
      </c>
      <c r="F57" s="435">
        <f t="shared" si="9"/>
        <v>5.5000000000000005E-3</v>
      </c>
      <c r="G57" s="321">
        <v>0.04</v>
      </c>
      <c r="H57" s="316">
        <v>0</v>
      </c>
      <c r="I57" s="305">
        <v>0</v>
      </c>
      <c r="J57" s="305">
        <v>0</v>
      </c>
      <c r="K57" s="315">
        <v>0</v>
      </c>
      <c r="L57" s="442">
        <f t="shared" si="10"/>
        <v>3.8000000000000006E-2</v>
      </c>
      <c r="M57" s="435">
        <v>0.24149999999999996</v>
      </c>
      <c r="N57" s="442">
        <f t="shared" si="11"/>
        <v>2.7999999999999997E-2</v>
      </c>
      <c r="O57" s="435">
        <f t="shared" si="7"/>
        <v>1.2E-2</v>
      </c>
      <c r="P57" s="450">
        <f t="shared" si="12"/>
        <v>5.7999999999999996E-2</v>
      </c>
      <c r="Q57" s="446">
        <f t="shared" si="6"/>
        <v>1.8000000000000002E-2</v>
      </c>
      <c r="R57" s="321">
        <v>0.05</v>
      </c>
      <c r="S57" s="319">
        <v>0.02</v>
      </c>
      <c r="T57" s="319">
        <v>0.02</v>
      </c>
      <c r="U57" s="320">
        <v>5.0000000000000001E-3</v>
      </c>
      <c r="V57" s="321">
        <v>0.05</v>
      </c>
      <c r="W57" s="320">
        <v>0.01</v>
      </c>
      <c r="X57" s="321">
        <v>0.04</v>
      </c>
      <c r="Y57" s="319">
        <v>1.6000000000000001E-3</v>
      </c>
      <c r="Z57" s="320">
        <v>0.02</v>
      </c>
      <c r="AA57" s="319">
        <v>0.02</v>
      </c>
    </row>
    <row r="58" spans="1:27" x14ac:dyDescent="0.25">
      <c r="A58" s="537"/>
      <c r="B58" s="540"/>
      <c r="C58" s="15" t="s">
        <v>2</v>
      </c>
      <c r="D58" s="310">
        <v>2</v>
      </c>
      <c r="E58" s="450">
        <f t="shared" si="8"/>
        <v>3.2000000000000003E-4</v>
      </c>
      <c r="F58" s="435">
        <f t="shared" si="9"/>
        <v>3.8500000000000006E-2</v>
      </c>
      <c r="G58" s="309">
        <v>0</v>
      </c>
      <c r="H58" s="314">
        <v>0.04</v>
      </c>
      <c r="I58" s="302">
        <v>0</v>
      </c>
      <c r="J58" s="302">
        <v>0</v>
      </c>
      <c r="K58" s="302">
        <v>0</v>
      </c>
      <c r="L58" s="442">
        <f t="shared" si="10"/>
        <v>1.52E-2</v>
      </c>
      <c r="M58" s="434">
        <v>0.10349999999999999</v>
      </c>
      <c r="N58" s="442">
        <f t="shared" si="11"/>
        <v>3.4999999999999996E-3</v>
      </c>
      <c r="O58" s="435">
        <f t="shared" si="7"/>
        <v>1.2E-2</v>
      </c>
      <c r="P58" s="450">
        <f t="shared" si="12"/>
        <v>5.7999999999999996E-2</v>
      </c>
      <c r="Q58" s="446">
        <f t="shared" si="6"/>
        <v>1.8000000000000002E-2</v>
      </c>
      <c r="R58" s="311">
        <v>0.02</v>
      </c>
      <c r="S58" s="314">
        <v>0.02</v>
      </c>
      <c r="T58" s="314">
        <v>0.02</v>
      </c>
      <c r="U58" s="312">
        <v>3.5000000000000003E-2</v>
      </c>
      <c r="V58" s="311">
        <v>0.02</v>
      </c>
      <c r="W58" s="311">
        <v>0.01</v>
      </c>
      <c r="X58" s="311">
        <v>5.0000000000000001E-3</v>
      </c>
      <c r="Y58" s="314">
        <v>1.6000000000000001E-3</v>
      </c>
      <c r="Z58" s="312">
        <v>0.06</v>
      </c>
      <c r="AA58" s="314">
        <v>0.02</v>
      </c>
    </row>
    <row r="59" spans="1:27" x14ac:dyDescent="0.25">
      <c r="A59" s="537"/>
      <c r="B59" s="540"/>
      <c r="C59" s="15" t="s">
        <v>1</v>
      </c>
      <c r="D59" s="310">
        <v>2.9</v>
      </c>
      <c r="E59" s="450">
        <f t="shared" si="8"/>
        <v>3.2000000000000003E-4</v>
      </c>
      <c r="F59" s="435">
        <f t="shared" si="9"/>
        <v>1.6500000000000001E-2</v>
      </c>
      <c r="G59" s="311">
        <v>0.04</v>
      </c>
      <c r="H59" s="308">
        <v>0</v>
      </c>
      <c r="I59" s="302">
        <v>0</v>
      </c>
      <c r="J59" s="302">
        <v>0</v>
      </c>
      <c r="K59" s="312">
        <v>0.03</v>
      </c>
      <c r="L59" s="442">
        <f t="shared" si="10"/>
        <v>3.04E-2</v>
      </c>
      <c r="M59" s="434">
        <v>0.22999999999999998</v>
      </c>
      <c r="N59" s="442">
        <f t="shared" si="11"/>
        <v>6.9999999999999993E-3</v>
      </c>
      <c r="O59" s="435">
        <f t="shared" si="7"/>
        <v>6.0000000000000001E-3</v>
      </c>
      <c r="P59" s="450">
        <f t="shared" si="12"/>
        <v>8.6999999999999994E-2</v>
      </c>
      <c r="Q59" s="446">
        <f t="shared" si="6"/>
        <v>1.8000000000000002E-2</v>
      </c>
      <c r="R59" s="311">
        <v>0.04</v>
      </c>
      <c r="S59" s="314">
        <v>0.03</v>
      </c>
      <c r="T59" s="314">
        <v>0.02</v>
      </c>
      <c r="U59" s="312">
        <v>1.4999999999999999E-2</v>
      </c>
      <c r="V59" s="311">
        <v>0.04</v>
      </c>
      <c r="W59" s="311">
        <v>5.0000000000000001E-3</v>
      </c>
      <c r="X59" s="311">
        <v>0.01</v>
      </c>
      <c r="Y59" s="314">
        <v>1.6000000000000001E-3</v>
      </c>
      <c r="Z59" s="312">
        <v>0.09</v>
      </c>
      <c r="AA59" s="314">
        <v>0.02</v>
      </c>
    </row>
    <row r="60" spans="1:27" ht="15.75" thickBot="1" x14ac:dyDescent="0.3">
      <c r="A60" s="537"/>
      <c r="B60" s="541"/>
      <c r="C60" s="15" t="s">
        <v>0</v>
      </c>
      <c r="D60" s="310">
        <v>4</v>
      </c>
      <c r="E60" s="450">
        <f t="shared" si="8"/>
        <v>3.2000000000000003E-4</v>
      </c>
      <c r="F60" s="435">
        <f t="shared" si="9"/>
        <v>3.3000000000000002E-2</v>
      </c>
      <c r="G60" s="309">
        <v>0</v>
      </c>
      <c r="H60" s="314">
        <v>0.02</v>
      </c>
      <c r="I60" s="302">
        <v>0</v>
      </c>
      <c r="J60" s="302">
        <v>0</v>
      </c>
      <c r="K60" s="312">
        <v>0.01</v>
      </c>
      <c r="L60" s="442">
        <f t="shared" si="10"/>
        <v>3.8000000000000006E-2</v>
      </c>
      <c r="M60" s="434">
        <v>0.10349999999999999</v>
      </c>
      <c r="N60" s="442">
        <f t="shared" si="11"/>
        <v>1.3999999999999999E-2</v>
      </c>
      <c r="O60" s="435">
        <f t="shared" si="7"/>
        <v>1.2E-2</v>
      </c>
      <c r="P60" s="450">
        <f t="shared" si="12"/>
        <v>8.6999999999999994E-2</v>
      </c>
      <c r="Q60" s="446">
        <f t="shared" si="6"/>
        <v>1.8000000000000002E-2</v>
      </c>
      <c r="R60" s="311">
        <v>0.05</v>
      </c>
      <c r="S60" s="314">
        <v>0.03</v>
      </c>
      <c r="T60" s="314">
        <v>0.02</v>
      </c>
      <c r="U60" s="312">
        <v>0.03</v>
      </c>
      <c r="V60" s="311">
        <v>0.05</v>
      </c>
      <c r="W60" s="312">
        <v>0.01</v>
      </c>
      <c r="X60" s="311">
        <v>0.02</v>
      </c>
      <c r="Y60" s="314">
        <v>1.6000000000000001E-3</v>
      </c>
      <c r="Z60" s="312">
        <v>0.06</v>
      </c>
      <c r="AA60" s="314">
        <v>0.02</v>
      </c>
    </row>
    <row r="61" spans="1:27" s="22" customFormat="1" x14ac:dyDescent="0.25">
      <c r="A61" s="537"/>
      <c r="B61" s="542" t="s">
        <v>579</v>
      </c>
      <c r="C61" s="16" t="s">
        <v>3</v>
      </c>
      <c r="D61" s="318">
        <v>1.1000000000000001</v>
      </c>
      <c r="E61" s="450">
        <f t="shared" si="8"/>
        <v>3.2000000000000003E-4</v>
      </c>
      <c r="F61" s="435">
        <f t="shared" si="9"/>
        <v>5.5000000000000005E-3</v>
      </c>
      <c r="G61" s="321">
        <v>0.04</v>
      </c>
      <c r="H61" s="316">
        <v>0</v>
      </c>
      <c r="I61" s="305">
        <v>0</v>
      </c>
      <c r="J61" s="305">
        <v>0</v>
      </c>
      <c r="K61" s="315">
        <v>0</v>
      </c>
      <c r="L61" s="442">
        <f t="shared" si="10"/>
        <v>3.8000000000000006E-2</v>
      </c>
      <c r="M61" s="435">
        <v>0.11499999999999999</v>
      </c>
      <c r="N61" s="442">
        <f t="shared" si="11"/>
        <v>1.3999999999999999E-2</v>
      </c>
      <c r="O61" s="435">
        <f t="shared" si="7"/>
        <v>1.7999999999999999E-2</v>
      </c>
      <c r="P61" s="450">
        <f t="shared" si="12"/>
        <v>2.8999999999999998E-2</v>
      </c>
      <c r="Q61" s="446">
        <f t="shared" si="6"/>
        <v>1.8000000000000002E-2</v>
      </c>
      <c r="R61" s="321">
        <v>0.05</v>
      </c>
      <c r="S61" s="319">
        <v>0.01</v>
      </c>
      <c r="T61" s="319">
        <v>0.02</v>
      </c>
      <c r="U61" s="320">
        <v>5.0000000000000001E-3</v>
      </c>
      <c r="V61" s="321">
        <v>0.05</v>
      </c>
      <c r="W61" s="320">
        <v>1.4999999999999999E-2</v>
      </c>
      <c r="X61" s="321">
        <v>0.02</v>
      </c>
      <c r="Y61" s="319">
        <v>1.6000000000000001E-3</v>
      </c>
      <c r="Z61" s="320">
        <v>0.06</v>
      </c>
      <c r="AA61" s="319">
        <v>0.02</v>
      </c>
    </row>
    <row r="62" spans="1:27" s="22" customFormat="1" x14ac:dyDescent="0.25">
      <c r="A62" s="537"/>
      <c r="B62" s="540"/>
      <c r="C62" s="15" t="s">
        <v>2</v>
      </c>
      <c r="D62" s="310">
        <v>2</v>
      </c>
      <c r="E62" s="450">
        <f t="shared" si="8"/>
        <v>3.2000000000000003E-4</v>
      </c>
      <c r="F62" s="435">
        <f t="shared" si="9"/>
        <v>3.8500000000000006E-2</v>
      </c>
      <c r="G62" s="309">
        <v>0</v>
      </c>
      <c r="H62" s="314">
        <v>0.04</v>
      </c>
      <c r="I62" s="302">
        <v>0</v>
      </c>
      <c r="J62" s="302">
        <v>0</v>
      </c>
      <c r="K62" s="302">
        <v>0</v>
      </c>
      <c r="L62" s="442">
        <f t="shared" si="10"/>
        <v>3.8000000000000006E-2</v>
      </c>
      <c r="M62" s="434">
        <v>6.8999999999999992E-2</v>
      </c>
      <c r="N62" s="442">
        <f t="shared" si="11"/>
        <v>3.4999999999999996E-2</v>
      </c>
      <c r="O62" s="435">
        <f t="shared" si="7"/>
        <v>4.8000000000000001E-2</v>
      </c>
      <c r="P62" s="450">
        <f t="shared" si="12"/>
        <v>2.8999999999999998E-2</v>
      </c>
      <c r="Q62" s="446">
        <f t="shared" si="6"/>
        <v>1.8000000000000002E-2</v>
      </c>
      <c r="R62" s="311">
        <v>0.05</v>
      </c>
      <c r="S62" s="314">
        <v>0.01</v>
      </c>
      <c r="T62" s="314">
        <v>0.02</v>
      </c>
      <c r="U62" s="312">
        <v>3.5000000000000003E-2</v>
      </c>
      <c r="V62" s="311">
        <v>0.05</v>
      </c>
      <c r="W62" s="312">
        <v>0.04</v>
      </c>
      <c r="X62" s="311">
        <v>0.05</v>
      </c>
      <c r="Y62" s="314">
        <v>1.6000000000000001E-3</v>
      </c>
      <c r="Z62" s="312">
        <v>0.03</v>
      </c>
      <c r="AA62" s="314">
        <v>0.02</v>
      </c>
    </row>
    <row r="63" spans="1:27" s="22" customFormat="1" x14ac:dyDescent="0.25">
      <c r="A63" s="537"/>
      <c r="B63" s="540"/>
      <c r="C63" s="15" t="s">
        <v>1</v>
      </c>
      <c r="D63" s="310">
        <v>2.9</v>
      </c>
      <c r="E63" s="450">
        <f t="shared" si="8"/>
        <v>3.2000000000000003E-4</v>
      </c>
      <c r="F63" s="435">
        <f t="shared" si="9"/>
        <v>1.6500000000000001E-2</v>
      </c>
      <c r="G63" s="311">
        <v>0.04</v>
      </c>
      <c r="H63" s="308">
        <v>0</v>
      </c>
      <c r="I63" s="302">
        <v>0</v>
      </c>
      <c r="J63" s="302">
        <v>0</v>
      </c>
      <c r="K63" s="312">
        <v>0.03</v>
      </c>
      <c r="L63" s="442">
        <f t="shared" si="10"/>
        <v>3.04E-2</v>
      </c>
      <c r="M63" s="434">
        <v>9.1999999999999998E-2</v>
      </c>
      <c r="N63" s="442">
        <f t="shared" si="11"/>
        <v>6.9999999999999993E-3</v>
      </c>
      <c r="O63" s="435">
        <f t="shared" si="7"/>
        <v>6.0000000000000001E-3</v>
      </c>
      <c r="P63" s="450">
        <f t="shared" si="12"/>
        <v>5.7999999999999996E-2</v>
      </c>
      <c r="Q63" s="446">
        <f t="shared" si="6"/>
        <v>1.8000000000000002E-2</v>
      </c>
      <c r="R63" s="311">
        <v>0.04</v>
      </c>
      <c r="S63" s="314">
        <v>0.02</v>
      </c>
      <c r="T63" s="314">
        <v>0.02</v>
      </c>
      <c r="U63" s="312">
        <v>1.4999999999999999E-2</v>
      </c>
      <c r="V63" s="311">
        <v>0.04</v>
      </c>
      <c r="W63" s="312">
        <v>5.0000000000000001E-3</v>
      </c>
      <c r="X63" s="311">
        <v>0.01</v>
      </c>
      <c r="Y63" s="314">
        <v>1.6000000000000001E-3</v>
      </c>
      <c r="Z63" s="312">
        <v>0.05</v>
      </c>
      <c r="AA63" s="314">
        <v>0.02</v>
      </c>
    </row>
    <row r="64" spans="1:27" s="22" customFormat="1" ht="15.75" thickBot="1" x14ac:dyDescent="0.3">
      <c r="A64" s="537"/>
      <c r="B64" s="541"/>
      <c r="C64" s="15" t="s">
        <v>0</v>
      </c>
      <c r="D64" s="310">
        <v>4</v>
      </c>
      <c r="E64" s="450">
        <f t="shared" si="8"/>
        <v>3.2000000000000003E-4</v>
      </c>
      <c r="F64" s="435">
        <f t="shared" si="9"/>
        <v>3.3000000000000002E-2</v>
      </c>
      <c r="G64" s="309">
        <v>0</v>
      </c>
      <c r="H64" s="314">
        <v>0.02</v>
      </c>
      <c r="I64" s="302">
        <v>0</v>
      </c>
      <c r="J64" s="302">
        <v>0</v>
      </c>
      <c r="K64" s="312">
        <v>0.01</v>
      </c>
      <c r="L64" s="442">
        <f t="shared" si="10"/>
        <v>2.2800000000000001E-2</v>
      </c>
      <c r="M64" s="434">
        <v>6.8999999999999992E-2</v>
      </c>
      <c r="N64" s="442">
        <f t="shared" si="11"/>
        <v>2.0999999999999998E-2</v>
      </c>
      <c r="O64" s="435">
        <f t="shared" si="7"/>
        <v>3.5999999999999997E-2</v>
      </c>
      <c r="P64" s="450">
        <f t="shared" si="12"/>
        <v>5.7999999999999996E-2</v>
      </c>
      <c r="Q64" s="446">
        <f t="shared" si="6"/>
        <v>1.8000000000000002E-2</v>
      </c>
      <c r="R64" s="311">
        <v>0.03</v>
      </c>
      <c r="S64" s="314">
        <v>0.02</v>
      </c>
      <c r="T64" s="314">
        <v>0.02</v>
      </c>
      <c r="U64" s="312">
        <v>0.03</v>
      </c>
      <c r="V64" s="311">
        <v>0.03</v>
      </c>
      <c r="W64" s="312">
        <v>0.03</v>
      </c>
      <c r="X64" s="311">
        <v>0.03</v>
      </c>
      <c r="Y64" s="314">
        <v>1.6000000000000001E-3</v>
      </c>
      <c r="Z64" s="312">
        <v>0.02</v>
      </c>
      <c r="AA64" s="314">
        <v>0.02</v>
      </c>
    </row>
    <row r="65" spans="1:27" s="22" customFormat="1" x14ac:dyDescent="0.25">
      <c r="A65" s="537"/>
      <c r="B65" s="542" t="s">
        <v>580</v>
      </c>
      <c r="C65" s="16" t="s">
        <v>3</v>
      </c>
      <c r="D65" s="318">
        <v>1.1000000000000001</v>
      </c>
      <c r="E65" s="450">
        <f t="shared" si="8"/>
        <v>3.2000000000000003E-4</v>
      </c>
      <c r="F65" s="435">
        <f t="shared" si="9"/>
        <v>5.5000000000000005E-3</v>
      </c>
      <c r="G65" s="321">
        <v>0.04</v>
      </c>
      <c r="H65" s="316">
        <v>0</v>
      </c>
      <c r="I65" s="305">
        <v>0</v>
      </c>
      <c r="J65" s="305">
        <v>0</v>
      </c>
      <c r="K65" s="315">
        <v>0</v>
      </c>
      <c r="L65" s="442">
        <f t="shared" si="10"/>
        <v>3.8000000000000006E-2</v>
      </c>
      <c r="M65" s="435">
        <v>0.11499999999999999</v>
      </c>
      <c r="N65" s="442">
        <f t="shared" si="11"/>
        <v>1.3999999999999999E-2</v>
      </c>
      <c r="O65" s="435">
        <f t="shared" si="7"/>
        <v>1.7999999999999999E-2</v>
      </c>
      <c r="P65" s="450">
        <f t="shared" si="12"/>
        <v>2.8999999999999998E-2</v>
      </c>
      <c r="Q65" s="446">
        <f t="shared" si="6"/>
        <v>1.8000000000000002E-2</v>
      </c>
      <c r="R65" s="321">
        <v>0.05</v>
      </c>
      <c r="S65" s="319">
        <v>0.01</v>
      </c>
      <c r="T65" s="319">
        <v>0.02</v>
      </c>
      <c r="U65" s="320">
        <v>5.0000000000000001E-3</v>
      </c>
      <c r="V65" s="321">
        <v>0.05</v>
      </c>
      <c r="W65" s="320">
        <v>1.4999999999999999E-2</v>
      </c>
      <c r="X65" s="321">
        <v>0.02</v>
      </c>
      <c r="Y65" s="319">
        <v>1.6000000000000001E-3</v>
      </c>
      <c r="Z65" s="320">
        <v>0.06</v>
      </c>
      <c r="AA65" s="319">
        <v>0.02</v>
      </c>
    </row>
    <row r="66" spans="1:27" s="22" customFormat="1" x14ac:dyDescent="0.25">
      <c r="A66" s="537"/>
      <c r="B66" s="540"/>
      <c r="C66" s="15" t="s">
        <v>2</v>
      </c>
      <c r="D66" s="310">
        <v>2</v>
      </c>
      <c r="E66" s="450">
        <f t="shared" si="8"/>
        <v>3.2000000000000003E-4</v>
      </c>
      <c r="F66" s="435">
        <f t="shared" si="9"/>
        <v>3.8500000000000006E-2</v>
      </c>
      <c r="G66" s="309">
        <v>0</v>
      </c>
      <c r="H66" s="314">
        <v>0.04</v>
      </c>
      <c r="I66" s="302">
        <v>0</v>
      </c>
      <c r="J66" s="302">
        <v>0</v>
      </c>
      <c r="K66" s="302">
        <v>0</v>
      </c>
      <c r="L66" s="442">
        <f t="shared" si="10"/>
        <v>3.8000000000000006E-2</v>
      </c>
      <c r="M66" s="434">
        <v>6.8999999999999992E-2</v>
      </c>
      <c r="N66" s="442">
        <f t="shared" si="11"/>
        <v>3.4999999999999996E-2</v>
      </c>
      <c r="O66" s="435">
        <f t="shared" si="7"/>
        <v>4.8000000000000001E-2</v>
      </c>
      <c r="P66" s="450">
        <f t="shared" si="12"/>
        <v>2.8999999999999998E-2</v>
      </c>
      <c r="Q66" s="446">
        <f t="shared" si="6"/>
        <v>1.8000000000000002E-2</v>
      </c>
      <c r="R66" s="311">
        <v>0.05</v>
      </c>
      <c r="S66" s="314">
        <v>0.01</v>
      </c>
      <c r="T66" s="314">
        <v>0.02</v>
      </c>
      <c r="U66" s="312">
        <v>3.5000000000000003E-2</v>
      </c>
      <c r="V66" s="311">
        <v>0.05</v>
      </c>
      <c r="W66" s="312">
        <v>0.04</v>
      </c>
      <c r="X66" s="311">
        <v>0.05</v>
      </c>
      <c r="Y66" s="314">
        <v>1.6000000000000001E-3</v>
      </c>
      <c r="Z66" s="312">
        <v>0.03</v>
      </c>
      <c r="AA66" s="314">
        <v>0.02</v>
      </c>
    </row>
    <row r="67" spans="1:27" s="22" customFormat="1" x14ac:dyDescent="0.25">
      <c r="A67" s="537"/>
      <c r="B67" s="540"/>
      <c r="C67" s="15" t="s">
        <v>1</v>
      </c>
      <c r="D67" s="310">
        <v>2.9</v>
      </c>
      <c r="E67" s="450">
        <f t="shared" si="8"/>
        <v>3.2000000000000003E-4</v>
      </c>
      <c r="F67" s="435">
        <f t="shared" si="9"/>
        <v>1.6500000000000001E-2</v>
      </c>
      <c r="G67" s="311">
        <v>0.04</v>
      </c>
      <c r="H67" s="308">
        <v>0</v>
      </c>
      <c r="I67" s="302">
        <v>0</v>
      </c>
      <c r="J67" s="302">
        <v>0</v>
      </c>
      <c r="K67" s="312">
        <v>0.03</v>
      </c>
      <c r="L67" s="442">
        <f t="shared" si="10"/>
        <v>3.04E-2</v>
      </c>
      <c r="M67" s="434">
        <v>9.1999999999999998E-2</v>
      </c>
      <c r="N67" s="442">
        <f t="shared" si="11"/>
        <v>6.9999999999999993E-3</v>
      </c>
      <c r="O67" s="435">
        <f t="shared" si="7"/>
        <v>6.0000000000000001E-3</v>
      </c>
      <c r="P67" s="450">
        <f t="shared" si="12"/>
        <v>5.7999999999999996E-2</v>
      </c>
      <c r="Q67" s="446">
        <f t="shared" si="6"/>
        <v>1.8000000000000002E-2</v>
      </c>
      <c r="R67" s="311">
        <v>0.04</v>
      </c>
      <c r="S67" s="314">
        <v>0.02</v>
      </c>
      <c r="T67" s="314">
        <v>0.02</v>
      </c>
      <c r="U67" s="312">
        <v>1.4999999999999999E-2</v>
      </c>
      <c r="V67" s="311">
        <v>0.04</v>
      </c>
      <c r="W67" s="312">
        <v>5.0000000000000001E-3</v>
      </c>
      <c r="X67" s="311">
        <v>0.01</v>
      </c>
      <c r="Y67" s="314">
        <v>1.6000000000000001E-3</v>
      </c>
      <c r="Z67" s="312">
        <v>0.05</v>
      </c>
      <c r="AA67" s="314">
        <v>0.02</v>
      </c>
    </row>
    <row r="68" spans="1:27" s="22" customFormat="1" ht="15.75" thickBot="1" x14ac:dyDescent="0.3">
      <c r="A68" s="537"/>
      <c r="B68" s="541"/>
      <c r="C68" s="15" t="s">
        <v>0</v>
      </c>
      <c r="D68" s="310">
        <v>4</v>
      </c>
      <c r="E68" s="450">
        <f t="shared" si="8"/>
        <v>3.2000000000000003E-4</v>
      </c>
      <c r="F68" s="435">
        <f t="shared" si="9"/>
        <v>3.3000000000000002E-2</v>
      </c>
      <c r="G68" s="309">
        <v>0</v>
      </c>
      <c r="H68" s="314">
        <v>0.02</v>
      </c>
      <c r="I68" s="302">
        <v>0</v>
      </c>
      <c r="J68" s="302">
        <v>0</v>
      </c>
      <c r="K68" s="312">
        <v>0.01</v>
      </c>
      <c r="L68" s="442">
        <f t="shared" si="10"/>
        <v>2.2800000000000001E-2</v>
      </c>
      <c r="M68" s="434">
        <v>6.8999999999999992E-2</v>
      </c>
      <c r="N68" s="442">
        <f t="shared" si="11"/>
        <v>2.0999999999999998E-2</v>
      </c>
      <c r="O68" s="435">
        <f t="shared" si="7"/>
        <v>3.5999999999999997E-2</v>
      </c>
      <c r="P68" s="450">
        <f t="shared" si="12"/>
        <v>5.7999999999999996E-2</v>
      </c>
      <c r="Q68" s="446">
        <f t="shared" si="6"/>
        <v>1.8000000000000002E-2</v>
      </c>
      <c r="R68" s="311">
        <v>0.03</v>
      </c>
      <c r="S68" s="314">
        <v>0.02</v>
      </c>
      <c r="T68" s="314">
        <v>0.02</v>
      </c>
      <c r="U68" s="312">
        <v>0.03</v>
      </c>
      <c r="V68" s="311">
        <v>0.03</v>
      </c>
      <c r="W68" s="312">
        <v>0.03</v>
      </c>
      <c r="X68" s="311">
        <v>0.03</v>
      </c>
      <c r="Y68" s="314">
        <v>1.6000000000000001E-3</v>
      </c>
      <c r="Z68" s="312">
        <v>0.02</v>
      </c>
      <c r="AA68" s="314">
        <v>0.02</v>
      </c>
    </row>
    <row r="69" spans="1:27" ht="15" customHeight="1" x14ac:dyDescent="0.25">
      <c r="A69" s="537"/>
      <c r="B69" s="542" t="s">
        <v>581</v>
      </c>
      <c r="C69" s="16" t="s">
        <v>3</v>
      </c>
      <c r="D69" s="318">
        <v>1.1000000000000001</v>
      </c>
      <c r="E69" s="450">
        <f t="shared" si="8"/>
        <v>3.2000000000000003E-4</v>
      </c>
      <c r="F69" s="435">
        <f t="shared" si="9"/>
        <v>5.5000000000000005E-3</v>
      </c>
      <c r="G69" s="321">
        <v>0.04</v>
      </c>
      <c r="H69" s="316">
        <v>0</v>
      </c>
      <c r="I69" s="305">
        <v>0</v>
      </c>
      <c r="J69" s="305">
        <v>0</v>
      </c>
      <c r="K69" s="315">
        <v>0</v>
      </c>
      <c r="L69" s="442">
        <f t="shared" si="10"/>
        <v>3.8000000000000006E-2</v>
      </c>
      <c r="M69" s="435">
        <v>0.22999999999999998</v>
      </c>
      <c r="N69" s="442">
        <f t="shared" si="11"/>
        <v>1.3999999999999999E-2</v>
      </c>
      <c r="O69" s="435">
        <f t="shared" si="7"/>
        <v>1.7999999999999999E-2</v>
      </c>
      <c r="P69" s="450">
        <f t="shared" si="12"/>
        <v>2.8999999999999998E-2</v>
      </c>
      <c r="Q69" s="446">
        <f t="shared" si="6"/>
        <v>1.8000000000000002E-2</v>
      </c>
      <c r="R69" s="321">
        <v>0.05</v>
      </c>
      <c r="S69" s="319">
        <v>0.01</v>
      </c>
      <c r="T69" s="319">
        <v>0.02</v>
      </c>
      <c r="U69" s="320">
        <v>5.0000000000000001E-3</v>
      </c>
      <c r="V69" s="321">
        <v>0.05</v>
      </c>
      <c r="W69" s="320">
        <v>1.4999999999999999E-2</v>
      </c>
      <c r="X69" s="321">
        <v>0.02</v>
      </c>
      <c r="Y69" s="319">
        <v>1.6000000000000001E-3</v>
      </c>
      <c r="Z69" s="320">
        <v>0.06</v>
      </c>
      <c r="AA69" s="319">
        <v>0.02</v>
      </c>
    </row>
    <row r="70" spans="1:27" x14ac:dyDescent="0.25">
      <c r="A70" s="537"/>
      <c r="B70" s="540"/>
      <c r="C70" s="15" t="s">
        <v>2</v>
      </c>
      <c r="D70" s="310">
        <v>2</v>
      </c>
      <c r="E70" s="450">
        <f t="shared" si="8"/>
        <v>3.2000000000000003E-4</v>
      </c>
      <c r="F70" s="435">
        <f t="shared" si="9"/>
        <v>3.8500000000000006E-2</v>
      </c>
      <c r="G70" s="309">
        <v>0</v>
      </c>
      <c r="H70" s="314">
        <v>0.04</v>
      </c>
      <c r="I70" s="302">
        <v>0</v>
      </c>
      <c r="J70" s="302">
        <v>0</v>
      </c>
      <c r="K70" s="302">
        <v>0</v>
      </c>
      <c r="L70" s="442">
        <f t="shared" si="10"/>
        <v>3.8000000000000006E-2</v>
      </c>
      <c r="M70" s="434">
        <v>8.0500000000000002E-2</v>
      </c>
      <c r="N70" s="442">
        <f t="shared" si="11"/>
        <v>3.4999999999999996E-2</v>
      </c>
      <c r="O70" s="435">
        <f t="shared" si="7"/>
        <v>4.8000000000000001E-2</v>
      </c>
      <c r="P70" s="450">
        <f t="shared" si="12"/>
        <v>2.8999999999999998E-2</v>
      </c>
      <c r="Q70" s="446">
        <f t="shared" si="6"/>
        <v>1.8000000000000002E-2</v>
      </c>
      <c r="R70" s="311">
        <v>0.05</v>
      </c>
      <c r="S70" s="314">
        <v>0.01</v>
      </c>
      <c r="T70" s="314">
        <v>0.02</v>
      </c>
      <c r="U70" s="312">
        <v>3.5000000000000003E-2</v>
      </c>
      <c r="V70" s="311">
        <v>0.05</v>
      </c>
      <c r="W70" s="312">
        <v>0.04</v>
      </c>
      <c r="X70" s="311">
        <v>0.05</v>
      </c>
      <c r="Y70" s="314">
        <v>1.6000000000000001E-3</v>
      </c>
      <c r="Z70" s="312">
        <v>0.03</v>
      </c>
      <c r="AA70" s="314">
        <v>0.02</v>
      </c>
    </row>
    <row r="71" spans="1:27" x14ac:dyDescent="0.25">
      <c r="A71" s="537"/>
      <c r="B71" s="540"/>
      <c r="C71" s="15" t="s">
        <v>1</v>
      </c>
      <c r="D71" s="310">
        <v>2.9</v>
      </c>
      <c r="E71" s="450">
        <f t="shared" si="8"/>
        <v>3.2000000000000003E-4</v>
      </c>
      <c r="F71" s="435">
        <f t="shared" si="9"/>
        <v>1.6500000000000001E-2</v>
      </c>
      <c r="G71" s="311">
        <v>0.04</v>
      </c>
      <c r="H71" s="308">
        <v>0</v>
      </c>
      <c r="I71" s="302">
        <v>0</v>
      </c>
      <c r="J71" s="302">
        <v>0</v>
      </c>
      <c r="K71" s="312">
        <v>0.03</v>
      </c>
      <c r="L71" s="442">
        <f t="shared" si="10"/>
        <v>3.04E-2</v>
      </c>
      <c r="M71" s="434">
        <v>9.1999999999999998E-2</v>
      </c>
      <c r="N71" s="442">
        <f t="shared" si="11"/>
        <v>6.9999999999999993E-3</v>
      </c>
      <c r="O71" s="435">
        <f t="shared" si="7"/>
        <v>6.0000000000000001E-3</v>
      </c>
      <c r="P71" s="450">
        <f t="shared" si="12"/>
        <v>5.7999999999999996E-2</v>
      </c>
      <c r="Q71" s="446">
        <f t="shared" si="6"/>
        <v>1.8000000000000002E-2</v>
      </c>
      <c r="R71" s="311">
        <v>0.04</v>
      </c>
      <c r="S71" s="314">
        <v>0.02</v>
      </c>
      <c r="T71" s="314">
        <v>0.02</v>
      </c>
      <c r="U71" s="312">
        <v>1.4999999999999999E-2</v>
      </c>
      <c r="V71" s="311">
        <v>0.04</v>
      </c>
      <c r="W71" s="312">
        <v>5.0000000000000001E-3</v>
      </c>
      <c r="X71" s="311">
        <v>0.01</v>
      </c>
      <c r="Y71" s="314">
        <v>1.6000000000000001E-3</v>
      </c>
      <c r="Z71" s="312">
        <v>0.05</v>
      </c>
      <c r="AA71" s="314">
        <v>0.02</v>
      </c>
    </row>
    <row r="72" spans="1:27" ht="15.75" thickBot="1" x14ac:dyDescent="0.3">
      <c r="A72" s="537"/>
      <c r="B72" s="541"/>
      <c r="C72" s="15" t="s">
        <v>0</v>
      </c>
      <c r="D72" s="310">
        <v>4</v>
      </c>
      <c r="E72" s="450">
        <f t="shared" si="8"/>
        <v>3.2000000000000003E-4</v>
      </c>
      <c r="F72" s="435">
        <f t="shared" si="9"/>
        <v>3.3000000000000002E-2</v>
      </c>
      <c r="G72" s="309">
        <v>0</v>
      </c>
      <c r="H72" s="314">
        <v>0.02</v>
      </c>
      <c r="I72" s="302">
        <v>0</v>
      </c>
      <c r="J72" s="302">
        <v>0</v>
      </c>
      <c r="K72" s="312">
        <v>0.01</v>
      </c>
      <c r="L72" s="442">
        <f t="shared" si="10"/>
        <v>2.2800000000000001E-2</v>
      </c>
      <c r="M72" s="434">
        <v>4.5999999999999999E-2</v>
      </c>
      <c r="N72" s="442">
        <f t="shared" si="11"/>
        <v>2.0999999999999998E-2</v>
      </c>
      <c r="O72" s="435">
        <f t="shared" si="7"/>
        <v>3.5999999999999997E-2</v>
      </c>
      <c r="P72" s="450">
        <f t="shared" si="12"/>
        <v>5.7999999999999996E-2</v>
      </c>
      <c r="Q72" s="446">
        <f t="shared" si="6"/>
        <v>1.8000000000000002E-2</v>
      </c>
      <c r="R72" s="311">
        <v>0.03</v>
      </c>
      <c r="S72" s="314">
        <v>0.02</v>
      </c>
      <c r="T72" s="314">
        <v>0.02</v>
      </c>
      <c r="U72" s="312">
        <v>0.03</v>
      </c>
      <c r="V72" s="311">
        <v>0.03</v>
      </c>
      <c r="W72" s="312">
        <v>0.03</v>
      </c>
      <c r="X72" s="311">
        <v>0.03</v>
      </c>
      <c r="Y72" s="314">
        <v>1.6000000000000001E-3</v>
      </c>
      <c r="Z72" s="312">
        <v>0.02</v>
      </c>
      <c r="AA72" s="314">
        <v>0.02</v>
      </c>
    </row>
    <row r="73" spans="1:27" ht="15" customHeight="1" x14ac:dyDescent="0.25">
      <c r="A73" s="537"/>
      <c r="B73" s="539" t="s">
        <v>582</v>
      </c>
      <c r="C73" s="16" t="s">
        <v>3</v>
      </c>
      <c r="D73" s="318">
        <v>1.1000000000000001</v>
      </c>
      <c r="E73" s="450">
        <f t="shared" si="8"/>
        <v>3.2000000000000003E-4</v>
      </c>
      <c r="F73" s="435">
        <f t="shared" si="9"/>
        <v>5.5000000000000005E-3</v>
      </c>
      <c r="G73" s="321">
        <v>0.05</v>
      </c>
      <c r="H73" s="316">
        <v>0</v>
      </c>
      <c r="I73" s="315">
        <v>0</v>
      </c>
      <c r="J73" s="315">
        <v>0</v>
      </c>
      <c r="K73" s="315">
        <v>0</v>
      </c>
      <c r="L73" s="442">
        <f t="shared" si="10"/>
        <v>3.04E-2</v>
      </c>
      <c r="M73" s="435">
        <v>0.22999999999999998</v>
      </c>
      <c r="N73" s="442">
        <f t="shared" si="11"/>
        <v>2.0999999999999998E-2</v>
      </c>
      <c r="O73" s="435">
        <f t="shared" si="7"/>
        <v>1.2E-2</v>
      </c>
      <c r="P73" s="450">
        <f t="shared" si="12"/>
        <v>2.8999999999999998E-2</v>
      </c>
      <c r="Q73" s="446">
        <f t="shared" si="6"/>
        <v>1.8000000000000002E-2</v>
      </c>
      <c r="R73" s="321">
        <v>0.04</v>
      </c>
      <c r="S73" s="319">
        <v>0.01</v>
      </c>
      <c r="T73" s="319">
        <v>0.02</v>
      </c>
      <c r="U73" s="320">
        <v>5.0000000000000001E-3</v>
      </c>
      <c r="V73" s="321">
        <v>0.04</v>
      </c>
      <c r="W73" s="320">
        <v>0.01</v>
      </c>
      <c r="X73" s="321">
        <v>0.03</v>
      </c>
      <c r="Y73" s="319">
        <v>1.6000000000000001E-3</v>
      </c>
      <c r="Z73" s="320">
        <v>0.06</v>
      </c>
      <c r="AA73" s="319">
        <v>0.02</v>
      </c>
    </row>
    <row r="74" spans="1:27" x14ac:dyDescent="0.25">
      <c r="A74" s="537"/>
      <c r="B74" s="540"/>
      <c r="C74" s="15" t="s">
        <v>2</v>
      </c>
      <c r="D74" s="310">
        <v>2</v>
      </c>
      <c r="E74" s="450">
        <f t="shared" si="8"/>
        <v>3.2000000000000003E-4</v>
      </c>
      <c r="F74" s="435">
        <f t="shared" si="9"/>
        <v>3.8500000000000006E-2</v>
      </c>
      <c r="G74" s="309">
        <v>0</v>
      </c>
      <c r="H74" s="314">
        <v>0.05</v>
      </c>
      <c r="I74" s="302">
        <v>0</v>
      </c>
      <c r="J74" s="302">
        <v>0</v>
      </c>
      <c r="K74" s="302">
        <v>0</v>
      </c>
      <c r="L74" s="442">
        <f t="shared" si="10"/>
        <v>2.2800000000000001E-2</v>
      </c>
      <c r="M74" s="434">
        <v>8.0500000000000002E-2</v>
      </c>
      <c r="N74" s="442">
        <f t="shared" si="11"/>
        <v>2.7999999999999997E-2</v>
      </c>
      <c r="O74" s="435">
        <f t="shared" si="7"/>
        <v>4.8000000000000001E-2</v>
      </c>
      <c r="P74" s="450">
        <f t="shared" si="12"/>
        <v>2.8999999999999998E-2</v>
      </c>
      <c r="Q74" s="446">
        <f t="shared" si="6"/>
        <v>1.8000000000000002E-2</v>
      </c>
      <c r="R74" s="311">
        <v>0.03</v>
      </c>
      <c r="S74" s="314">
        <v>0.01</v>
      </c>
      <c r="T74" s="314">
        <v>0.02</v>
      </c>
      <c r="U74" s="312">
        <v>3.5000000000000003E-2</v>
      </c>
      <c r="V74" s="311">
        <v>0.03</v>
      </c>
      <c r="W74" s="312">
        <v>0.04</v>
      </c>
      <c r="X74" s="311">
        <v>0.04</v>
      </c>
      <c r="Y74" s="314">
        <v>1.6000000000000001E-3</v>
      </c>
      <c r="Z74" s="312">
        <v>0.02</v>
      </c>
      <c r="AA74" s="314">
        <v>0.02</v>
      </c>
    </row>
    <row r="75" spans="1:27" x14ac:dyDescent="0.25">
      <c r="A75" s="537"/>
      <c r="B75" s="540"/>
      <c r="C75" s="15" t="s">
        <v>1</v>
      </c>
      <c r="D75" s="310">
        <v>2.7</v>
      </c>
      <c r="E75" s="450">
        <f t="shared" si="8"/>
        <v>3.2000000000000003E-4</v>
      </c>
      <c r="F75" s="435">
        <f t="shared" si="9"/>
        <v>1.6500000000000001E-2</v>
      </c>
      <c r="G75" s="311">
        <v>0.06</v>
      </c>
      <c r="H75" s="308">
        <v>0</v>
      </c>
      <c r="I75" s="302">
        <v>0</v>
      </c>
      <c r="J75" s="302">
        <v>0</v>
      </c>
      <c r="K75" s="312">
        <v>0.04</v>
      </c>
      <c r="L75" s="442">
        <f t="shared" si="10"/>
        <v>4.5600000000000002E-2</v>
      </c>
      <c r="M75" s="434">
        <v>9.1999999999999998E-2</v>
      </c>
      <c r="N75" s="442">
        <f t="shared" si="11"/>
        <v>2.0999999999999998E-2</v>
      </c>
      <c r="O75" s="435">
        <f t="shared" si="7"/>
        <v>3.5999999999999997E-2</v>
      </c>
      <c r="P75" s="450">
        <f t="shared" si="12"/>
        <v>5.7999999999999996E-2</v>
      </c>
      <c r="Q75" s="446">
        <f t="shared" si="6"/>
        <v>1.8000000000000002E-2</v>
      </c>
      <c r="R75" s="311">
        <v>0.06</v>
      </c>
      <c r="S75" s="314">
        <v>0.02</v>
      </c>
      <c r="T75" s="314">
        <v>0.02</v>
      </c>
      <c r="U75" s="312">
        <v>1.4999999999999999E-2</v>
      </c>
      <c r="V75" s="311">
        <v>0.06</v>
      </c>
      <c r="W75" s="312">
        <v>0.03</v>
      </c>
      <c r="X75" s="311">
        <v>0.03</v>
      </c>
      <c r="Y75" s="314">
        <v>1.6000000000000001E-3</v>
      </c>
      <c r="Z75" s="312">
        <v>0.06</v>
      </c>
      <c r="AA75" s="314">
        <v>0.02</v>
      </c>
    </row>
    <row r="76" spans="1:27" ht="15.75" thickBot="1" x14ac:dyDescent="0.3">
      <c r="A76" s="538"/>
      <c r="B76" s="541"/>
      <c r="C76" s="15" t="s">
        <v>0</v>
      </c>
      <c r="D76" s="310">
        <v>3.9</v>
      </c>
      <c r="E76" s="450">
        <f t="shared" si="8"/>
        <v>3.2000000000000003E-4</v>
      </c>
      <c r="F76" s="435">
        <f t="shared" si="9"/>
        <v>2.7500000000000004E-2</v>
      </c>
      <c r="G76" s="309">
        <v>0</v>
      </c>
      <c r="H76" s="314">
        <v>0.03</v>
      </c>
      <c r="I76" s="302">
        <v>0</v>
      </c>
      <c r="J76" s="302">
        <v>0</v>
      </c>
      <c r="K76" s="312">
        <v>0.01</v>
      </c>
      <c r="L76" s="442">
        <f t="shared" si="10"/>
        <v>1.52E-2</v>
      </c>
      <c r="M76" s="434">
        <v>4.5999999999999999E-2</v>
      </c>
      <c r="N76" s="442">
        <f t="shared" si="11"/>
        <v>3.4999999999999996E-2</v>
      </c>
      <c r="O76" s="435">
        <f>W76*1.2</f>
        <v>3.5999999999999997E-2</v>
      </c>
      <c r="P76" s="450">
        <f t="shared" si="12"/>
        <v>5.7999999999999996E-2</v>
      </c>
      <c r="Q76" s="446">
        <f t="shared" si="6"/>
        <v>1.8000000000000002E-2</v>
      </c>
      <c r="R76" s="311">
        <v>0.02</v>
      </c>
      <c r="S76" s="314">
        <v>0.02</v>
      </c>
      <c r="T76" s="314">
        <v>0.02</v>
      </c>
      <c r="U76" s="312">
        <v>2.5000000000000001E-2</v>
      </c>
      <c r="V76" s="311">
        <v>0.02</v>
      </c>
      <c r="W76" s="312">
        <v>0.03</v>
      </c>
      <c r="X76" s="311">
        <v>0.05</v>
      </c>
      <c r="Y76" s="314">
        <v>1.6000000000000001E-3</v>
      </c>
      <c r="Z76" s="312">
        <v>0.02</v>
      </c>
      <c r="AA76" s="314">
        <v>0.02</v>
      </c>
    </row>
    <row r="77" spans="1:27" ht="15" customHeight="1" x14ac:dyDescent="0.25">
      <c r="A77" s="536" t="s">
        <v>15</v>
      </c>
      <c r="B77" s="539" t="s">
        <v>4</v>
      </c>
      <c r="C77" s="16" t="s">
        <v>3</v>
      </c>
      <c r="D77" s="318">
        <v>1.2</v>
      </c>
      <c r="E77" s="450">
        <f>Y77*0.3</f>
        <v>9.6000000000000002E-4</v>
      </c>
      <c r="F77" s="320">
        <v>0</v>
      </c>
      <c r="G77" s="321">
        <v>0.03</v>
      </c>
      <c r="H77" s="316">
        <v>0</v>
      </c>
      <c r="I77" s="305">
        <v>0</v>
      </c>
      <c r="J77" s="305">
        <v>0</v>
      </c>
      <c r="K77" s="315">
        <v>0</v>
      </c>
      <c r="L77" s="442">
        <f t="shared" si="10"/>
        <v>4.5600000000000002E-2</v>
      </c>
      <c r="M77" s="435">
        <v>0.252</v>
      </c>
      <c r="N77" s="442">
        <f>X77*0.78</f>
        <v>7.8000000000000005E-3</v>
      </c>
      <c r="O77" s="451">
        <f>W77*1.3</f>
        <v>1.3000000000000001E-2</v>
      </c>
      <c r="P77" s="450">
        <f>S77*2.5</f>
        <v>0.05</v>
      </c>
      <c r="Q77" s="447">
        <f>AA77*0.95</f>
        <v>2.8499999999999998E-2</v>
      </c>
      <c r="S77" s="319">
        <v>0.02</v>
      </c>
      <c r="V77" s="321">
        <v>0.06</v>
      </c>
      <c r="W77" s="320">
        <v>0.01</v>
      </c>
      <c r="X77" s="321">
        <v>0.01</v>
      </c>
      <c r="Y77" s="319">
        <v>3.2000000000000002E-3</v>
      </c>
      <c r="Z77" s="320">
        <v>0.03</v>
      </c>
      <c r="AA77" s="314">
        <v>0.03</v>
      </c>
    </row>
    <row r="78" spans="1:27" x14ac:dyDescent="0.25">
      <c r="A78" s="537"/>
      <c r="B78" s="540"/>
      <c r="C78" s="15" t="s">
        <v>2</v>
      </c>
      <c r="D78" s="310">
        <v>2.1</v>
      </c>
      <c r="E78" s="450">
        <f t="shared" ref="E78:E100" si="13">Y78*0.3</f>
        <v>9.6000000000000002E-4</v>
      </c>
      <c r="F78" s="312">
        <v>0</v>
      </c>
      <c r="G78" s="309">
        <v>0</v>
      </c>
      <c r="H78" s="314">
        <v>0.02</v>
      </c>
      <c r="I78" s="302">
        <v>0</v>
      </c>
      <c r="J78" s="302">
        <v>0</v>
      </c>
      <c r="K78" s="302">
        <v>0</v>
      </c>
      <c r="L78" s="442">
        <f t="shared" si="10"/>
        <v>3.8000000000000006E-2</v>
      </c>
      <c r="M78" s="434">
        <v>0.108</v>
      </c>
      <c r="N78" s="442">
        <f t="shared" ref="N78:N100" si="14">X78*0.78</f>
        <v>7.8000000000000005E-3</v>
      </c>
      <c r="O78" s="451">
        <f t="shared" ref="O78:O100" si="15">W78*1.3</f>
        <v>2.6000000000000002E-2</v>
      </c>
      <c r="P78" s="450">
        <f t="shared" ref="P78:P100" si="16">S78*2.5</f>
        <v>0.05</v>
      </c>
      <c r="Q78" s="447">
        <f t="shared" ref="Q78:Q100" si="17">AA78*0.95</f>
        <v>2.8499999999999998E-2</v>
      </c>
      <c r="S78" s="314">
        <v>0.02</v>
      </c>
      <c r="V78" s="311">
        <v>0.05</v>
      </c>
      <c r="W78" s="311">
        <v>0.02</v>
      </c>
      <c r="X78" s="311">
        <v>0.01</v>
      </c>
      <c r="Y78" s="314">
        <v>3.2000000000000002E-3</v>
      </c>
      <c r="Z78" s="312">
        <v>0.05</v>
      </c>
      <c r="AA78" s="314">
        <v>0.03</v>
      </c>
    </row>
    <row r="79" spans="1:27" x14ac:dyDescent="0.25">
      <c r="A79" s="537"/>
      <c r="B79" s="540"/>
      <c r="C79" s="15" t="s">
        <v>1</v>
      </c>
      <c r="D79" s="310">
        <v>2.8</v>
      </c>
      <c r="E79" s="450">
        <f t="shared" si="13"/>
        <v>9.6000000000000002E-4</v>
      </c>
      <c r="F79" s="312">
        <v>0</v>
      </c>
      <c r="G79" s="311">
        <v>0.04</v>
      </c>
      <c r="H79" s="308">
        <v>0</v>
      </c>
      <c r="I79" s="302">
        <v>0</v>
      </c>
      <c r="J79" s="302">
        <v>0</v>
      </c>
      <c r="K79" s="312">
        <v>0.05</v>
      </c>
      <c r="L79" s="442">
        <f t="shared" si="10"/>
        <v>3.04E-2</v>
      </c>
      <c r="M79" s="434">
        <v>0.24</v>
      </c>
      <c r="N79" s="442">
        <f t="shared" si="14"/>
        <v>7.8000000000000005E-3</v>
      </c>
      <c r="O79" s="451">
        <f t="shared" si="15"/>
        <v>1.3000000000000001E-2</v>
      </c>
      <c r="P79" s="450">
        <f t="shared" si="16"/>
        <v>0.05</v>
      </c>
      <c r="Q79" s="447">
        <f t="shared" si="17"/>
        <v>2.8499999999999998E-2</v>
      </c>
      <c r="S79" s="314">
        <v>0.02</v>
      </c>
      <c r="V79" s="311">
        <v>0.04</v>
      </c>
      <c r="W79" s="311">
        <v>0.01</v>
      </c>
      <c r="X79" s="311">
        <v>0.01</v>
      </c>
      <c r="Y79" s="314">
        <v>3.2000000000000002E-3</v>
      </c>
      <c r="Z79" s="312">
        <v>0.04</v>
      </c>
      <c r="AA79" s="314">
        <v>0.03</v>
      </c>
    </row>
    <row r="80" spans="1:27" ht="15.75" thickBot="1" x14ac:dyDescent="0.3">
      <c r="A80" s="537"/>
      <c r="B80" s="541"/>
      <c r="C80" s="15" t="s">
        <v>0</v>
      </c>
      <c r="D80" s="310">
        <v>4</v>
      </c>
      <c r="E80" s="450">
        <f t="shared" si="13"/>
        <v>9.6000000000000002E-4</v>
      </c>
      <c r="F80" s="312">
        <v>0</v>
      </c>
      <c r="G80" s="309">
        <v>0</v>
      </c>
      <c r="H80" s="314">
        <v>0.01</v>
      </c>
      <c r="I80" s="302">
        <v>0</v>
      </c>
      <c r="J80" s="302">
        <v>0</v>
      </c>
      <c r="K80" s="312">
        <v>0.04</v>
      </c>
      <c r="L80" s="442">
        <f t="shared" si="10"/>
        <v>3.04E-2</v>
      </c>
      <c r="M80" s="434">
        <v>0.108</v>
      </c>
      <c r="N80" s="442">
        <f t="shared" si="14"/>
        <v>1.5600000000000001E-2</v>
      </c>
      <c r="O80" s="451">
        <f t="shared" si="15"/>
        <v>2.6000000000000002E-2</v>
      </c>
      <c r="P80" s="450">
        <f t="shared" si="16"/>
        <v>0.05</v>
      </c>
      <c r="Q80" s="447">
        <f t="shared" si="17"/>
        <v>2.8499999999999998E-2</v>
      </c>
      <c r="S80" s="314">
        <v>0.02</v>
      </c>
      <c r="V80" s="311">
        <v>0.04</v>
      </c>
      <c r="W80" s="312">
        <v>0.02</v>
      </c>
      <c r="X80" s="311">
        <v>0.02</v>
      </c>
      <c r="Y80" s="314">
        <v>3.2000000000000002E-3</v>
      </c>
      <c r="Z80" s="312">
        <v>0.05</v>
      </c>
      <c r="AA80" s="314">
        <v>0.03</v>
      </c>
    </row>
    <row r="81" spans="1:27" ht="15" customHeight="1" x14ac:dyDescent="0.25">
      <c r="A81" s="537"/>
      <c r="B81" s="539" t="s">
        <v>578</v>
      </c>
      <c r="C81" s="16" t="s">
        <v>3</v>
      </c>
      <c r="D81" s="318">
        <v>1.1000000000000001</v>
      </c>
      <c r="E81" s="450">
        <f t="shared" si="13"/>
        <v>9.6000000000000002E-4</v>
      </c>
      <c r="F81" s="320">
        <v>0</v>
      </c>
      <c r="G81" s="321">
        <v>0.02</v>
      </c>
      <c r="H81" s="316">
        <v>0</v>
      </c>
      <c r="I81" s="305">
        <v>0</v>
      </c>
      <c r="J81" s="305">
        <v>0</v>
      </c>
      <c r="K81" s="315">
        <v>0</v>
      </c>
      <c r="L81" s="442">
        <f t="shared" si="10"/>
        <v>4.5600000000000002E-2</v>
      </c>
      <c r="M81" s="435">
        <v>0.252</v>
      </c>
      <c r="N81" s="442">
        <f t="shared" si="14"/>
        <v>7.8000000000000005E-3</v>
      </c>
      <c r="O81" s="451">
        <f t="shared" si="15"/>
        <v>1.3000000000000001E-2</v>
      </c>
      <c r="P81" s="450">
        <f t="shared" si="16"/>
        <v>0.05</v>
      </c>
      <c r="Q81" s="447">
        <f t="shared" si="17"/>
        <v>2.8499999999999998E-2</v>
      </c>
      <c r="S81" s="319">
        <v>0.02</v>
      </c>
      <c r="V81" s="321">
        <v>0.06</v>
      </c>
      <c r="W81" s="320">
        <v>0.01</v>
      </c>
      <c r="X81" s="321">
        <v>0.01</v>
      </c>
      <c r="Y81" s="319">
        <v>3.2000000000000002E-3</v>
      </c>
      <c r="Z81" s="320">
        <v>0.03</v>
      </c>
      <c r="AA81" s="314">
        <v>0.03</v>
      </c>
    </row>
    <row r="82" spans="1:27" x14ac:dyDescent="0.25">
      <c r="A82" s="537"/>
      <c r="B82" s="540"/>
      <c r="C82" s="15" t="s">
        <v>2</v>
      </c>
      <c r="D82" s="310">
        <v>2.1</v>
      </c>
      <c r="E82" s="450">
        <f t="shared" si="13"/>
        <v>9.6000000000000002E-4</v>
      </c>
      <c r="F82" s="312">
        <v>0</v>
      </c>
      <c r="G82" s="309">
        <v>0</v>
      </c>
      <c r="H82" s="314">
        <v>0.02</v>
      </c>
      <c r="I82" s="302">
        <v>0</v>
      </c>
      <c r="J82" s="302">
        <v>0</v>
      </c>
      <c r="K82" s="302">
        <v>0</v>
      </c>
      <c r="L82" s="442">
        <f t="shared" si="10"/>
        <v>3.8000000000000006E-2</v>
      </c>
      <c r="M82" s="434">
        <v>0.108</v>
      </c>
      <c r="N82" s="442">
        <f t="shared" si="14"/>
        <v>7.8000000000000005E-3</v>
      </c>
      <c r="O82" s="451">
        <f t="shared" si="15"/>
        <v>2.6000000000000002E-2</v>
      </c>
      <c r="P82" s="450">
        <f t="shared" si="16"/>
        <v>0.05</v>
      </c>
      <c r="Q82" s="447">
        <f t="shared" si="17"/>
        <v>2.8499999999999998E-2</v>
      </c>
      <c r="S82" s="314">
        <v>0.02</v>
      </c>
      <c r="V82" s="311">
        <v>0.05</v>
      </c>
      <c r="W82" s="311">
        <v>0.02</v>
      </c>
      <c r="X82" s="311">
        <v>0.01</v>
      </c>
      <c r="Y82" s="314">
        <v>3.2000000000000002E-3</v>
      </c>
      <c r="Z82" s="312">
        <v>0.05</v>
      </c>
      <c r="AA82" s="314">
        <v>0.03</v>
      </c>
    </row>
    <row r="83" spans="1:27" x14ac:dyDescent="0.25">
      <c r="A83" s="537"/>
      <c r="B83" s="540"/>
      <c r="C83" s="15" t="s">
        <v>1</v>
      </c>
      <c r="D83" s="310">
        <v>2.2999999999999998</v>
      </c>
      <c r="E83" s="450">
        <f t="shared" si="13"/>
        <v>9.6000000000000002E-4</v>
      </c>
      <c r="F83" s="312">
        <v>0</v>
      </c>
      <c r="G83" s="311">
        <v>0.02</v>
      </c>
      <c r="H83" s="308">
        <v>0</v>
      </c>
      <c r="I83" s="302">
        <v>0</v>
      </c>
      <c r="J83" s="302">
        <v>0</v>
      </c>
      <c r="K83" s="312">
        <v>7.0000000000000007E-2</v>
      </c>
      <c r="L83" s="442">
        <f t="shared" si="10"/>
        <v>3.04E-2</v>
      </c>
      <c r="M83" s="434">
        <v>0.24</v>
      </c>
      <c r="N83" s="442">
        <f t="shared" si="14"/>
        <v>7.8000000000000005E-3</v>
      </c>
      <c r="O83" s="451">
        <f t="shared" si="15"/>
        <v>1.3000000000000001E-2</v>
      </c>
      <c r="P83" s="450">
        <f t="shared" si="16"/>
        <v>0.05</v>
      </c>
      <c r="Q83" s="447">
        <f t="shared" si="17"/>
        <v>2.8499999999999998E-2</v>
      </c>
      <c r="S83" s="314">
        <v>0.02</v>
      </c>
      <c r="V83" s="311">
        <v>0.04</v>
      </c>
      <c r="W83" s="311">
        <v>0.01</v>
      </c>
      <c r="X83" s="311">
        <v>0.01</v>
      </c>
      <c r="Y83" s="314">
        <v>3.2000000000000002E-3</v>
      </c>
      <c r="Z83" s="312">
        <v>0.04</v>
      </c>
      <c r="AA83" s="314">
        <v>0.03</v>
      </c>
    </row>
    <row r="84" spans="1:27" ht="15.75" thickBot="1" x14ac:dyDescent="0.3">
      <c r="A84" s="537"/>
      <c r="B84" s="541"/>
      <c r="C84" s="15" t="s">
        <v>0</v>
      </c>
      <c r="D84" s="310">
        <v>3.5</v>
      </c>
      <c r="E84" s="450">
        <f t="shared" si="13"/>
        <v>9.6000000000000002E-4</v>
      </c>
      <c r="F84" s="312">
        <v>0</v>
      </c>
      <c r="G84" s="309">
        <v>0</v>
      </c>
      <c r="H84" s="314">
        <v>0.01</v>
      </c>
      <c r="I84" s="302">
        <v>0</v>
      </c>
      <c r="J84" s="302">
        <v>0</v>
      </c>
      <c r="K84" s="312">
        <v>0.05</v>
      </c>
      <c r="L84" s="442">
        <f t="shared" si="10"/>
        <v>3.04E-2</v>
      </c>
      <c r="M84" s="434">
        <v>0.108</v>
      </c>
      <c r="N84" s="442">
        <f t="shared" si="14"/>
        <v>1.5600000000000001E-2</v>
      </c>
      <c r="O84" s="451">
        <f t="shared" si="15"/>
        <v>2.6000000000000002E-2</v>
      </c>
      <c r="P84" s="450">
        <f t="shared" si="16"/>
        <v>0.05</v>
      </c>
      <c r="Q84" s="447">
        <f t="shared" si="17"/>
        <v>2.8499999999999998E-2</v>
      </c>
      <c r="S84" s="314">
        <v>0.02</v>
      </c>
      <c r="V84" s="311">
        <v>0.04</v>
      </c>
      <c r="W84" s="312">
        <v>0.02</v>
      </c>
      <c r="X84" s="311">
        <v>0.02</v>
      </c>
      <c r="Y84" s="314">
        <v>3.2000000000000002E-3</v>
      </c>
      <c r="Z84" s="312">
        <v>0.05</v>
      </c>
      <c r="AA84" s="314">
        <v>0.03</v>
      </c>
    </row>
    <row r="85" spans="1:27" s="22" customFormat="1" x14ac:dyDescent="0.25">
      <c r="A85" s="537"/>
      <c r="B85" s="542" t="s">
        <v>579</v>
      </c>
      <c r="C85" s="16" t="s">
        <v>3</v>
      </c>
      <c r="D85" s="318">
        <v>1.1000000000000001</v>
      </c>
      <c r="E85" s="450">
        <f t="shared" si="13"/>
        <v>9.6000000000000002E-4</v>
      </c>
      <c r="F85" s="320">
        <v>0</v>
      </c>
      <c r="G85" s="321">
        <v>0.02</v>
      </c>
      <c r="H85" s="316">
        <v>0</v>
      </c>
      <c r="I85" s="305">
        <v>0</v>
      </c>
      <c r="J85" s="305">
        <v>0</v>
      </c>
      <c r="K85" s="443">
        <v>0</v>
      </c>
      <c r="L85" s="442">
        <f t="shared" si="10"/>
        <v>3.04E-2</v>
      </c>
      <c r="M85" s="446">
        <v>0.12</v>
      </c>
      <c r="N85" s="442">
        <f t="shared" si="14"/>
        <v>7.8000000000000005E-3</v>
      </c>
      <c r="O85" s="451">
        <f t="shared" si="15"/>
        <v>1.3000000000000001E-2</v>
      </c>
      <c r="P85" s="450">
        <f t="shared" si="16"/>
        <v>0.05</v>
      </c>
      <c r="Q85" s="447">
        <f t="shared" si="17"/>
        <v>2.8499999999999998E-2</v>
      </c>
      <c r="S85" s="319">
        <v>0.02</v>
      </c>
      <c r="V85" s="321">
        <v>0.04</v>
      </c>
      <c r="W85" s="320">
        <v>0.01</v>
      </c>
      <c r="X85" s="321">
        <v>0.01</v>
      </c>
      <c r="Y85" s="319">
        <v>3.2000000000000002E-3</v>
      </c>
      <c r="Z85" s="320">
        <v>0.03</v>
      </c>
      <c r="AA85" s="314">
        <v>0.03</v>
      </c>
    </row>
    <row r="86" spans="1:27" s="22" customFormat="1" x14ac:dyDescent="0.25">
      <c r="A86" s="537"/>
      <c r="B86" s="540"/>
      <c r="C86" s="15" t="s">
        <v>2</v>
      </c>
      <c r="D86" s="310">
        <v>2.1</v>
      </c>
      <c r="E86" s="450">
        <f t="shared" si="13"/>
        <v>9.6000000000000002E-4</v>
      </c>
      <c r="F86" s="312">
        <v>0</v>
      </c>
      <c r="G86" s="309">
        <v>0</v>
      </c>
      <c r="H86" s="314">
        <v>0.02</v>
      </c>
      <c r="I86" s="302">
        <v>0</v>
      </c>
      <c r="J86" s="302">
        <v>0</v>
      </c>
      <c r="K86" s="444">
        <v>0</v>
      </c>
      <c r="L86" s="442">
        <f t="shared" si="10"/>
        <v>3.04E-2</v>
      </c>
      <c r="M86" s="447">
        <v>7.1999999999999995E-2</v>
      </c>
      <c r="N86" s="442">
        <f t="shared" si="14"/>
        <v>1.5600000000000001E-2</v>
      </c>
      <c r="O86" s="451">
        <f t="shared" si="15"/>
        <v>5.2000000000000005E-2</v>
      </c>
      <c r="P86" s="450">
        <f t="shared" si="16"/>
        <v>0.05</v>
      </c>
      <c r="Q86" s="447">
        <f t="shared" si="17"/>
        <v>2.8499999999999998E-2</v>
      </c>
      <c r="S86" s="314">
        <v>0.02</v>
      </c>
      <c r="V86" s="311">
        <v>0.04</v>
      </c>
      <c r="W86" s="312">
        <v>0.04</v>
      </c>
      <c r="X86" s="311">
        <v>0.02</v>
      </c>
      <c r="Y86" s="314">
        <v>3.2000000000000002E-3</v>
      </c>
      <c r="Z86" s="312">
        <v>0.02</v>
      </c>
      <c r="AA86" s="314">
        <v>0.03</v>
      </c>
    </row>
    <row r="87" spans="1:27" s="22" customFormat="1" x14ac:dyDescent="0.25">
      <c r="A87" s="537"/>
      <c r="B87" s="540"/>
      <c r="C87" s="15" t="s">
        <v>1</v>
      </c>
      <c r="D87" s="310">
        <v>2.2999999999999998</v>
      </c>
      <c r="E87" s="450">
        <f t="shared" si="13"/>
        <v>9.6000000000000002E-4</v>
      </c>
      <c r="F87" s="312">
        <v>0</v>
      </c>
      <c r="G87" s="311">
        <v>0.02</v>
      </c>
      <c r="H87" s="308">
        <v>0</v>
      </c>
      <c r="I87" s="302">
        <v>0</v>
      </c>
      <c r="J87" s="302">
        <v>0</v>
      </c>
      <c r="K87" s="445">
        <v>7.0000000000000007E-2</v>
      </c>
      <c r="L87" s="442">
        <f t="shared" si="10"/>
        <v>3.04E-2</v>
      </c>
      <c r="M87" s="447">
        <v>9.6000000000000002E-2</v>
      </c>
      <c r="N87" s="442">
        <f t="shared" si="14"/>
        <v>1.17E-2</v>
      </c>
      <c r="O87" s="451">
        <f t="shared" si="15"/>
        <v>1.3000000000000001E-2</v>
      </c>
      <c r="P87" s="450">
        <f t="shared" si="16"/>
        <v>0.05</v>
      </c>
      <c r="Q87" s="447">
        <f t="shared" si="17"/>
        <v>2.8499999999999998E-2</v>
      </c>
      <c r="S87" s="314">
        <v>0.02</v>
      </c>
      <c r="V87" s="311">
        <v>0.04</v>
      </c>
      <c r="W87" s="312">
        <v>0.01</v>
      </c>
      <c r="X87" s="311">
        <v>1.4999999999999999E-2</v>
      </c>
      <c r="Y87" s="314">
        <v>3.2000000000000002E-3</v>
      </c>
      <c r="Z87" s="312">
        <v>0.04</v>
      </c>
      <c r="AA87" s="314">
        <v>0.03</v>
      </c>
    </row>
    <row r="88" spans="1:27" s="22" customFormat="1" ht="15.75" thickBot="1" x14ac:dyDescent="0.3">
      <c r="A88" s="537"/>
      <c r="B88" s="541"/>
      <c r="C88" s="15" t="s">
        <v>0</v>
      </c>
      <c r="D88" s="310">
        <v>3.5</v>
      </c>
      <c r="E88" s="450">
        <f t="shared" si="13"/>
        <v>9.6000000000000002E-4</v>
      </c>
      <c r="F88" s="312">
        <v>0</v>
      </c>
      <c r="G88" s="309">
        <v>0</v>
      </c>
      <c r="H88" s="314">
        <v>0.01</v>
      </c>
      <c r="I88" s="302">
        <v>0</v>
      </c>
      <c r="J88" s="302">
        <v>0</v>
      </c>
      <c r="K88" s="445">
        <v>0.05</v>
      </c>
      <c r="L88" s="442">
        <f t="shared" si="10"/>
        <v>3.04E-2</v>
      </c>
      <c r="M88" s="447">
        <v>7.1999999999999995E-2</v>
      </c>
      <c r="N88" s="442">
        <f t="shared" si="14"/>
        <v>2.3400000000000001E-2</v>
      </c>
      <c r="O88" s="451">
        <f t="shared" si="15"/>
        <v>5.2000000000000005E-2</v>
      </c>
      <c r="P88" s="450">
        <f t="shared" si="16"/>
        <v>0.05</v>
      </c>
      <c r="Q88" s="447">
        <f t="shared" si="17"/>
        <v>2.8499999999999998E-2</v>
      </c>
      <c r="S88" s="314">
        <v>0.02</v>
      </c>
      <c r="V88" s="311">
        <v>0.04</v>
      </c>
      <c r="W88" s="312">
        <v>0.04</v>
      </c>
      <c r="X88" s="311">
        <v>0.03</v>
      </c>
      <c r="Y88" s="314">
        <v>3.2000000000000002E-3</v>
      </c>
      <c r="Z88" s="312">
        <v>0.04</v>
      </c>
      <c r="AA88" s="314">
        <v>0.03</v>
      </c>
    </row>
    <row r="89" spans="1:27" s="22" customFormat="1" x14ac:dyDescent="0.25">
      <c r="A89" s="537"/>
      <c r="B89" s="542" t="s">
        <v>580</v>
      </c>
      <c r="C89" s="16" t="s">
        <v>3</v>
      </c>
      <c r="D89" s="318">
        <v>1.1000000000000001</v>
      </c>
      <c r="E89" s="450">
        <f t="shared" si="13"/>
        <v>9.6000000000000002E-4</v>
      </c>
      <c r="F89" s="320">
        <v>0</v>
      </c>
      <c r="G89" s="321">
        <v>0.02</v>
      </c>
      <c r="H89" s="316">
        <v>0</v>
      </c>
      <c r="I89" s="305">
        <v>0</v>
      </c>
      <c r="J89" s="305">
        <v>0</v>
      </c>
      <c r="K89" s="443">
        <v>0</v>
      </c>
      <c r="L89" s="442">
        <f t="shared" si="10"/>
        <v>3.04E-2</v>
      </c>
      <c r="M89" s="446">
        <v>0.12</v>
      </c>
      <c r="N89" s="442">
        <f t="shared" si="14"/>
        <v>7.8000000000000005E-3</v>
      </c>
      <c r="O89" s="451">
        <f t="shared" si="15"/>
        <v>1.3000000000000001E-2</v>
      </c>
      <c r="P89" s="450">
        <f t="shared" si="16"/>
        <v>0.05</v>
      </c>
      <c r="Q89" s="447">
        <f t="shared" si="17"/>
        <v>2.8499999999999998E-2</v>
      </c>
      <c r="S89" s="319">
        <v>0.02</v>
      </c>
      <c r="V89" s="321">
        <v>0.04</v>
      </c>
      <c r="W89" s="320">
        <v>0.01</v>
      </c>
      <c r="X89" s="321">
        <v>0.01</v>
      </c>
      <c r="Y89" s="319">
        <v>3.2000000000000002E-3</v>
      </c>
      <c r="Z89" s="320">
        <v>0.03</v>
      </c>
      <c r="AA89" s="314">
        <v>0.03</v>
      </c>
    </row>
    <row r="90" spans="1:27" s="22" customFormat="1" x14ac:dyDescent="0.25">
      <c r="A90" s="537"/>
      <c r="B90" s="540"/>
      <c r="C90" s="15" t="s">
        <v>2</v>
      </c>
      <c r="D90" s="310">
        <v>2.1</v>
      </c>
      <c r="E90" s="450">
        <f t="shared" si="13"/>
        <v>9.6000000000000002E-4</v>
      </c>
      <c r="F90" s="312">
        <v>0</v>
      </c>
      <c r="G90" s="309">
        <v>0</v>
      </c>
      <c r="H90" s="314">
        <v>0.02</v>
      </c>
      <c r="I90" s="302">
        <v>0</v>
      </c>
      <c r="J90" s="302">
        <v>0</v>
      </c>
      <c r="K90" s="444">
        <v>0</v>
      </c>
      <c r="L90" s="442">
        <f t="shared" si="10"/>
        <v>3.04E-2</v>
      </c>
      <c r="M90" s="447">
        <v>7.1999999999999995E-2</v>
      </c>
      <c r="N90" s="442">
        <f t="shared" si="14"/>
        <v>1.5600000000000001E-2</v>
      </c>
      <c r="O90" s="451">
        <f t="shared" si="15"/>
        <v>5.2000000000000005E-2</v>
      </c>
      <c r="P90" s="450">
        <f t="shared" si="16"/>
        <v>0.05</v>
      </c>
      <c r="Q90" s="447">
        <f t="shared" si="17"/>
        <v>2.8499999999999998E-2</v>
      </c>
      <c r="S90" s="314">
        <v>0.02</v>
      </c>
      <c r="V90" s="311">
        <v>0.04</v>
      </c>
      <c r="W90" s="312">
        <v>0.04</v>
      </c>
      <c r="X90" s="311">
        <v>0.02</v>
      </c>
      <c r="Y90" s="314">
        <v>3.2000000000000002E-3</v>
      </c>
      <c r="Z90" s="312">
        <v>0.02</v>
      </c>
      <c r="AA90" s="314">
        <v>0.03</v>
      </c>
    </row>
    <row r="91" spans="1:27" s="22" customFormat="1" x14ac:dyDescent="0.25">
      <c r="A91" s="537"/>
      <c r="B91" s="540"/>
      <c r="C91" s="15" t="s">
        <v>1</v>
      </c>
      <c r="D91" s="310">
        <v>2.2999999999999998</v>
      </c>
      <c r="E91" s="450">
        <f t="shared" si="13"/>
        <v>9.6000000000000002E-4</v>
      </c>
      <c r="F91" s="312">
        <v>0</v>
      </c>
      <c r="G91" s="311">
        <v>0.02</v>
      </c>
      <c r="H91" s="308">
        <v>0</v>
      </c>
      <c r="I91" s="302">
        <v>0</v>
      </c>
      <c r="J91" s="302">
        <v>0</v>
      </c>
      <c r="K91" s="445">
        <v>7.0000000000000007E-2</v>
      </c>
      <c r="L91" s="442">
        <f t="shared" si="10"/>
        <v>3.04E-2</v>
      </c>
      <c r="M91" s="447">
        <v>9.6000000000000002E-2</v>
      </c>
      <c r="N91" s="442">
        <f t="shared" si="14"/>
        <v>1.17E-2</v>
      </c>
      <c r="O91" s="451">
        <f t="shared" si="15"/>
        <v>1.3000000000000001E-2</v>
      </c>
      <c r="P91" s="450">
        <f t="shared" si="16"/>
        <v>0.05</v>
      </c>
      <c r="Q91" s="447">
        <f t="shared" si="17"/>
        <v>2.8499999999999998E-2</v>
      </c>
      <c r="S91" s="314">
        <v>0.02</v>
      </c>
      <c r="V91" s="311">
        <v>0.04</v>
      </c>
      <c r="W91" s="312">
        <v>0.01</v>
      </c>
      <c r="X91" s="311">
        <v>1.4999999999999999E-2</v>
      </c>
      <c r="Y91" s="314">
        <v>3.2000000000000002E-3</v>
      </c>
      <c r="Z91" s="312">
        <v>0.04</v>
      </c>
      <c r="AA91" s="314">
        <v>0.03</v>
      </c>
    </row>
    <row r="92" spans="1:27" s="22" customFormat="1" ht="15.75" thickBot="1" x14ac:dyDescent="0.3">
      <c r="A92" s="537"/>
      <c r="B92" s="541"/>
      <c r="C92" s="15" t="s">
        <v>0</v>
      </c>
      <c r="D92" s="310">
        <v>3.5</v>
      </c>
      <c r="E92" s="450">
        <f t="shared" si="13"/>
        <v>9.6000000000000002E-4</v>
      </c>
      <c r="F92" s="312">
        <v>0</v>
      </c>
      <c r="G92" s="309">
        <v>0</v>
      </c>
      <c r="H92" s="314">
        <v>0.01</v>
      </c>
      <c r="I92" s="302">
        <v>0</v>
      </c>
      <c r="J92" s="302">
        <v>0</v>
      </c>
      <c r="K92" s="445">
        <v>0.05</v>
      </c>
      <c r="L92" s="442">
        <f t="shared" si="10"/>
        <v>3.04E-2</v>
      </c>
      <c r="M92" s="447">
        <v>7.1999999999999995E-2</v>
      </c>
      <c r="N92" s="442">
        <f t="shared" si="14"/>
        <v>2.3400000000000001E-2</v>
      </c>
      <c r="O92" s="451">
        <f t="shared" si="15"/>
        <v>5.2000000000000005E-2</v>
      </c>
      <c r="P92" s="450">
        <f t="shared" si="16"/>
        <v>0.05</v>
      </c>
      <c r="Q92" s="447">
        <f t="shared" si="17"/>
        <v>2.8499999999999998E-2</v>
      </c>
      <c r="S92" s="314">
        <v>0.02</v>
      </c>
      <c r="V92" s="311">
        <v>0.04</v>
      </c>
      <c r="W92" s="312">
        <v>0.04</v>
      </c>
      <c r="X92" s="311">
        <v>0.03</v>
      </c>
      <c r="Y92" s="314">
        <v>3.2000000000000002E-3</v>
      </c>
      <c r="Z92" s="312">
        <v>0.04</v>
      </c>
      <c r="AA92" s="314">
        <v>0.03</v>
      </c>
    </row>
    <row r="93" spans="1:27" ht="12.75" customHeight="1" x14ac:dyDescent="0.25">
      <c r="A93" s="537"/>
      <c r="B93" s="542" t="s">
        <v>581</v>
      </c>
      <c r="C93" s="16" t="s">
        <v>3</v>
      </c>
      <c r="D93" s="318">
        <v>1.1000000000000001</v>
      </c>
      <c r="E93" s="450">
        <f t="shared" si="13"/>
        <v>9.6000000000000002E-4</v>
      </c>
      <c r="F93" s="320">
        <v>0</v>
      </c>
      <c r="G93" s="321">
        <v>0.02</v>
      </c>
      <c r="H93" s="316">
        <v>0</v>
      </c>
      <c r="I93" s="305">
        <v>0</v>
      </c>
      <c r="J93" s="305">
        <v>0</v>
      </c>
      <c r="K93" s="443">
        <v>0</v>
      </c>
      <c r="L93" s="442">
        <f t="shared" si="10"/>
        <v>3.04E-2</v>
      </c>
      <c r="M93" s="446">
        <v>0.24</v>
      </c>
      <c r="N93" s="442">
        <f t="shared" si="14"/>
        <v>7.8000000000000005E-3</v>
      </c>
      <c r="O93" s="451">
        <f t="shared" si="15"/>
        <v>1.3000000000000001E-2</v>
      </c>
      <c r="P93" s="450">
        <f t="shared" si="16"/>
        <v>0.05</v>
      </c>
      <c r="Q93" s="447">
        <f t="shared" si="17"/>
        <v>2.8499999999999998E-2</v>
      </c>
      <c r="S93" s="319">
        <v>0.02</v>
      </c>
      <c r="V93" s="321">
        <v>0.04</v>
      </c>
      <c r="W93" s="320">
        <v>0.01</v>
      </c>
      <c r="X93" s="321">
        <v>0.01</v>
      </c>
      <c r="Y93" s="319">
        <v>3.2000000000000002E-3</v>
      </c>
      <c r="Z93" s="320">
        <v>0.03</v>
      </c>
      <c r="AA93" s="314">
        <v>0.03</v>
      </c>
    </row>
    <row r="94" spans="1:27" x14ac:dyDescent="0.25">
      <c r="A94" s="537"/>
      <c r="B94" s="540"/>
      <c r="C94" s="15" t="s">
        <v>2</v>
      </c>
      <c r="D94" s="310">
        <v>2.1</v>
      </c>
      <c r="E94" s="450">
        <f t="shared" si="13"/>
        <v>9.6000000000000002E-4</v>
      </c>
      <c r="F94" s="312">
        <v>0</v>
      </c>
      <c r="G94" s="309">
        <v>0</v>
      </c>
      <c r="H94" s="314">
        <v>0.02</v>
      </c>
      <c r="I94" s="302">
        <v>0</v>
      </c>
      <c r="J94" s="302">
        <v>0</v>
      </c>
      <c r="K94" s="444">
        <v>0</v>
      </c>
      <c r="L94" s="442">
        <f t="shared" si="10"/>
        <v>3.04E-2</v>
      </c>
      <c r="M94" s="447">
        <v>8.4000000000000005E-2</v>
      </c>
      <c r="N94" s="442">
        <f t="shared" si="14"/>
        <v>1.5600000000000001E-2</v>
      </c>
      <c r="O94" s="451">
        <f t="shared" si="15"/>
        <v>5.2000000000000005E-2</v>
      </c>
      <c r="P94" s="450">
        <f t="shared" si="16"/>
        <v>0.05</v>
      </c>
      <c r="Q94" s="447">
        <f t="shared" si="17"/>
        <v>2.8499999999999998E-2</v>
      </c>
      <c r="S94" s="314">
        <v>0.02</v>
      </c>
      <c r="V94" s="311">
        <v>0.04</v>
      </c>
      <c r="W94" s="312">
        <v>0.04</v>
      </c>
      <c r="X94" s="311">
        <v>0.02</v>
      </c>
      <c r="Y94" s="314">
        <v>3.2000000000000002E-3</v>
      </c>
      <c r="Z94" s="312">
        <v>0.02</v>
      </c>
      <c r="AA94" s="314">
        <v>0.03</v>
      </c>
    </row>
    <row r="95" spans="1:27" x14ac:dyDescent="0.25">
      <c r="A95" s="537"/>
      <c r="B95" s="540"/>
      <c r="C95" s="15" t="s">
        <v>1</v>
      </c>
      <c r="D95" s="310">
        <v>2.2999999999999998</v>
      </c>
      <c r="E95" s="450">
        <f t="shared" si="13"/>
        <v>9.6000000000000002E-4</v>
      </c>
      <c r="F95" s="312">
        <v>0</v>
      </c>
      <c r="G95" s="311">
        <v>0.02</v>
      </c>
      <c r="H95" s="308">
        <v>0</v>
      </c>
      <c r="I95" s="302">
        <v>0</v>
      </c>
      <c r="J95" s="302">
        <v>0</v>
      </c>
      <c r="K95" s="445">
        <v>7.0000000000000007E-2</v>
      </c>
      <c r="L95" s="442">
        <f t="shared" si="10"/>
        <v>3.04E-2</v>
      </c>
      <c r="M95" s="447">
        <v>9.6000000000000002E-2</v>
      </c>
      <c r="N95" s="442">
        <f t="shared" si="14"/>
        <v>1.17E-2</v>
      </c>
      <c r="O95" s="451">
        <f t="shared" si="15"/>
        <v>1.3000000000000001E-2</v>
      </c>
      <c r="P95" s="450">
        <f t="shared" si="16"/>
        <v>0.05</v>
      </c>
      <c r="Q95" s="447">
        <f t="shared" si="17"/>
        <v>2.8499999999999998E-2</v>
      </c>
      <c r="S95" s="314">
        <v>0.02</v>
      </c>
      <c r="V95" s="311">
        <v>0.04</v>
      </c>
      <c r="W95" s="312">
        <v>0.01</v>
      </c>
      <c r="X95" s="311">
        <v>1.4999999999999999E-2</v>
      </c>
      <c r="Y95" s="314">
        <v>3.2000000000000002E-3</v>
      </c>
      <c r="Z95" s="312">
        <v>0.04</v>
      </c>
      <c r="AA95" s="314">
        <v>0.03</v>
      </c>
    </row>
    <row r="96" spans="1:27" ht="15.75" thickBot="1" x14ac:dyDescent="0.3">
      <c r="A96" s="537"/>
      <c r="B96" s="541"/>
      <c r="C96" s="15" t="s">
        <v>0</v>
      </c>
      <c r="D96" s="310">
        <v>3.5</v>
      </c>
      <c r="E96" s="450">
        <f t="shared" si="13"/>
        <v>9.6000000000000002E-4</v>
      </c>
      <c r="F96" s="312">
        <v>0</v>
      </c>
      <c r="G96" s="309">
        <v>0</v>
      </c>
      <c r="H96" s="314">
        <v>0.01</v>
      </c>
      <c r="I96" s="302">
        <v>0</v>
      </c>
      <c r="J96" s="302">
        <v>0</v>
      </c>
      <c r="K96" s="445">
        <v>0.05</v>
      </c>
      <c r="L96" s="442">
        <f t="shared" si="10"/>
        <v>3.04E-2</v>
      </c>
      <c r="M96" s="447">
        <v>4.8000000000000001E-2</v>
      </c>
      <c r="N96" s="442">
        <f t="shared" si="14"/>
        <v>2.3400000000000001E-2</v>
      </c>
      <c r="O96" s="451">
        <f t="shared" si="15"/>
        <v>5.2000000000000005E-2</v>
      </c>
      <c r="P96" s="450">
        <f t="shared" si="16"/>
        <v>0.05</v>
      </c>
      <c r="Q96" s="447">
        <f t="shared" si="17"/>
        <v>2.8499999999999998E-2</v>
      </c>
      <c r="S96" s="314">
        <v>0.02</v>
      </c>
      <c r="V96" s="311">
        <v>0.04</v>
      </c>
      <c r="W96" s="312">
        <v>0.04</v>
      </c>
      <c r="X96" s="311">
        <v>0.03</v>
      </c>
      <c r="Y96" s="314">
        <v>3.2000000000000002E-3</v>
      </c>
      <c r="Z96" s="312">
        <v>0.04</v>
      </c>
      <c r="AA96" s="314">
        <v>0.03</v>
      </c>
    </row>
    <row r="97" spans="1:27" ht="15" customHeight="1" x14ac:dyDescent="0.25">
      <c r="A97" s="537"/>
      <c r="B97" s="539" t="s">
        <v>582</v>
      </c>
      <c r="C97" s="16" t="s">
        <v>3</v>
      </c>
      <c r="D97" s="318">
        <v>1.1000000000000001</v>
      </c>
      <c r="E97" s="450">
        <f t="shared" si="13"/>
        <v>9.6000000000000002E-4</v>
      </c>
      <c r="F97" s="320">
        <v>0</v>
      </c>
      <c r="G97" s="321">
        <v>0.02</v>
      </c>
      <c r="H97" s="316">
        <v>0</v>
      </c>
      <c r="I97" s="315">
        <v>0</v>
      </c>
      <c r="J97" s="315">
        <v>0</v>
      </c>
      <c r="K97" s="315">
        <v>0</v>
      </c>
      <c r="L97" s="442">
        <f t="shared" si="10"/>
        <v>3.04E-2</v>
      </c>
      <c r="M97" s="435">
        <v>0.24</v>
      </c>
      <c r="N97" s="442">
        <f t="shared" si="14"/>
        <v>1.5600000000000001E-2</v>
      </c>
      <c r="O97" s="451">
        <f t="shared" si="15"/>
        <v>2.6000000000000002E-2</v>
      </c>
      <c r="P97" s="450">
        <f t="shared" si="16"/>
        <v>2.5000000000000001E-2</v>
      </c>
      <c r="Q97" s="447">
        <f t="shared" si="17"/>
        <v>2.8499999999999998E-2</v>
      </c>
      <c r="S97" s="319">
        <v>0.01</v>
      </c>
      <c r="V97" s="321">
        <v>0.04</v>
      </c>
      <c r="W97" s="320">
        <v>0.02</v>
      </c>
      <c r="X97" s="321">
        <v>0.02</v>
      </c>
      <c r="Y97" s="319">
        <v>3.2000000000000002E-3</v>
      </c>
      <c r="Z97" s="320">
        <v>3.5000000000000003E-2</v>
      </c>
      <c r="AA97" s="314">
        <v>0.03</v>
      </c>
    </row>
    <row r="98" spans="1:27" x14ac:dyDescent="0.25">
      <c r="A98" s="537"/>
      <c r="B98" s="540"/>
      <c r="C98" s="15" t="s">
        <v>2</v>
      </c>
      <c r="D98" s="310">
        <v>2</v>
      </c>
      <c r="E98" s="450">
        <f t="shared" si="13"/>
        <v>9.6000000000000002E-4</v>
      </c>
      <c r="F98" s="312">
        <v>0</v>
      </c>
      <c r="G98" s="309">
        <v>0</v>
      </c>
      <c r="H98" s="314">
        <v>0.02</v>
      </c>
      <c r="I98" s="302">
        <v>0</v>
      </c>
      <c r="J98" s="302">
        <v>0</v>
      </c>
      <c r="K98" s="302">
        <v>0</v>
      </c>
      <c r="L98" s="442">
        <f t="shared" si="10"/>
        <v>2.2800000000000001E-2</v>
      </c>
      <c r="M98" s="434">
        <v>8.4000000000000005E-2</v>
      </c>
      <c r="N98" s="442">
        <f t="shared" si="14"/>
        <v>2.3400000000000001E-2</v>
      </c>
      <c r="O98" s="451">
        <f t="shared" si="15"/>
        <v>5.2000000000000005E-2</v>
      </c>
      <c r="P98" s="450">
        <f t="shared" si="16"/>
        <v>2.5000000000000001E-2</v>
      </c>
      <c r="Q98" s="447">
        <f t="shared" si="17"/>
        <v>2.8499999999999998E-2</v>
      </c>
      <c r="S98" s="314">
        <v>0.01</v>
      </c>
      <c r="V98" s="311">
        <v>0.03</v>
      </c>
      <c r="W98" s="312">
        <v>0.04</v>
      </c>
      <c r="X98" s="311">
        <v>0.03</v>
      </c>
      <c r="Y98" s="314">
        <v>3.2000000000000002E-3</v>
      </c>
      <c r="Z98" s="312">
        <v>0.02</v>
      </c>
      <c r="AA98" s="314">
        <v>0.03</v>
      </c>
    </row>
    <row r="99" spans="1:27" x14ac:dyDescent="0.25">
      <c r="A99" s="537"/>
      <c r="B99" s="540"/>
      <c r="C99" s="15" t="s">
        <v>1</v>
      </c>
      <c r="D99" s="310">
        <v>2.2000000000000002</v>
      </c>
      <c r="E99" s="450">
        <f t="shared" si="13"/>
        <v>9.6000000000000002E-4</v>
      </c>
      <c r="F99" s="312">
        <v>0</v>
      </c>
      <c r="G99" s="311">
        <v>0.04</v>
      </c>
      <c r="H99" s="308">
        <v>0</v>
      </c>
      <c r="I99" s="302">
        <v>0</v>
      </c>
      <c r="J99" s="302">
        <v>0</v>
      </c>
      <c r="K99" s="312">
        <v>0.08</v>
      </c>
      <c r="L99" s="442">
        <f t="shared" si="10"/>
        <v>3.04E-2</v>
      </c>
      <c r="M99" s="434">
        <v>9.6000000000000002E-2</v>
      </c>
      <c r="N99" s="442">
        <f t="shared" si="14"/>
        <v>3.1200000000000002E-2</v>
      </c>
      <c r="O99" s="451">
        <f t="shared" si="15"/>
        <v>3.9E-2</v>
      </c>
      <c r="P99" s="450">
        <f t="shared" si="16"/>
        <v>2.5000000000000001E-2</v>
      </c>
      <c r="Q99" s="447">
        <f t="shared" si="17"/>
        <v>2.8499999999999998E-2</v>
      </c>
      <c r="S99" s="314">
        <v>0.01</v>
      </c>
      <c r="V99" s="311">
        <v>0.04</v>
      </c>
      <c r="W99" s="312">
        <v>0.03</v>
      </c>
      <c r="X99" s="311">
        <v>0.04</v>
      </c>
      <c r="Y99" s="314">
        <v>3.2000000000000002E-3</v>
      </c>
      <c r="Z99" s="312">
        <v>0.04</v>
      </c>
      <c r="AA99" s="314">
        <v>0.03</v>
      </c>
    </row>
    <row r="100" spans="1:27" ht="15.75" thickBot="1" x14ac:dyDescent="0.3">
      <c r="A100" s="538"/>
      <c r="B100" s="541"/>
      <c r="C100" s="15" t="s">
        <v>0</v>
      </c>
      <c r="D100" s="310">
        <v>3.3</v>
      </c>
      <c r="E100" s="450">
        <f t="shared" si="13"/>
        <v>9.6000000000000002E-4</v>
      </c>
      <c r="F100" s="312">
        <v>0</v>
      </c>
      <c r="G100" s="309">
        <v>0</v>
      </c>
      <c r="H100" s="314">
        <v>0.02</v>
      </c>
      <c r="I100" s="302">
        <v>0</v>
      </c>
      <c r="J100" s="302">
        <v>0</v>
      </c>
      <c r="K100" s="312">
        <v>0.06</v>
      </c>
      <c r="L100" s="442">
        <f t="shared" si="10"/>
        <v>1.14E-2</v>
      </c>
      <c r="M100" s="434">
        <v>4.8000000000000001E-2</v>
      </c>
      <c r="N100" s="442">
        <f t="shared" si="14"/>
        <v>3.1200000000000002E-2</v>
      </c>
      <c r="O100" s="451">
        <f t="shared" si="15"/>
        <v>5.2000000000000005E-2</v>
      </c>
      <c r="P100" s="450">
        <f t="shared" si="16"/>
        <v>2.5000000000000001E-2</v>
      </c>
      <c r="Q100" s="447">
        <f t="shared" si="17"/>
        <v>2.8499999999999998E-2</v>
      </c>
      <c r="S100" s="314">
        <v>0.01</v>
      </c>
      <c r="V100" s="311">
        <v>1.4999999999999999E-2</v>
      </c>
      <c r="W100" s="312">
        <v>0.04</v>
      </c>
      <c r="X100" s="311">
        <v>0.04</v>
      </c>
      <c r="Y100" s="314">
        <v>3.2000000000000002E-3</v>
      </c>
      <c r="Z100" s="312">
        <v>0.01</v>
      </c>
      <c r="AA100" s="314">
        <v>0.03</v>
      </c>
    </row>
    <row r="101" spans="1:27" ht="15" customHeight="1" x14ac:dyDescent="0.25">
      <c r="A101" s="536" t="s">
        <v>14</v>
      </c>
      <c r="B101" s="539" t="s">
        <v>577</v>
      </c>
      <c r="C101" s="16" t="s">
        <v>3</v>
      </c>
      <c r="D101" s="318">
        <v>1.2</v>
      </c>
      <c r="E101" s="450">
        <f>Y101*0.55</f>
        <v>8.8000000000000005E-3</v>
      </c>
      <c r="F101" s="322">
        <v>0</v>
      </c>
      <c r="G101" s="321">
        <v>0.02</v>
      </c>
      <c r="H101" s="316">
        <v>0</v>
      </c>
      <c r="I101" s="305">
        <v>0</v>
      </c>
      <c r="J101" s="305">
        <v>0</v>
      </c>
      <c r="K101" s="315">
        <v>0</v>
      </c>
      <c r="L101" s="321">
        <v>0.02</v>
      </c>
      <c r="M101" s="320">
        <v>0.01</v>
      </c>
      <c r="N101" s="442">
        <f>X101*0.75</f>
        <v>3.7499999999999999E-3</v>
      </c>
      <c r="O101" s="435">
        <f>W101*1.2</f>
        <v>1.2E-2</v>
      </c>
      <c r="P101" s="450">
        <f>S101*1.7</f>
        <v>1.7000000000000001E-2</v>
      </c>
      <c r="Q101" s="454">
        <f>T101*1</f>
        <v>0.03</v>
      </c>
      <c r="S101" s="319">
        <v>0.01</v>
      </c>
      <c r="T101" s="319">
        <v>0.03</v>
      </c>
      <c r="W101" s="320">
        <v>0.01</v>
      </c>
      <c r="X101" s="321">
        <v>5.0000000000000001E-3</v>
      </c>
      <c r="Y101" s="319">
        <v>1.6E-2</v>
      </c>
      <c r="AA101" s="319">
        <v>0.03</v>
      </c>
    </row>
    <row r="102" spans="1:27" x14ac:dyDescent="0.25">
      <c r="A102" s="537"/>
      <c r="B102" s="540"/>
      <c r="C102" s="15" t="s">
        <v>2</v>
      </c>
      <c r="D102" s="310">
        <v>2.1</v>
      </c>
      <c r="E102" s="450">
        <f t="shared" ref="E102:E124" si="18">Y102*0.55</f>
        <v>9.9000000000000008E-3</v>
      </c>
      <c r="F102" s="312">
        <v>0</v>
      </c>
      <c r="G102" s="309">
        <v>0</v>
      </c>
      <c r="H102" s="314">
        <v>0.02</v>
      </c>
      <c r="I102" s="302">
        <v>0</v>
      </c>
      <c r="J102" s="302">
        <v>0</v>
      </c>
      <c r="K102" s="302">
        <v>0</v>
      </c>
      <c r="L102" s="311">
        <v>0.05</v>
      </c>
      <c r="M102" s="312">
        <v>2.5000000000000001E-2</v>
      </c>
      <c r="N102" s="442">
        <f t="shared" ref="N102:N124" si="19">X102*0.75</f>
        <v>1.4999999999999999E-2</v>
      </c>
      <c r="O102" s="435">
        <f t="shared" ref="O102:O124" si="20">W102*1.2</f>
        <v>0.06</v>
      </c>
      <c r="P102" s="450">
        <f t="shared" ref="P102:P124" si="21">S102*1.7</f>
        <v>5.0999999999999997E-2</v>
      </c>
      <c r="Q102" s="454">
        <f t="shared" ref="Q102:Q124" si="22">T102*1</f>
        <v>0.06</v>
      </c>
      <c r="S102" s="314">
        <v>0.03</v>
      </c>
      <c r="T102" s="314">
        <v>0.06</v>
      </c>
      <c r="W102" s="312">
        <v>0.05</v>
      </c>
      <c r="X102" s="311">
        <v>0.02</v>
      </c>
      <c r="Y102" s="314">
        <v>1.7999999999999999E-2</v>
      </c>
      <c r="AA102" s="314">
        <v>0.06</v>
      </c>
    </row>
    <row r="103" spans="1:27" x14ac:dyDescent="0.25">
      <c r="A103" s="537"/>
      <c r="B103" s="540"/>
      <c r="C103" s="15" t="s">
        <v>1</v>
      </c>
      <c r="D103" s="310">
        <v>2.2999999999999998</v>
      </c>
      <c r="E103" s="450">
        <f t="shared" si="18"/>
        <v>8.8000000000000005E-3</v>
      </c>
      <c r="F103" s="312">
        <v>0</v>
      </c>
      <c r="G103" s="311">
        <v>0.03</v>
      </c>
      <c r="H103" s="308">
        <v>0</v>
      </c>
      <c r="I103" s="302">
        <v>0</v>
      </c>
      <c r="J103" s="302">
        <v>0</v>
      </c>
      <c r="K103" s="312">
        <v>0.17</v>
      </c>
      <c r="L103" s="311">
        <v>0.09</v>
      </c>
      <c r="M103" s="312">
        <v>0.05</v>
      </c>
      <c r="N103" s="442">
        <f t="shared" si="19"/>
        <v>7.4999999999999997E-3</v>
      </c>
      <c r="O103" s="435">
        <f t="shared" si="20"/>
        <v>2.4E-2</v>
      </c>
      <c r="P103" s="450">
        <f t="shared" si="21"/>
        <v>1.7000000000000001E-2</v>
      </c>
      <c r="Q103" s="454">
        <f t="shared" si="22"/>
        <v>0.08</v>
      </c>
      <c r="S103" s="314">
        <v>0.01</v>
      </c>
      <c r="T103" s="314">
        <v>0.08</v>
      </c>
      <c r="W103" s="312">
        <v>0.02</v>
      </c>
      <c r="X103" s="311">
        <v>0.01</v>
      </c>
      <c r="Y103" s="314">
        <v>1.6E-2</v>
      </c>
      <c r="AA103" s="314">
        <v>0.08</v>
      </c>
    </row>
    <row r="104" spans="1:27" ht="15.75" thickBot="1" x14ac:dyDescent="0.3">
      <c r="A104" s="537"/>
      <c r="B104" s="541"/>
      <c r="C104" s="15" t="s">
        <v>0</v>
      </c>
      <c r="D104" s="310">
        <v>3.4</v>
      </c>
      <c r="E104" s="450">
        <f t="shared" si="18"/>
        <v>9.9000000000000008E-3</v>
      </c>
      <c r="F104" s="312">
        <v>0</v>
      </c>
      <c r="G104" s="309">
        <v>0</v>
      </c>
      <c r="H104" s="314">
        <v>0.01</v>
      </c>
      <c r="I104" s="302">
        <v>0</v>
      </c>
      <c r="J104" s="302">
        <v>0</v>
      </c>
      <c r="K104" s="312">
        <v>0.17</v>
      </c>
      <c r="L104" s="311">
        <v>0.02</v>
      </c>
      <c r="M104" s="312">
        <v>0.02</v>
      </c>
      <c r="N104" s="442">
        <f t="shared" si="19"/>
        <v>2.2499999999999999E-2</v>
      </c>
      <c r="O104" s="435">
        <f t="shared" si="20"/>
        <v>4.8000000000000001E-2</v>
      </c>
      <c r="P104" s="450">
        <f t="shared" si="21"/>
        <v>3.4000000000000002E-2</v>
      </c>
      <c r="Q104" s="454">
        <f t="shared" si="22"/>
        <v>0.08</v>
      </c>
      <c r="S104" s="314">
        <v>0.02</v>
      </c>
      <c r="T104" s="314">
        <v>0.08</v>
      </c>
      <c r="W104" s="312">
        <v>0.04</v>
      </c>
      <c r="X104" s="311">
        <v>0.03</v>
      </c>
      <c r="Y104" s="314">
        <v>1.7999999999999999E-2</v>
      </c>
      <c r="AA104" s="314">
        <v>0.08</v>
      </c>
    </row>
    <row r="105" spans="1:27" ht="15" customHeight="1" x14ac:dyDescent="0.25">
      <c r="A105" s="537"/>
      <c r="B105" s="539" t="s">
        <v>578</v>
      </c>
      <c r="C105" s="16" t="s">
        <v>3</v>
      </c>
      <c r="D105" s="318">
        <v>1.1000000000000001</v>
      </c>
      <c r="E105" s="450">
        <f t="shared" si="18"/>
        <v>8.8000000000000005E-3</v>
      </c>
      <c r="F105" s="322">
        <v>0</v>
      </c>
      <c r="G105" s="321">
        <v>0.01</v>
      </c>
      <c r="H105" s="316">
        <v>0</v>
      </c>
      <c r="I105" s="305">
        <v>0</v>
      </c>
      <c r="J105" s="305">
        <v>0</v>
      </c>
      <c r="K105" s="315">
        <v>0</v>
      </c>
      <c r="L105" s="321">
        <v>0.02</v>
      </c>
      <c r="M105" s="320">
        <v>0.01</v>
      </c>
      <c r="N105" s="442">
        <f t="shared" si="19"/>
        <v>3.7499999999999999E-3</v>
      </c>
      <c r="O105" s="435">
        <f t="shared" si="20"/>
        <v>1.2E-2</v>
      </c>
      <c r="P105" s="450">
        <f t="shared" si="21"/>
        <v>1.7000000000000001E-2</v>
      </c>
      <c r="Q105" s="454">
        <f t="shared" si="22"/>
        <v>0.03</v>
      </c>
      <c r="S105" s="319">
        <v>0.01</v>
      </c>
      <c r="T105" s="319">
        <v>0.03</v>
      </c>
      <c r="W105" s="320">
        <v>0.01</v>
      </c>
      <c r="X105" s="321">
        <v>5.0000000000000001E-3</v>
      </c>
      <c r="Y105" s="319">
        <v>1.6E-2</v>
      </c>
      <c r="AA105" s="319">
        <v>0.03</v>
      </c>
    </row>
    <row r="106" spans="1:27" x14ac:dyDescent="0.25">
      <c r="A106" s="537"/>
      <c r="B106" s="540"/>
      <c r="C106" s="15" t="s">
        <v>2</v>
      </c>
      <c r="D106" s="310">
        <v>2.1</v>
      </c>
      <c r="E106" s="450">
        <f t="shared" si="18"/>
        <v>9.9000000000000008E-3</v>
      </c>
      <c r="F106" s="312">
        <v>0</v>
      </c>
      <c r="G106" s="309">
        <v>0</v>
      </c>
      <c r="H106" s="314">
        <v>0.02</v>
      </c>
      <c r="I106" s="302">
        <v>0</v>
      </c>
      <c r="J106" s="302">
        <v>0</v>
      </c>
      <c r="K106" s="302">
        <v>0</v>
      </c>
      <c r="L106" s="311">
        <v>0.05</v>
      </c>
      <c r="M106" s="312">
        <v>2.5000000000000001E-2</v>
      </c>
      <c r="N106" s="442">
        <f t="shared" si="19"/>
        <v>1.4999999999999999E-2</v>
      </c>
      <c r="O106" s="435">
        <f t="shared" si="20"/>
        <v>0.06</v>
      </c>
      <c r="P106" s="450">
        <f t="shared" si="21"/>
        <v>5.0999999999999997E-2</v>
      </c>
      <c r="Q106" s="454">
        <f t="shared" si="22"/>
        <v>0.06</v>
      </c>
      <c r="S106" s="314">
        <v>0.03</v>
      </c>
      <c r="T106" s="314">
        <v>0.06</v>
      </c>
      <c r="W106" s="312">
        <v>0.05</v>
      </c>
      <c r="X106" s="311">
        <v>0.02</v>
      </c>
      <c r="Y106" s="314">
        <v>1.7999999999999999E-2</v>
      </c>
      <c r="AA106" s="314">
        <v>0.06</v>
      </c>
    </row>
    <row r="107" spans="1:27" x14ac:dyDescent="0.25">
      <c r="A107" s="537"/>
      <c r="B107" s="540"/>
      <c r="C107" s="15" t="s">
        <v>1</v>
      </c>
      <c r="D107" s="310">
        <v>2.4</v>
      </c>
      <c r="E107" s="450">
        <f t="shared" si="18"/>
        <v>8.8000000000000005E-3</v>
      </c>
      <c r="F107" s="312">
        <v>0</v>
      </c>
      <c r="G107" s="311">
        <v>0.01</v>
      </c>
      <c r="H107" s="308">
        <v>0</v>
      </c>
      <c r="I107" s="302">
        <v>0</v>
      </c>
      <c r="J107" s="302">
        <v>0</v>
      </c>
      <c r="K107" s="312">
        <v>0.24</v>
      </c>
      <c r="L107" s="311">
        <v>0.09</v>
      </c>
      <c r="M107" s="312">
        <v>0.05</v>
      </c>
      <c r="N107" s="442">
        <f t="shared" si="19"/>
        <v>7.4999999999999997E-3</v>
      </c>
      <c r="O107" s="435">
        <f t="shared" si="20"/>
        <v>2.4E-2</v>
      </c>
      <c r="P107" s="450">
        <f t="shared" si="21"/>
        <v>1.7000000000000001E-2</v>
      </c>
      <c r="Q107" s="454">
        <f t="shared" si="22"/>
        <v>0.08</v>
      </c>
      <c r="S107" s="314">
        <v>0.01</v>
      </c>
      <c r="T107" s="314">
        <v>0.08</v>
      </c>
      <c r="W107" s="312">
        <v>0.02</v>
      </c>
      <c r="X107" s="311">
        <v>0.01</v>
      </c>
      <c r="Y107" s="314">
        <v>1.6E-2</v>
      </c>
      <c r="AA107" s="314">
        <v>0.08</v>
      </c>
    </row>
    <row r="108" spans="1:27" ht="15.75" thickBot="1" x14ac:dyDescent="0.3">
      <c r="A108" s="537"/>
      <c r="B108" s="541"/>
      <c r="C108" s="15" t="s">
        <v>0</v>
      </c>
      <c r="D108" s="310">
        <v>3.8</v>
      </c>
      <c r="E108" s="450">
        <f t="shared" si="18"/>
        <v>9.9000000000000008E-3</v>
      </c>
      <c r="F108" s="312">
        <v>0</v>
      </c>
      <c r="G108" s="309">
        <v>0</v>
      </c>
      <c r="H108" s="314">
        <v>0.01</v>
      </c>
      <c r="I108" s="302">
        <v>0</v>
      </c>
      <c r="J108" s="302">
        <v>0</v>
      </c>
      <c r="K108" s="312">
        <v>7.0000000000000007E-2</v>
      </c>
      <c r="L108" s="311">
        <v>0.02</v>
      </c>
      <c r="M108" s="312">
        <v>0.02</v>
      </c>
      <c r="N108" s="442">
        <f t="shared" si="19"/>
        <v>2.2499999999999999E-2</v>
      </c>
      <c r="O108" s="435">
        <f t="shared" si="20"/>
        <v>4.8000000000000001E-2</v>
      </c>
      <c r="P108" s="450">
        <f t="shared" si="21"/>
        <v>3.4000000000000002E-2</v>
      </c>
      <c r="Q108" s="454">
        <f t="shared" si="22"/>
        <v>0.08</v>
      </c>
      <c r="S108" s="314">
        <v>0.02</v>
      </c>
      <c r="T108" s="314">
        <v>0.08</v>
      </c>
      <c r="W108" s="312">
        <v>0.04</v>
      </c>
      <c r="X108" s="311">
        <v>0.03</v>
      </c>
      <c r="Y108" s="314">
        <v>1.7999999999999999E-2</v>
      </c>
      <c r="AA108" s="314">
        <v>0.08</v>
      </c>
    </row>
    <row r="109" spans="1:27" s="22" customFormat="1" x14ac:dyDescent="0.25">
      <c r="A109" s="537"/>
      <c r="B109" s="542" t="s">
        <v>579</v>
      </c>
      <c r="C109" s="16" t="s">
        <v>3</v>
      </c>
      <c r="D109" s="318">
        <v>1.1000000000000001</v>
      </c>
      <c r="E109" s="450">
        <f t="shared" si="18"/>
        <v>8.8000000000000005E-3</v>
      </c>
      <c r="F109" s="322">
        <v>0</v>
      </c>
      <c r="G109" s="321">
        <v>0.01</v>
      </c>
      <c r="H109" s="316">
        <v>0</v>
      </c>
      <c r="I109" s="305">
        <v>0</v>
      </c>
      <c r="J109" s="305">
        <v>0</v>
      </c>
      <c r="K109" s="315">
        <v>0</v>
      </c>
      <c r="L109" s="321">
        <v>0.02</v>
      </c>
      <c r="M109" s="320">
        <v>0.02</v>
      </c>
      <c r="N109" s="442">
        <f t="shared" si="19"/>
        <v>3.7499999999999999E-3</v>
      </c>
      <c r="O109" s="435">
        <f t="shared" si="20"/>
        <v>1.2E-2</v>
      </c>
      <c r="P109" s="450">
        <f t="shared" si="21"/>
        <v>1.7000000000000001E-2</v>
      </c>
      <c r="Q109" s="454">
        <f t="shared" si="22"/>
        <v>0.03</v>
      </c>
      <c r="S109" s="319">
        <v>0.01</v>
      </c>
      <c r="T109" s="319">
        <v>0.03</v>
      </c>
      <c r="W109" s="320">
        <v>0.01</v>
      </c>
      <c r="X109" s="321">
        <v>5.0000000000000001E-3</v>
      </c>
      <c r="Y109" s="319">
        <v>1.6E-2</v>
      </c>
      <c r="AA109" s="319">
        <v>0.03</v>
      </c>
    </row>
    <row r="110" spans="1:27" s="22" customFormat="1" x14ac:dyDescent="0.25">
      <c r="A110" s="537"/>
      <c r="B110" s="540"/>
      <c r="C110" s="15" t="s">
        <v>2</v>
      </c>
      <c r="D110" s="310">
        <v>2.1</v>
      </c>
      <c r="E110" s="450">
        <f t="shared" si="18"/>
        <v>9.9000000000000008E-3</v>
      </c>
      <c r="F110" s="312">
        <v>0</v>
      </c>
      <c r="G110" s="309">
        <v>0</v>
      </c>
      <c r="H110" s="314">
        <v>0.02</v>
      </c>
      <c r="I110" s="302">
        <v>0</v>
      </c>
      <c r="J110" s="302">
        <v>0</v>
      </c>
      <c r="K110" s="302">
        <v>0</v>
      </c>
      <c r="L110" s="311">
        <v>0.05</v>
      </c>
      <c r="M110" s="312">
        <v>2.5000000000000001E-2</v>
      </c>
      <c r="N110" s="442">
        <f t="shared" si="19"/>
        <v>1.8750000000000003E-2</v>
      </c>
      <c r="O110" s="435">
        <f t="shared" si="20"/>
        <v>4.8000000000000001E-2</v>
      </c>
      <c r="P110" s="450">
        <f t="shared" si="21"/>
        <v>5.0999999999999997E-2</v>
      </c>
      <c r="Q110" s="454">
        <f t="shared" si="22"/>
        <v>0.06</v>
      </c>
      <c r="S110" s="314">
        <v>0.03</v>
      </c>
      <c r="T110" s="314">
        <v>0.06</v>
      </c>
      <c r="W110" s="312">
        <v>0.04</v>
      </c>
      <c r="X110" s="311">
        <v>2.5000000000000001E-2</v>
      </c>
      <c r="Y110" s="314">
        <v>1.7999999999999999E-2</v>
      </c>
      <c r="AA110" s="314">
        <v>0.06</v>
      </c>
    </row>
    <row r="111" spans="1:27" s="22" customFormat="1" x14ac:dyDescent="0.25">
      <c r="A111" s="537"/>
      <c r="B111" s="540"/>
      <c r="C111" s="15" t="s">
        <v>1</v>
      </c>
      <c r="D111" s="310">
        <v>2.4</v>
      </c>
      <c r="E111" s="450">
        <f t="shared" si="18"/>
        <v>8.8000000000000005E-3</v>
      </c>
      <c r="F111" s="312">
        <v>0</v>
      </c>
      <c r="G111" s="311">
        <v>0.01</v>
      </c>
      <c r="H111" s="308">
        <v>0</v>
      </c>
      <c r="I111" s="302">
        <v>0</v>
      </c>
      <c r="J111" s="302">
        <v>0</v>
      </c>
      <c r="K111" s="312">
        <v>0.24</v>
      </c>
      <c r="L111" s="311">
        <v>0.03</v>
      </c>
      <c r="M111" s="312">
        <v>0.05</v>
      </c>
      <c r="N111" s="442">
        <f t="shared" si="19"/>
        <v>7.4999999999999997E-3</v>
      </c>
      <c r="O111" s="435">
        <f t="shared" si="20"/>
        <v>1.2E-2</v>
      </c>
      <c r="P111" s="450">
        <f t="shared" si="21"/>
        <v>1.7000000000000001E-2</v>
      </c>
      <c r="Q111" s="454">
        <f t="shared" si="22"/>
        <v>0.08</v>
      </c>
      <c r="S111" s="314">
        <v>0.01</v>
      </c>
      <c r="T111" s="314">
        <v>0.08</v>
      </c>
      <c r="W111" s="312">
        <v>0.01</v>
      </c>
      <c r="X111" s="311">
        <v>0.01</v>
      </c>
      <c r="Y111" s="314">
        <v>1.6E-2</v>
      </c>
      <c r="AA111" s="314">
        <v>0.08</v>
      </c>
    </row>
    <row r="112" spans="1:27" s="22" customFormat="1" ht="15.75" thickBot="1" x14ac:dyDescent="0.3">
      <c r="A112" s="537"/>
      <c r="B112" s="541"/>
      <c r="C112" s="15" t="s">
        <v>0</v>
      </c>
      <c r="D112" s="310">
        <v>3.8</v>
      </c>
      <c r="E112" s="450">
        <f t="shared" si="18"/>
        <v>9.9000000000000008E-3</v>
      </c>
      <c r="F112" s="312">
        <v>0</v>
      </c>
      <c r="G112" s="309">
        <v>0</v>
      </c>
      <c r="H112" s="314">
        <v>0.01</v>
      </c>
      <c r="I112" s="302">
        <v>0</v>
      </c>
      <c r="J112" s="302">
        <v>0</v>
      </c>
      <c r="K112" s="312">
        <v>7.0000000000000007E-2</v>
      </c>
      <c r="L112" s="311">
        <v>0.04</v>
      </c>
      <c r="M112" s="312">
        <v>2.5000000000000001E-2</v>
      </c>
      <c r="N112" s="442">
        <f t="shared" si="19"/>
        <v>2.2499999999999999E-2</v>
      </c>
      <c r="O112" s="435">
        <f t="shared" si="20"/>
        <v>2.4E-2</v>
      </c>
      <c r="P112" s="450">
        <f t="shared" si="21"/>
        <v>3.4000000000000002E-2</v>
      </c>
      <c r="Q112" s="454">
        <f t="shared" si="22"/>
        <v>0.08</v>
      </c>
      <c r="S112" s="314">
        <v>0.02</v>
      </c>
      <c r="T112" s="314">
        <v>0.08</v>
      </c>
      <c r="W112" s="312">
        <v>0.02</v>
      </c>
      <c r="X112" s="311">
        <v>0.03</v>
      </c>
      <c r="Y112" s="314">
        <v>1.7999999999999999E-2</v>
      </c>
      <c r="AA112" s="314">
        <v>0.08</v>
      </c>
    </row>
    <row r="113" spans="1:32" s="22" customFormat="1" x14ac:dyDescent="0.25">
      <c r="A113" s="537"/>
      <c r="B113" s="542" t="s">
        <v>580</v>
      </c>
      <c r="C113" s="16" t="s">
        <v>3</v>
      </c>
      <c r="D113" s="318">
        <v>1.1000000000000001</v>
      </c>
      <c r="E113" s="450">
        <f t="shared" si="18"/>
        <v>8.8000000000000005E-3</v>
      </c>
      <c r="F113" s="322">
        <v>0</v>
      </c>
      <c r="G113" s="321">
        <v>0.01</v>
      </c>
      <c r="H113" s="316">
        <v>0</v>
      </c>
      <c r="I113" s="305">
        <v>0</v>
      </c>
      <c r="J113" s="305">
        <v>0</v>
      </c>
      <c r="K113" s="315">
        <v>0</v>
      </c>
      <c r="L113" s="321">
        <v>0.02</v>
      </c>
      <c r="M113" s="320">
        <v>0.02</v>
      </c>
      <c r="N113" s="442">
        <f t="shared" si="19"/>
        <v>3.7499999999999999E-3</v>
      </c>
      <c r="O113" s="435">
        <f t="shared" si="20"/>
        <v>1.2E-2</v>
      </c>
      <c r="P113" s="450">
        <f t="shared" si="21"/>
        <v>1.7000000000000001E-2</v>
      </c>
      <c r="Q113" s="454">
        <f t="shared" si="22"/>
        <v>0.03</v>
      </c>
      <c r="S113" s="319">
        <v>0.01</v>
      </c>
      <c r="T113" s="319">
        <v>0.03</v>
      </c>
      <c r="W113" s="320">
        <v>0.01</v>
      </c>
      <c r="X113" s="321">
        <v>5.0000000000000001E-3</v>
      </c>
      <c r="Y113" s="319">
        <v>1.6E-2</v>
      </c>
      <c r="AA113" s="319">
        <v>0.03</v>
      </c>
    </row>
    <row r="114" spans="1:32" s="22" customFormat="1" x14ac:dyDescent="0.25">
      <c r="A114" s="537"/>
      <c r="B114" s="540"/>
      <c r="C114" s="15" t="s">
        <v>2</v>
      </c>
      <c r="D114" s="310">
        <v>2.1</v>
      </c>
      <c r="E114" s="450">
        <f t="shared" si="18"/>
        <v>9.9000000000000008E-3</v>
      </c>
      <c r="F114" s="312">
        <v>0</v>
      </c>
      <c r="G114" s="309">
        <v>0</v>
      </c>
      <c r="H114" s="314">
        <v>0.02</v>
      </c>
      <c r="I114" s="302">
        <v>0</v>
      </c>
      <c r="J114" s="302">
        <v>0</v>
      </c>
      <c r="K114" s="302">
        <v>0</v>
      </c>
      <c r="L114" s="311">
        <v>0.05</v>
      </c>
      <c r="M114" s="312">
        <v>2.5000000000000001E-2</v>
      </c>
      <c r="N114" s="442">
        <f t="shared" si="19"/>
        <v>1.8750000000000003E-2</v>
      </c>
      <c r="O114" s="435">
        <f t="shared" si="20"/>
        <v>4.8000000000000001E-2</v>
      </c>
      <c r="P114" s="450">
        <f t="shared" si="21"/>
        <v>5.0999999999999997E-2</v>
      </c>
      <c r="Q114" s="454">
        <f t="shared" si="22"/>
        <v>0.06</v>
      </c>
      <c r="S114" s="314">
        <v>0.03</v>
      </c>
      <c r="T114" s="314">
        <v>0.06</v>
      </c>
      <c r="W114" s="312">
        <v>0.04</v>
      </c>
      <c r="X114" s="311">
        <v>2.5000000000000001E-2</v>
      </c>
      <c r="Y114" s="314">
        <v>1.7999999999999999E-2</v>
      </c>
      <c r="AA114" s="314">
        <v>0.06</v>
      </c>
    </row>
    <row r="115" spans="1:32" s="22" customFormat="1" x14ac:dyDescent="0.25">
      <c r="A115" s="537"/>
      <c r="B115" s="540"/>
      <c r="C115" s="15" t="s">
        <v>1</v>
      </c>
      <c r="D115" s="310">
        <v>2.4</v>
      </c>
      <c r="E115" s="450">
        <f t="shared" si="18"/>
        <v>8.8000000000000005E-3</v>
      </c>
      <c r="F115" s="312">
        <v>0</v>
      </c>
      <c r="G115" s="311">
        <v>0.01</v>
      </c>
      <c r="H115" s="308">
        <v>0</v>
      </c>
      <c r="I115" s="302">
        <v>0</v>
      </c>
      <c r="J115" s="302">
        <v>0</v>
      </c>
      <c r="K115" s="312">
        <v>0.24</v>
      </c>
      <c r="L115" s="311">
        <v>0.03</v>
      </c>
      <c r="M115" s="312">
        <v>0.05</v>
      </c>
      <c r="N115" s="442">
        <f t="shared" si="19"/>
        <v>7.4999999999999997E-3</v>
      </c>
      <c r="O115" s="435">
        <f t="shared" si="20"/>
        <v>1.2E-2</v>
      </c>
      <c r="P115" s="450">
        <f t="shared" si="21"/>
        <v>1.7000000000000001E-2</v>
      </c>
      <c r="Q115" s="454">
        <f t="shared" si="22"/>
        <v>0.08</v>
      </c>
      <c r="S115" s="314">
        <v>0.01</v>
      </c>
      <c r="T115" s="314">
        <v>0.08</v>
      </c>
      <c r="W115" s="312">
        <v>0.01</v>
      </c>
      <c r="X115" s="311">
        <v>0.01</v>
      </c>
      <c r="Y115" s="314">
        <v>1.6E-2</v>
      </c>
      <c r="AA115" s="314">
        <v>0.08</v>
      </c>
    </row>
    <row r="116" spans="1:32" s="22" customFormat="1" ht="15.75" thickBot="1" x14ac:dyDescent="0.3">
      <c r="A116" s="537"/>
      <c r="B116" s="541"/>
      <c r="C116" s="15" t="s">
        <v>0</v>
      </c>
      <c r="D116" s="310">
        <v>3.8</v>
      </c>
      <c r="E116" s="450">
        <f t="shared" si="18"/>
        <v>9.9000000000000008E-3</v>
      </c>
      <c r="F116" s="312">
        <v>0</v>
      </c>
      <c r="G116" s="309">
        <v>0</v>
      </c>
      <c r="H116" s="314">
        <v>0.01</v>
      </c>
      <c r="I116" s="302">
        <v>0</v>
      </c>
      <c r="J116" s="302">
        <v>0</v>
      </c>
      <c r="K116" s="312">
        <v>7.0000000000000007E-2</v>
      </c>
      <c r="L116" s="311">
        <v>0.04</v>
      </c>
      <c r="M116" s="312">
        <v>2.5000000000000001E-2</v>
      </c>
      <c r="N116" s="442">
        <f t="shared" si="19"/>
        <v>2.2499999999999999E-2</v>
      </c>
      <c r="O116" s="435">
        <f t="shared" si="20"/>
        <v>2.4E-2</v>
      </c>
      <c r="P116" s="450">
        <f t="shared" si="21"/>
        <v>3.4000000000000002E-2</v>
      </c>
      <c r="Q116" s="454">
        <f t="shared" si="22"/>
        <v>0.08</v>
      </c>
      <c r="S116" s="314">
        <v>0.02</v>
      </c>
      <c r="T116" s="314">
        <v>0.08</v>
      </c>
      <c r="W116" s="312">
        <v>0.02</v>
      </c>
      <c r="X116" s="311">
        <v>0.03</v>
      </c>
      <c r="Y116" s="314">
        <v>1.7999999999999999E-2</v>
      </c>
      <c r="AA116" s="314">
        <v>0.08</v>
      </c>
    </row>
    <row r="117" spans="1:32" ht="15" customHeight="1" x14ac:dyDescent="0.25">
      <c r="A117" s="537"/>
      <c r="B117" s="542" t="s">
        <v>581</v>
      </c>
      <c r="C117" s="16" t="s">
        <v>3</v>
      </c>
      <c r="D117" s="318">
        <v>1.1000000000000001</v>
      </c>
      <c r="E117" s="450">
        <f t="shared" si="18"/>
        <v>8.8000000000000005E-3</v>
      </c>
      <c r="F117" s="322">
        <v>0</v>
      </c>
      <c r="G117" s="321">
        <v>0.01</v>
      </c>
      <c r="H117" s="316">
        <v>0</v>
      </c>
      <c r="I117" s="305">
        <v>0</v>
      </c>
      <c r="J117" s="305">
        <v>0</v>
      </c>
      <c r="K117" s="315">
        <v>0</v>
      </c>
      <c r="L117" s="321">
        <v>0.02</v>
      </c>
      <c r="M117" s="320">
        <v>0.02</v>
      </c>
      <c r="N117" s="442">
        <f t="shared" si="19"/>
        <v>3.7499999999999999E-3</v>
      </c>
      <c r="O117" s="435">
        <f t="shared" si="20"/>
        <v>1.2E-2</v>
      </c>
      <c r="P117" s="450">
        <f t="shared" si="21"/>
        <v>1.7000000000000001E-2</v>
      </c>
      <c r="Q117" s="454">
        <f t="shared" si="22"/>
        <v>0.03</v>
      </c>
      <c r="S117" s="319">
        <v>0.01</v>
      </c>
      <c r="T117" s="319">
        <v>0.03</v>
      </c>
      <c r="W117" s="320">
        <v>0.01</v>
      </c>
      <c r="X117" s="321">
        <v>5.0000000000000001E-3</v>
      </c>
      <c r="Y117" s="319">
        <v>1.6E-2</v>
      </c>
      <c r="AA117" s="319">
        <v>0.03</v>
      </c>
    </row>
    <row r="118" spans="1:32" x14ac:dyDescent="0.25">
      <c r="A118" s="537"/>
      <c r="B118" s="540"/>
      <c r="C118" s="15" t="s">
        <v>2</v>
      </c>
      <c r="D118" s="310">
        <v>2.1</v>
      </c>
      <c r="E118" s="450">
        <f t="shared" si="18"/>
        <v>9.9000000000000008E-3</v>
      </c>
      <c r="F118" s="312">
        <v>0</v>
      </c>
      <c r="G118" s="309">
        <v>0</v>
      </c>
      <c r="H118" s="314">
        <v>0.02</v>
      </c>
      <c r="I118" s="302">
        <v>0</v>
      </c>
      <c r="J118" s="302">
        <v>0</v>
      </c>
      <c r="K118" s="302">
        <v>0</v>
      </c>
      <c r="L118" s="311">
        <v>0.05</v>
      </c>
      <c r="M118" s="312">
        <v>2.5000000000000001E-2</v>
      </c>
      <c r="N118" s="442">
        <f t="shared" si="19"/>
        <v>1.8750000000000003E-2</v>
      </c>
      <c r="O118" s="435">
        <f t="shared" si="20"/>
        <v>4.8000000000000001E-2</v>
      </c>
      <c r="P118" s="450">
        <f t="shared" si="21"/>
        <v>5.0999999999999997E-2</v>
      </c>
      <c r="Q118" s="454">
        <f t="shared" si="22"/>
        <v>0.06</v>
      </c>
      <c r="S118" s="314">
        <v>0.03</v>
      </c>
      <c r="T118" s="314">
        <v>0.06</v>
      </c>
      <c r="W118" s="312">
        <v>0.04</v>
      </c>
      <c r="X118" s="311">
        <v>2.5000000000000001E-2</v>
      </c>
      <c r="Y118" s="314">
        <v>1.7999999999999999E-2</v>
      </c>
      <c r="AA118" s="314">
        <v>0.06</v>
      </c>
    </row>
    <row r="119" spans="1:32" x14ac:dyDescent="0.25">
      <c r="A119" s="537"/>
      <c r="B119" s="540"/>
      <c r="C119" s="15" t="s">
        <v>1</v>
      </c>
      <c r="D119" s="310">
        <v>2.4</v>
      </c>
      <c r="E119" s="450">
        <f t="shared" si="18"/>
        <v>8.8000000000000005E-3</v>
      </c>
      <c r="F119" s="312">
        <v>0</v>
      </c>
      <c r="G119" s="311">
        <v>0.01</v>
      </c>
      <c r="H119" s="308">
        <v>0</v>
      </c>
      <c r="I119" s="302">
        <v>0</v>
      </c>
      <c r="J119" s="302">
        <v>0</v>
      </c>
      <c r="K119" s="312">
        <v>0.24</v>
      </c>
      <c r="L119" s="311">
        <v>0.03</v>
      </c>
      <c r="M119" s="312">
        <v>0.05</v>
      </c>
      <c r="N119" s="442">
        <f t="shared" si="19"/>
        <v>7.4999999999999997E-3</v>
      </c>
      <c r="O119" s="435">
        <f t="shared" si="20"/>
        <v>1.2E-2</v>
      </c>
      <c r="P119" s="450">
        <f t="shared" si="21"/>
        <v>1.7000000000000001E-2</v>
      </c>
      <c r="Q119" s="454">
        <f t="shared" si="22"/>
        <v>0.08</v>
      </c>
      <c r="S119" s="314">
        <v>0.01</v>
      </c>
      <c r="T119" s="314">
        <v>0.08</v>
      </c>
      <c r="W119" s="312">
        <v>0.01</v>
      </c>
      <c r="X119" s="311">
        <v>0.01</v>
      </c>
      <c r="Y119" s="314">
        <v>1.6E-2</v>
      </c>
      <c r="AA119" s="314">
        <v>0.08</v>
      </c>
    </row>
    <row r="120" spans="1:32" ht="15.75" thickBot="1" x14ac:dyDescent="0.3">
      <c r="A120" s="537"/>
      <c r="B120" s="541"/>
      <c r="C120" s="15" t="s">
        <v>0</v>
      </c>
      <c r="D120" s="310">
        <v>3.8</v>
      </c>
      <c r="E120" s="450">
        <f t="shared" si="18"/>
        <v>9.9000000000000008E-3</v>
      </c>
      <c r="F120" s="312">
        <v>0</v>
      </c>
      <c r="G120" s="309">
        <v>0</v>
      </c>
      <c r="H120" s="314">
        <v>0.01</v>
      </c>
      <c r="I120" s="302">
        <v>0</v>
      </c>
      <c r="J120" s="302">
        <v>0</v>
      </c>
      <c r="K120" s="312">
        <v>7.0000000000000007E-2</v>
      </c>
      <c r="L120" s="311">
        <v>0.04</v>
      </c>
      <c r="M120" s="312">
        <v>2.5000000000000001E-2</v>
      </c>
      <c r="N120" s="442">
        <f t="shared" si="19"/>
        <v>2.2499999999999999E-2</v>
      </c>
      <c r="O120" s="435">
        <f t="shared" si="20"/>
        <v>2.4E-2</v>
      </c>
      <c r="P120" s="450">
        <f t="shared" si="21"/>
        <v>3.4000000000000002E-2</v>
      </c>
      <c r="Q120" s="454">
        <f t="shared" si="22"/>
        <v>0.08</v>
      </c>
      <c r="S120" s="314">
        <v>0.02</v>
      </c>
      <c r="T120" s="314">
        <v>0.08</v>
      </c>
      <c r="W120" s="312">
        <v>0.02</v>
      </c>
      <c r="X120" s="311">
        <v>0.03</v>
      </c>
      <c r="Y120" s="314">
        <v>1.7999999999999999E-2</v>
      </c>
      <c r="AA120" s="314">
        <v>0.08</v>
      </c>
    </row>
    <row r="121" spans="1:32" ht="15" customHeight="1" x14ac:dyDescent="0.25">
      <c r="A121" s="537"/>
      <c r="B121" s="539" t="s">
        <v>582</v>
      </c>
      <c r="C121" s="16" t="s">
        <v>3</v>
      </c>
      <c r="D121" s="318">
        <v>1</v>
      </c>
      <c r="E121" s="450">
        <f t="shared" si="18"/>
        <v>8.8000000000000005E-3</v>
      </c>
      <c r="F121" s="320">
        <v>0</v>
      </c>
      <c r="G121" s="321">
        <v>0.01</v>
      </c>
      <c r="H121" s="316">
        <v>0</v>
      </c>
      <c r="I121" s="315">
        <v>0</v>
      </c>
      <c r="J121" s="315">
        <v>0</v>
      </c>
      <c r="K121" s="315">
        <v>0</v>
      </c>
      <c r="L121" s="321">
        <v>0.04</v>
      </c>
      <c r="M121" s="320">
        <v>0.03</v>
      </c>
      <c r="N121" s="442">
        <f t="shared" si="19"/>
        <v>7.4999999999999997E-3</v>
      </c>
      <c r="O121" s="435">
        <f t="shared" si="20"/>
        <v>1.2E-2</v>
      </c>
      <c r="P121" s="450">
        <f t="shared" si="21"/>
        <v>1.7000000000000001E-2</v>
      </c>
      <c r="Q121" s="454">
        <f t="shared" si="22"/>
        <v>0.05</v>
      </c>
      <c r="S121" s="319">
        <v>0.01</v>
      </c>
      <c r="T121" s="319">
        <v>0.05</v>
      </c>
      <c r="W121" s="320">
        <v>0.01</v>
      </c>
      <c r="X121" s="321">
        <v>0.01</v>
      </c>
      <c r="Y121" s="319">
        <v>1.6E-2</v>
      </c>
      <c r="AA121" s="319">
        <v>0.05</v>
      </c>
    </row>
    <row r="122" spans="1:32" x14ac:dyDescent="0.25">
      <c r="A122" s="537"/>
      <c r="B122" s="540"/>
      <c r="C122" s="15" t="s">
        <v>2</v>
      </c>
      <c r="D122" s="310">
        <v>2</v>
      </c>
      <c r="E122" s="450">
        <f t="shared" si="18"/>
        <v>9.9000000000000008E-3</v>
      </c>
      <c r="F122" s="312">
        <v>0</v>
      </c>
      <c r="G122" s="309">
        <v>0</v>
      </c>
      <c r="H122" s="314">
        <v>0.02</v>
      </c>
      <c r="I122" s="302">
        <v>0</v>
      </c>
      <c r="J122" s="302">
        <v>0</v>
      </c>
      <c r="K122" s="302">
        <v>0</v>
      </c>
      <c r="L122" s="311">
        <v>0.05</v>
      </c>
      <c r="M122" s="312">
        <v>2.5000000000000001E-2</v>
      </c>
      <c r="N122" s="442">
        <f t="shared" si="19"/>
        <v>2.2499999999999999E-2</v>
      </c>
      <c r="O122" s="435">
        <f t="shared" si="20"/>
        <v>4.8000000000000001E-2</v>
      </c>
      <c r="P122" s="450">
        <f t="shared" si="21"/>
        <v>3.4000000000000002E-2</v>
      </c>
      <c r="Q122" s="454">
        <f t="shared" si="22"/>
        <v>0.06</v>
      </c>
      <c r="S122" s="314">
        <v>0.02</v>
      </c>
      <c r="T122" s="314">
        <v>0.06</v>
      </c>
      <c r="W122" s="312">
        <v>0.04</v>
      </c>
      <c r="X122" s="311">
        <v>0.03</v>
      </c>
      <c r="Y122" s="314">
        <v>1.7999999999999999E-2</v>
      </c>
      <c r="AA122" s="314">
        <v>0.06</v>
      </c>
    </row>
    <row r="123" spans="1:32" x14ac:dyDescent="0.25">
      <c r="A123" s="537"/>
      <c r="B123" s="540"/>
      <c r="C123" s="15" t="s">
        <v>1</v>
      </c>
      <c r="D123" s="310">
        <v>2.4</v>
      </c>
      <c r="E123" s="450">
        <f t="shared" si="18"/>
        <v>8.8000000000000005E-3</v>
      </c>
      <c r="F123" s="312">
        <v>0</v>
      </c>
      <c r="G123" s="311">
        <v>0.02</v>
      </c>
      <c r="H123" s="308">
        <v>0</v>
      </c>
      <c r="I123" s="302">
        <v>0</v>
      </c>
      <c r="J123" s="302">
        <v>0</v>
      </c>
      <c r="K123" s="312">
        <v>0.19</v>
      </c>
      <c r="L123" s="311">
        <v>0.05</v>
      </c>
      <c r="M123" s="312">
        <v>0.05</v>
      </c>
      <c r="N123" s="442">
        <f t="shared" si="19"/>
        <v>2.2499999999999999E-2</v>
      </c>
      <c r="O123" s="435">
        <f t="shared" si="20"/>
        <v>4.8000000000000001E-2</v>
      </c>
      <c r="P123" s="450">
        <f t="shared" si="21"/>
        <v>1.7000000000000001E-2</v>
      </c>
      <c r="Q123" s="454">
        <f t="shared" si="22"/>
        <v>0.05</v>
      </c>
      <c r="S123" s="314">
        <v>0.01</v>
      </c>
      <c r="T123" s="314">
        <v>0.05</v>
      </c>
      <c r="W123" s="312">
        <v>0.04</v>
      </c>
      <c r="X123" s="311">
        <v>0.03</v>
      </c>
      <c r="Y123" s="314">
        <v>1.6E-2</v>
      </c>
      <c r="AA123" s="314">
        <v>0.05</v>
      </c>
    </row>
    <row r="124" spans="1:32" ht="15.75" thickBot="1" x14ac:dyDescent="0.3">
      <c r="A124" s="538"/>
      <c r="B124" s="541"/>
      <c r="C124" s="15" t="s">
        <v>0</v>
      </c>
      <c r="D124" s="310">
        <v>3.1</v>
      </c>
      <c r="E124" s="450">
        <f t="shared" si="18"/>
        <v>9.9000000000000008E-3</v>
      </c>
      <c r="F124" s="312">
        <v>0</v>
      </c>
      <c r="G124" s="309">
        <v>0</v>
      </c>
      <c r="H124" s="314">
        <v>0.02</v>
      </c>
      <c r="I124" s="302">
        <v>0</v>
      </c>
      <c r="J124" s="302">
        <v>0</v>
      </c>
      <c r="K124" s="312">
        <v>0.09</v>
      </c>
      <c r="L124" s="311">
        <v>0.05</v>
      </c>
      <c r="M124" s="312">
        <v>2.5000000000000001E-2</v>
      </c>
      <c r="N124" s="442">
        <f t="shared" si="19"/>
        <v>2.2499999999999999E-2</v>
      </c>
      <c r="O124" s="435">
        <f t="shared" si="20"/>
        <v>7.1999999999999995E-2</v>
      </c>
      <c r="P124" s="450">
        <f t="shared" si="21"/>
        <v>3.4000000000000002E-2</v>
      </c>
      <c r="Q124" s="454">
        <f t="shared" si="22"/>
        <v>0.06</v>
      </c>
      <c r="S124" s="314">
        <v>0.02</v>
      </c>
      <c r="T124" s="314">
        <v>0.06</v>
      </c>
      <c r="W124" s="312">
        <v>0.06</v>
      </c>
      <c r="X124" s="311">
        <v>0.03</v>
      </c>
      <c r="Y124" s="314">
        <v>1.7999999999999999E-2</v>
      </c>
      <c r="AA124" s="314">
        <v>0.06</v>
      </c>
    </row>
    <row r="125" spans="1:32" ht="15" customHeight="1" thickBot="1" x14ac:dyDescent="0.3">
      <c r="A125" s="536" t="s">
        <v>13</v>
      </c>
      <c r="B125" s="539" t="s">
        <v>577</v>
      </c>
      <c r="C125" s="16" t="s">
        <v>3</v>
      </c>
      <c r="D125" s="318">
        <v>1.2</v>
      </c>
      <c r="E125" s="452">
        <f>Y125*1.15</f>
        <v>8.9699999999999988E-2</v>
      </c>
      <c r="F125" s="322">
        <v>0</v>
      </c>
      <c r="G125" s="321">
        <v>0</v>
      </c>
      <c r="H125" s="316">
        <v>0</v>
      </c>
      <c r="I125" s="305">
        <v>0</v>
      </c>
      <c r="J125" s="305">
        <v>0</v>
      </c>
      <c r="K125" s="315">
        <v>0</v>
      </c>
      <c r="L125" s="321">
        <v>0</v>
      </c>
      <c r="M125" s="320">
        <v>0</v>
      </c>
      <c r="N125" s="321">
        <v>0</v>
      </c>
      <c r="O125" s="320">
        <v>0</v>
      </c>
      <c r="P125" s="319">
        <v>0</v>
      </c>
      <c r="Q125" s="319">
        <f>T125*1.4</f>
        <v>6.9999999999999993E-2</v>
      </c>
      <c r="T125" s="319">
        <v>0.05</v>
      </c>
      <c r="W125" s="312"/>
      <c r="Y125" s="169">
        <v>7.8E-2</v>
      </c>
      <c r="AF125" s="169">
        <v>7.8E-2</v>
      </c>
    </row>
    <row r="126" spans="1:32" ht="15.75" thickBot="1" x14ac:dyDescent="0.3">
      <c r="A126" s="537"/>
      <c r="B126" s="540"/>
      <c r="C126" s="15" t="s">
        <v>2</v>
      </c>
      <c r="D126" s="310">
        <v>2.2000000000000002</v>
      </c>
      <c r="E126" s="452">
        <f t="shared" ref="E126:E148" si="23">Y126*1.15</f>
        <v>8.2799999999999985E-2</v>
      </c>
      <c r="F126" s="312">
        <v>0</v>
      </c>
      <c r="G126" s="309">
        <v>0</v>
      </c>
      <c r="H126" s="314">
        <v>0.02</v>
      </c>
      <c r="I126" s="302">
        <v>0</v>
      </c>
      <c r="J126" s="302">
        <v>0</v>
      </c>
      <c r="K126" s="302">
        <v>0</v>
      </c>
      <c r="L126" s="311">
        <v>0</v>
      </c>
      <c r="M126" s="312">
        <v>0</v>
      </c>
      <c r="N126" s="311">
        <v>0</v>
      </c>
      <c r="O126" s="312">
        <v>0</v>
      </c>
      <c r="P126" s="314">
        <v>0</v>
      </c>
      <c r="Q126" s="319">
        <f t="shared" ref="Q126:Q148" si="24">T126*1.4</f>
        <v>6.9999999999999993E-2</v>
      </c>
      <c r="T126" s="314">
        <v>0.05</v>
      </c>
      <c r="Y126" s="168">
        <v>7.1999999999999995E-2</v>
      </c>
      <c r="AF126" s="168">
        <v>7.1999999999999995E-2</v>
      </c>
    </row>
    <row r="127" spans="1:32" ht="15.75" thickBot="1" x14ac:dyDescent="0.3">
      <c r="A127" s="537"/>
      <c r="B127" s="540"/>
      <c r="C127" s="15" t="s">
        <v>1</v>
      </c>
      <c r="D127" s="310">
        <v>3</v>
      </c>
      <c r="E127" s="452">
        <f t="shared" si="23"/>
        <v>8.9699999999999988E-2</v>
      </c>
      <c r="F127" s="312">
        <v>0</v>
      </c>
      <c r="G127" s="311">
        <v>0</v>
      </c>
      <c r="H127" s="308">
        <v>0</v>
      </c>
      <c r="I127" s="302">
        <v>0</v>
      </c>
      <c r="J127" s="302">
        <v>0</v>
      </c>
      <c r="K127" s="312">
        <v>0.1</v>
      </c>
      <c r="L127" s="311">
        <v>0</v>
      </c>
      <c r="M127" s="312">
        <v>0</v>
      </c>
      <c r="N127" s="311">
        <v>0</v>
      </c>
      <c r="O127" s="312">
        <v>0</v>
      </c>
      <c r="P127" s="314">
        <v>0</v>
      </c>
      <c r="Q127" s="319">
        <f t="shared" si="24"/>
        <v>6.9999999999999993E-2</v>
      </c>
      <c r="T127" s="314">
        <v>0.05</v>
      </c>
      <c r="Y127" s="168">
        <v>7.8E-2</v>
      </c>
      <c r="AF127" s="168">
        <v>7.8E-2</v>
      </c>
    </row>
    <row r="128" spans="1:32" ht="15.75" thickBot="1" x14ac:dyDescent="0.3">
      <c r="A128" s="537"/>
      <c r="B128" s="541"/>
      <c r="C128" s="15" t="s">
        <v>0</v>
      </c>
      <c r="D128" s="310">
        <v>4</v>
      </c>
      <c r="E128" s="452">
        <f t="shared" si="23"/>
        <v>8.2799999999999985E-2</v>
      </c>
      <c r="F128" s="312">
        <v>0</v>
      </c>
      <c r="G128" s="309">
        <v>0</v>
      </c>
      <c r="H128" s="314">
        <v>0.01</v>
      </c>
      <c r="I128" s="302">
        <v>0</v>
      </c>
      <c r="J128" s="302">
        <v>0</v>
      </c>
      <c r="K128" s="312">
        <v>0.01</v>
      </c>
      <c r="L128" s="311">
        <v>0</v>
      </c>
      <c r="M128" s="312">
        <v>0</v>
      </c>
      <c r="N128" s="311">
        <v>0</v>
      </c>
      <c r="O128" s="312">
        <v>0</v>
      </c>
      <c r="P128" s="314">
        <v>0</v>
      </c>
      <c r="Q128" s="319">
        <f t="shared" si="24"/>
        <v>6.9999999999999993E-2</v>
      </c>
      <c r="T128" s="314">
        <v>0.05</v>
      </c>
      <c r="Y128" s="168">
        <v>7.1999999999999995E-2</v>
      </c>
      <c r="AF128" s="168">
        <v>7.1999999999999995E-2</v>
      </c>
    </row>
    <row r="129" spans="1:32" ht="15" customHeight="1" thickBot="1" x14ac:dyDescent="0.3">
      <c r="A129" s="537"/>
      <c r="B129" s="539" t="s">
        <v>578</v>
      </c>
      <c r="C129" s="16" t="s">
        <v>3</v>
      </c>
      <c r="D129" s="318">
        <v>1.1000000000000001</v>
      </c>
      <c r="E129" s="452">
        <f t="shared" si="23"/>
        <v>8.9699999999999988E-2</v>
      </c>
      <c r="F129" s="322">
        <v>0</v>
      </c>
      <c r="G129" s="321">
        <v>0</v>
      </c>
      <c r="H129" s="316">
        <v>0</v>
      </c>
      <c r="I129" s="305">
        <v>0</v>
      </c>
      <c r="J129" s="305">
        <v>0</v>
      </c>
      <c r="K129" s="315">
        <v>0</v>
      </c>
      <c r="L129" s="321">
        <v>0</v>
      </c>
      <c r="M129" s="320">
        <v>0</v>
      </c>
      <c r="N129" s="321">
        <v>0</v>
      </c>
      <c r="O129" s="320">
        <v>0</v>
      </c>
      <c r="P129" s="319">
        <v>0</v>
      </c>
      <c r="Q129" s="319">
        <f t="shared" si="24"/>
        <v>6.9999999999999993E-2</v>
      </c>
      <c r="T129" s="319">
        <v>0.05</v>
      </c>
      <c r="Y129" s="169">
        <v>7.8E-2</v>
      </c>
      <c r="AF129" s="169">
        <v>7.8E-2</v>
      </c>
    </row>
    <row r="130" spans="1:32" ht="15.75" thickBot="1" x14ac:dyDescent="0.3">
      <c r="A130" s="537"/>
      <c r="B130" s="540"/>
      <c r="C130" s="15" t="s">
        <v>2</v>
      </c>
      <c r="D130" s="310">
        <v>2.2000000000000002</v>
      </c>
      <c r="E130" s="452">
        <f t="shared" si="23"/>
        <v>8.2799999999999985E-2</v>
      </c>
      <c r="F130" s="312">
        <v>0</v>
      </c>
      <c r="G130" s="309">
        <v>0</v>
      </c>
      <c r="H130" s="314">
        <v>0.02</v>
      </c>
      <c r="I130" s="302">
        <v>0</v>
      </c>
      <c r="J130" s="302">
        <v>0</v>
      </c>
      <c r="K130" s="302">
        <v>0</v>
      </c>
      <c r="L130" s="311">
        <v>0</v>
      </c>
      <c r="M130" s="312">
        <v>0</v>
      </c>
      <c r="N130" s="311">
        <v>0</v>
      </c>
      <c r="O130" s="312">
        <v>0</v>
      </c>
      <c r="P130" s="314">
        <v>0</v>
      </c>
      <c r="Q130" s="319">
        <f t="shared" si="24"/>
        <v>6.9999999999999993E-2</v>
      </c>
      <c r="T130" s="314">
        <v>0.05</v>
      </c>
      <c r="Y130" s="168">
        <v>7.1999999999999995E-2</v>
      </c>
      <c r="AF130" s="168">
        <v>7.1999999999999995E-2</v>
      </c>
    </row>
    <row r="131" spans="1:32" ht="15.75" thickBot="1" x14ac:dyDescent="0.3">
      <c r="A131" s="537"/>
      <c r="B131" s="540"/>
      <c r="C131" s="15" t="s">
        <v>1</v>
      </c>
      <c r="D131" s="310">
        <v>3.4</v>
      </c>
      <c r="E131" s="452">
        <f t="shared" si="23"/>
        <v>8.9699999999999988E-2</v>
      </c>
      <c r="F131" s="312">
        <v>0</v>
      </c>
      <c r="G131" s="311">
        <v>0</v>
      </c>
      <c r="H131" s="308">
        <v>0</v>
      </c>
      <c r="I131" s="302">
        <v>0</v>
      </c>
      <c r="J131" s="302">
        <v>0</v>
      </c>
      <c r="K131" s="312">
        <v>0.1</v>
      </c>
      <c r="L131" s="311">
        <v>0</v>
      </c>
      <c r="M131" s="312">
        <v>0</v>
      </c>
      <c r="N131" s="311">
        <v>0</v>
      </c>
      <c r="O131" s="312">
        <v>0</v>
      </c>
      <c r="P131" s="314">
        <v>0</v>
      </c>
      <c r="Q131" s="319">
        <f t="shared" si="24"/>
        <v>6.9999999999999993E-2</v>
      </c>
      <c r="T131" s="314">
        <v>0.05</v>
      </c>
      <c r="Y131" s="168">
        <v>7.8E-2</v>
      </c>
      <c r="AF131" s="168">
        <v>7.8E-2</v>
      </c>
    </row>
    <row r="132" spans="1:32" ht="15.75" thickBot="1" x14ac:dyDescent="0.3">
      <c r="A132" s="537"/>
      <c r="B132" s="541"/>
      <c r="C132" s="15" t="s">
        <v>0</v>
      </c>
      <c r="D132" s="310">
        <v>4</v>
      </c>
      <c r="E132" s="452">
        <f t="shared" si="23"/>
        <v>8.2799999999999985E-2</v>
      </c>
      <c r="F132" s="312">
        <v>0</v>
      </c>
      <c r="G132" s="309">
        <v>0</v>
      </c>
      <c r="H132" s="314">
        <v>0.01</v>
      </c>
      <c r="I132" s="302">
        <v>0</v>
      </c>
      <c r="J132" s="302">
        <v>0</v>
      </c>
      <c r="K132" s="312">
        <v>0.01</v>
      </c>
      <c r="L132" s="311">
        <v>0</v>
      </c>
      <c r="M132" s="312">
        <v>0</v>
      </c>
      <c r="N132" s="311">
        <v>0</v>
      </c>
      <c r="O132" s="312">
        <v>0</v>
      </c>
      <c r="P132" s="314">
        <v>0</v>
      </c>
      <c r="Q132" s="319">
        <f t="shared" si="24"/>
        <v>6.9999999999999993E-2</v>
      </c>
      <c r="T132" s="314">
        <v>0.05</v>
      </c>
      <c r="Y132" s="168">
        <v>7.1999999999999995E-2</v>
      </c>
      <c r="AF132" s="168">
        <v>7.1999999999999995E-2</v>
      </c>
    </row>
    <row r="133" spans="1:32" s="22" customFormat="1" ht="15.75" thickBot="1" x14ac:dyDescent="0.3">
      <c r="A133" s="537"/>
      <c r="B133" s="542" t="s">
        <v>579</v>
      </c>
      <c r="C133" s="16" t="s">
        <v>3</v>
      </c>
      <c r="D133" s="318">
        <v>1.1000000000000001</v>
      </c>
      <c r="E133" s="452">
        <f t="shared" si="23"/>
        <v>8.9699999999999988E-2</v>
      </c>
      <c r="F133" s="322">
        <v>0</v>
      </c>
      <c r="G133" s="321">
        <v>0</v>
      </c>
      <c r="H133" s="316">
        <v>0</v>
      </c>
      <c r="I133" s="305">
        <v>0</v>
      </c>
      <c r="J133" s="305">
        <v>0</v>
      </c>
      <c r="K133" s="315">
        <v>0</v>
      </c>
      <c r="L133" s="321">
        <v>0</v>
      </c>
      <c r="M133" s="320">
        <v>0</v>
      </c>
      <c r="N133" s="321">
        <v>0</v>
      </c>
      <c r="O133" s="320">
        <v>0</v>
      </c>
      <c r="P133" s="319">
        <v>0</v>
      </c>
      <c r="Q133" s="319">
        <f t="shared" si="24"/>
        <v>6.9999999999999993E-2</v>
      </c>
      <c r="T133" s="319">
        <v>0.05</v>
      </c>
      <c r="Y133" s="169">
        <v>7.8E-2</v>
      </c>
      <c r="AF133" s="169">
        <v>7.8E-2</v>
      </c>
    </row>
    <row r="134" spans="1:32" s="22" customFormat="1" ht="15.75" thickBot="1" x14ac:dyDescent="0.3">
      <c r="A134" s="537"/>
      <c r="B134" s="540"/>
      <c r="C134" s="15" t="s">
        <v>2</v>
      </c>
      <c r="D134" s="310">
        <v>2.2000000000000002</v>
      </c>
      <c r="E134" s="452">
        <f t="shared" si="23"/>
        <v>8.2799999999999985E-2</v>
      </c>
      <c r="F134" s="312">
        <v>0</v>
      </c>
      <c r="G134" s="309">
        <v>0</v>
      </c>
      <c r="H134" s="314">
        <v>0.02</v>
      </c>
      <c r="I134" s="302">
        <v>0</v>
      </c>
      <c r="J134" s="302">
        <v>0</v>
      </c>
      <c r="K134" s="302">
        <v>0</v>
      </c>
      <c r="L134" s="311">
        <v>0</v>
      </c>
      <c r="M134" s="312">
        <v>0</v>
      </c>
      <c r="N134" s="311">
        <v>0</v>
      </c>
      <c r="O134" s="312">
        <v>0</v>
      </c>
      <c r="P134" s="314">
        <v>0</v>
      </c>
      <c r="Q134" s="319">
        <f t="shared" si="24"/>
        <v>6.9999999999999993E-2</v>
      </c>
      <c r="T134" s="314">
        <v>0.05</v>
      </c>
      <c r="Y134" s="168">
        <v>7.1999999999999995E-2</v>
      </c>
      <c r="AF134" s="168">
        <v>7.1999999999999995E-2</v>
      </c>
    </row>
    <row r="135" spans="1:32" s="22" customFormat="1" ht="15.75" thickBot="1" x14ac:dyDescent="0.3">
      <c r="A135" s="537"/>
      <c r="B135" s="540"/>
      <c r="C135" s="15" t="s">
        <v>1</v>
      </c>
      <c r="D135" s="310">
        <v>3.4</v>
      </c>
      <c r="E135" s="452">
        <f t="shared" si="23"/>
        <v>8.9699999999999988E-2</v>
      </c>
      <c r="F135" s="312">
        <v>0</v>
      </c>
      <c r="G135" s="311">
        <v>0</v>
      </c>
      <c r="H135" s="308">
        <v>0</v>
      </c>
      <c r="I135" s="302">
        <v>0</v>
      </c>
      <c r="J135" s="302">
        <v>0</v>
      </c>
      <c r="K135" s="312">
        <v>0.1</v>
      </c>
      <c r="L135" s="311">
        <v>0</v>
      </c>
      <c r="M135" s="312">
        <v>0</v>
      </c>
      <c r="N135" s="311">
        <v>0</v>
      </c>
      <c r="O135" s="312">
        <v>0</v>
      </c>
      <c r="P135" s="314">
        <v>0</v>
      </c>
      <c r="Q135" s="319">
        <f t="shared" si="24"/>
        <v>6.9999999999999993E-2</v>
      </c>
      <c r="T135" s="314">
        <v>0.05</v>
      </c>
      <c r="Y135" s="168">
        <v>7.8E-2</v>
      </c>
      <c r="AF135" s="168">
        <v>7.8E-2</v>
      </c>
    </row>
    <row r="136" spans="1:32" s="22" customFormat="1" ht="15.75" thickBot="1" x14ac:dyDescent="0.3">
      <c r="A136" s="537"/>
      <c r="B136" s="541"/>
      <c r="C136" s="15" t="s">
        <v>0</v>
      </c>
      <c r="D136" s="310">
        <v>4</v>
      </c>
      <c r="E136" s="452">
        <f t="shared" si="23"/>
        <v>8.2799999999999985E-2</v>
      </c>
      <c r="F136" s="312">
        <v>0</v>
      </c>
      <c r="G136" s="309">
        <v>0</v>
      </c>
      <c r="H136" s="314">
        <v>0.01</v>
      </c>
      <c r="I136" s="302">
        <v>0</v>
      </c>
      <c r="J136" s="302">
        <v>0</v>
      </c>
      <c r="K136" s="312">
        <v>0.01</v>
      </c>
      <c r="L136" s="311">
        <v>0</v>
      </c>
      <c r="M136" s="312">
        <v>0</v>
      </c>
      <c r="N136" s="311">
        <v>0</v>
      </c>
      <c r="O136" s="312">
        <v>0</v>
      </c>
      <c r="P136" s="314">
        <v>0</v>
      </c>
      <c r="Q136" s="319">
        <f t="shared" si="24"/>
        <v>6.9999999999999993E-2</v>
      </c>
      <c r="T136" s="314">
        <v>0.05</v>
      </c>
      <c r="Y136" s="168">
        <v>7.1999999999999995E-2</v>
      </c>
      <c r="AF136" s="168">
        <v>7.1999999999999995E-2</v>
      </c>
    </row>
    <row r="137" spans="1:32" s="22" customFormat="1" ht="15.75" thickBot="1" x14ac:dyDescent="0.3">
      <c r="A137" s="537"/>
      <c r="B137" s="542" t="s">
        <v>580</v>
      </c>
      <c r="C137" s="16" t="s">
        <v>3</v>
      </c>
      <c r="D137" s="318">
        <v>1.1000000000000001</v>
      </c>
      <c r="E137" s="452">
        <f t="shared" si="23"/>
        <v>8.9699999999999988E-2</v>
      </c>
      <c r="F137" s="322">
        <v>0</v>
      </c>
      <c r="G137" s="321">
        <v>0</v>
      </c>
      <c r="H137" s="316">
        <v>0</v>
      </c>
      <c r="I137" s="305">
        <v>0</v>
      </c>
      <c r="J137" s="305">
        <v>0</v>
      </c>
      <c r="K137" s="315">
        <v>0</v>
      </c>
      <c r="L137" s="321">
        <v>0</v>
      </c>
      <c r="M137" s="320">
        <v>0</v>
      </c>
      <c r="N137" s="321">
        <v>0</v>
      </c>
      <c r="O137" s="320">
        <v>0</v>
      </c>
      <c r="P137" s="319">
        <v>0</v>
      </c>
      <c r="Q137" s="319">
        <f t="shared" si="24"/>
        <v>6.9999999999999993E-2</v>
      </c>
      <c r="T137" s="319">
        <v>0.05</v>
      </c>
      <c r="Y137" s="169">
        <v>7.8E-2</v>
      </c>
      <c r="AF137" s="169">
        <v>7.8E-2</v>
      </c>
    </row>
    <row r="138" spans="1:32" s="22" customFormat="1" ht="15.75" thickBot="1" x14ac:dyDescent="0.3">
      <c r="A138" s="537"/>
      <c r="B138" s="540"/>
      <c r="C138" s="15" t="s">
        <v>2</v>
      </c>
      <c r="D138" s="310">
        <v>2.2000000000000002</v>
      </c>
      <c r="E138" s="452">
        <f t="shared" si="23"/>
        <v>8.2799999999999985E-2</v>
      </c>
      <c r="F138" s="312">
        <v>0</v>
      </c>
      <c r="G138" s="309">
        <v>0</v>
      </c>
      <c r="H138" s="314">
        <v>0.02</v>
      </c>
      <c r="I138" s="302">
        <v>0</v>
      </c>
      <c r="J138" s="302">
        <v>0</v>
      </c>
      <c r="K138" s="302">
        <v>0</v>
      </c>
      <c r="L138" s="311">
        <v>0</v>
      </c>
      <c r="M138" s="312">
        <v>0</v>
      </c>
      <c r="N138" s="311">
        <v>0</v>
      </c>
      <c r="O138" s="312">
        <v>0</v>
      </c>
      <c r="P138" s="314">
        <v>0</v>
      </c>
      <c r="Q138" s="319">
        <f t="shared" si="24"/>
        <v>6.9999999999999993E-2</v>
      </c>
      <c r="T138" s="314">
        <v>0.05</v>
      </c>
      <c r="Y138" s="168">
        <v>7.1999999999999995E-2</v>
      </c>
      <c r="AF138" s="168">
        <v>7.1999999999999995E-2</v>
      </c>
    </row>
    <row r="139" spans="1:32" s="22" customFormat="1" ht="15.75" thickBot="1" x14ac:dyDescent="0.3">
      <c r="A139" s="537"/>
      <c r="B139" s="540"/>
      <c r="C139" s="15" t="s">
        <v>1</v>
      </c>
      <c r="D139" s="310">
        <v>3.4</v>
      </c>
      <c r="E139" s="452">
        <f t="shared" si="23"/>
        <v>8.9699999999999988E-2</v>
      </c>
      <c r="F139" s="312">
        <v>0</v>
      </c>
      <c r="G139" s="311">
        <v>0</v>
      </c>
      <c r="H139" s="308">
        <v>0</v>
      </c>
      <c r="I139" s="302">
        <v>0</v>
      </c>
      <c r="J139" s="302">
        <v>0</v>
      </c>
      <c r="K139" s="312">
        <v>0.1</v>
      </c>
      <c r="L139" s="311">
        <v>0</v>
      </c>
      <c r="M139" s="312">
        <v>0</v>
      </c>
      <c r="N139" s="311">
        <v>0</v>
      </c>
      <c r="O139" s="312">
        <v>0</v>
      </c>
      <c r="P139" s="314">
        <v>0</v>
      </c>
      <c r="Q139" s="319">
        <f t="shared" si="24"/>
        <v>6.9999999999999993E-2</v>
      </c>
      <c r="T139" s="314">
        <v>0.05</v>
      </c>
      <c r="Y139" s="168">
        <v>7.8E-2</v>
      </c>
      <c r="AF139" s="168">
        <v>7.8E-2</v>
      </c>
    </row>
    <row r="140" spans="1:32" s="22" customFormat="1" ht="15.75" thickBot="1" x14ac:dyDescent="0.3">
      <c r="A140" s="537"/>
      <c r="B140" s="541"/>
      <c r="C140" s="15" t="s">
        <v>0</v>
      </c>
      <c r="D140" s="310">
        <v>4</v>
      </c>
      <c r="E140" s="452">
        <f t="shared" si="23"/>
        <v>8.2799999999999985E-2</v>
      </c>
      <c r="F140" s="312">
        <v>0</v>
      </c>
      <c r="G140" s="309">
        <v>0</v>
      </c>
      <c r="H140" s="314">
        <v>0.01</v>
      </c>
      <c r="I140" s="302">
        <v>0</v>
      </c>
      <c r="J140" s="302">
        <v>0</v>
      </c>
      <c r="K140" s="312">
        <v>0.01</v>
      </c>
      <c r="L140" s="311">
        <v>0</v>
      </c>
      <c r="M140" s="312">
        <v>0</v>
      </c>
      <c r="N140" s="311">
        <v>0</v>
      </c>
      <c r="O140" s="312">
        <v>0</v>
      </c>
      <c r="P140" s="314">
        <v>0</v>
      </c>
      <c r="Q140" s="319">
        <f t="shared" si="24"/>
        <v>6.9999999999999993E-2</v>
      </c>
      <c r="T140" s="314">
        <v>0.05</v>
      </c>
      <c r="Y140" s="168">
        <v>7.1999999999999995E-2</v>
      </c>
      <c r="AF140" s="168">
        <v>7.1999999999999995E-2</v>
      </c>
    </row>
    <row r="141" spans="1:32" ht="15" customHeight="1" thickBot="1" x14ac:dyDescent="0.3">
      <c r="A141" s="537"/>
      <c r="B141" s="542" t="s">
        <v>581</v>
      </c>
      <c r="C141" s="16" t="s">
        <v>3</v>
      </c>
      <c r="D141" s="318">
        <v>1.1000000000000001</v>
      </c>
      <c r="E141" s="452">
        <f t="shared" si="23"/>
        <v>8.9699999999999988E-2</v>
      </c>
      <c r="F141" s="322">
        <v>0</v>
      </c>
      <c r="G141" s="321">
        <v>0</v>
      </c>
      <c r="H141" s="316">
        <v>0</v>
      </c>
      <c r="I141" s="305">
        <v>0</v>
      </c>
      <c r="J141" s="305">
        <v>0</v>
      </c>
      <c r="K141" s="315">
        <v>0</v>
      </c>
      <c r="L141" s="321">
        <v>0</v>
      </c>
      <c r="M141" s="320">
        <v>0</v>
      </c>
      <c r="N141" s="321">
        <v>0</v>
      </c>
      <c r="O141" s="320">
        <v>0</v>
      </c>
      <c r="P141" s="319">
        <v>0</v>
      </c>
      <c r="Q141" s="319">
        <f t="shared" si="24"/>
        <v>6.9999999999999993E-2</v>
      </c>
      <c r="T141" s="319">
        <v>0.05</v>
      </c>
      <c r="Y141" s="169">
        <v>7.8E-2</v>
      </c>
      <c r="AF141" s="169">
        <v>7.8E-2</v>
      </c>
    </row>
    <row r="142" spans="1:32" ht="15.75" thickBot="1" x14ac:dyDescent="0.3">
      <c r="A142" s="537"/>
      <c r="B142" s="540"/>
      <c r="C142" s="15" t="s">
        <v>2</v>
      </c>
      <c r="D142" s="310">
        <v>2.2000000000000002</v>
      </c>
      <c r="E142" s="452">
        <f t="shared" si="23"/>
        <v>8.2799999999999985E-2</v>
      </c>
      <c r="F142" s="312">
        <v>0</v>
      </c>
      <c r="G142" s="309">
        <v>0</v>
      </c>
      <c r="H142" s="314">
        <v>0.02</v>
      </c>
      <c r="I142" s="302">
        <v>0</v>
      </c>
      <c r="J142" s="302">
        <v>0</v>
      </c>
      <c r="K142" s="302">
        <v>0</v>
      </c>
      <c r="L142" s="311">
        <v>0</v>
      </c>
      <c r="M142" s="312">
        <v>0</v>
      </c>
      <c r="N142" s="311">
        <v>0</v>
      </c>
      <c r="O142" s="312">
        <v>0</v>
      </c>
      <c r="P142" s="314">
        <v>0</v>
      </c>
      <c r="Q142" s="319">
        <f t="shared" si="24"/>
        <v>6.9999999999999993E-2</v>
      </c>
      <c r="T142" s="314">
        <v>0.05</v>
      </c>
      <c r="Y142" s="168">
        <v>7.1999999999999995E-2</v>
      </c>
      <c r="AF142" s="168">
        <v>7.1999999999999995E-2</v>
      </c>
    </row>
    <row r="143" spans="1:32" ht="15.75" thickBot="1" x14ac:dyDescent="0.3">
      <c r="A143" s="537"/>
      <c r="B143" s="540"/>
      <c r="C143" s="15" t="s">
        <v>1</v>
      </c>
      <c r="D143" s="310">
        <v>3.4</v>
      </c>
      <c r="E143" s="452">
        <f t="shared" si="23"/>
        <v>8.9699999999999988E-2</v>
      </c>
      <c r="F143" s="312">
        <v>0</v>
      </c>
      <c r="G143" s="311">
        <v>0</v>
      </c>
      <c r="H143" s="308">
        <v>0</v>
      </c>
      <c r="I143" s="302">
        <v>0</v>
      </c>
      <c r="J143" s="302">
        <v>0</v>
      </c>
      <c r="K143" s="312">
        <v>0.1</v>
      </c>
      <c r="L143" s="311">
        <v>0</v>
      </c>
      <c r="M143" s="312">
        <v>0</v>
      </c>
      <c r="N143" s="311">
        <v>0</v>
      </c>
      <c r="O143" s="312">
        <v>0</v>
      </c>
      <c r="P143" s="314">
        <v>0</v>
      </c>
      <c r="Q143" s="319">
        <f t="shared" si="24"/>
        <v>6.9999999999999993E-2</v>
      </c>
      <c r="T143" s="314">
        <v>0.05</v>
      </c>
      <c r="Y143" s="168">
        <v>7.8E-2</v>
      </c>
      <c r="AF143" s="168">
        <v>7.8E-2</v>
      </c>
    </row>
    <row r="144" spans="1:32" ht="15.75" thickBot="1" x14ac:dyDescent="0.3">
      <c r="A144" s="537"/>
      <c r="B144" s="541"/>
      <c r="C144" s="15" t="s">
        <v>0</v>
      </c>
      <c r="D144" s="310">
        <v>4</v>
      </c>
      <c r="E144" s="452">
        <f t="shared" si="23"/>
        <v>8.2799999999999985E-2</v>
      </c>
      <c r="F144" s="312">
        <v>0</v>
      </c>
      <c r="G144" s="309">
        <v>0</v>
      </c>
      <c r="H144" s="314">
        <v>0.01</v>
      </c>
      <c r="I144" s="302">
        <v>0</v>
      </c>
      <c r="J144" s="302">
        <v>0</v>
      </c>
      <c r="K144" s="312">
        <v>0.01</v>
      </c>
      <c r="L144" s="311">
        <v>0</v>
      </c>
      <c r="M144" s="312">
        <v>0</v>
      </c>
      <c r="N144" s="311">
        <v>0</v>
      </c>
      <c r="O144" s="312">
        <v>0</v>
      </c>
      <c r="P144" s="314">
        <v>0</v>
      </c>
      <c r="Q144" s="319">
        <f t="shared" si="24"/>
        <v>6.9999999999999993E-2</v>
      </c>
      <c r="T144" s="314">
        <v>0.05</v>
      </c>
      <c r="Y144" s="168">
        <v>7.1999999999999995E-2</v>
      </c>
      <c r="AF144" s="168">
        <v>7.1999999999999995E-2</v>
      </c>
    </row>
    <row r="145" spans="1:32" ht="15" customHeight="1" thickBot="1" x14ac:dyDescent="0.3">
      <c r="A145" s="537"/>
      <c r="B145" s="539" t="s">
        <v>582</v>
      </c>
      <c r="C145" s="16" t="s">
        <v>3</v>
      </c>
      <c r="D145" s="318">
        <v>1.1000000000000001</v>
      </c>
      <c r="E145" s="452">
        <f t="shared" si="23"/>
        <v>8.9699999999999988E-2</v>
      </c>
      <c r="F145" s="320">
        <v>0</v>
      </c>
      <c r="G145" s="321">
        <v>0</v>
      </c>
      <c r="H145" s="316">
        <v>0</v>
      </c>
      <c r="I145" s="315">
        <v>0</v>
      </c>
      <c r="J145" s="315">
        <v>0</v>
      </c>
      <c r="K145" s="315">
        <v>0</v>
      </c>
      <c r="L145" s="321">
        <v>0</v>
      </c>
      <c r="M145" s="320">
        <v>0</v>
      </c>
      <c r="N145" s="321">
        <v>0</v>
      </c>
      <c r="O145" s="320">
        <v>0</v>
      </c>
      <c r="P145" s="319">
        <v>0</v>
      </c>
      <c r="Q145" s="319">
        <f t="shared" si="24"/>
        <v>6.9999999999999993E-2</v>
      </c>
      <c r="T145" s="319">
        <v>0.05</v>
      </c>
      <c r="Y145" s="169">
        <v>7.8E-2</v>
      </c>
      <c r="AF145" s="169">
        <v>7.8E-2</v>
      </c>
    </row>
    <row r="146" spans="1:32" ht="15.75" thickBot="1" x14ac:dyDescent="0.3">
      <c r="A146" s="537"/>
      <c r="B146" s="540"/>
      <c r="C146" s="15" t="s">
        <v>2</v>
      </c>
      <c r="D146" s="310">
        <v>2.1</v>
      </c>
      <c r="E146" s="452">
        <f t="shared" si="23"/>
        <v>8.2799999999999985E-2</v>
      </c>
      <c r="F146" s="312">
        <v>0</v>
      </c>
      <c r="G146" s="309">
        <v>0</v>
      </c>
      <c r="H146" s="314">
        <v>0.02</v>
      </c>
      <c r="I146" s="302">
        <v>0</v>
      </c>
      <c r="J146" s="302">
        <v>0</v>
      </c>
      <c r="K146" s="302">
        <v>0</v>
      </c>
      <c r="L146" s="311">
        <v>0</v>
      </c>
      <c r="M146" s="312">
        <v>0</v>
      </c>
      <c r="N146" s="311">
        <v>0</v>
      </c>
      <c r="O146" s="312">
        <v>0</v>
      </c>
      <c r="P146" s="314">
        <v>0</v>
      </c>
      <c r="Q146" s="319">
        <f t="shared" si="24"/>
        <v>6.9999999999999993E-2</v>
      </c>
      <c r="T146" s="314">
        <v>0.05</v>
      </c>
      <c r="Y146" s="168">
        <v>7.1999999999999995E-2</v>
      </c>
      <c r="AF146" s="168">
        <v>7.1999999999999995E-2</v>
      </c>
    </row>
    <row r="147" spans="1:32" ht="15.75" thickBot="1" x14ac:dyDescent="0.3">
      <c r="A147" s="537"/>
      <c r="B147" s="540"/>
      <c r="C147" s="15" t="s">
        <v>1</v>
      </c>
      <c r="D147" s="310">
        <v>3.5</v>
      </c>
      <c r="E147" s="452">
        <f t="shared" si="23"/>
        <v>8.9699999999999988E-2</v>
      </c>
      <c r="F147" s="312">
        <v>0</v>
      </c>
      <c r="G147" s="311">
        <v>0</v>
      </c>
      <c r="H147" s="308">
        <v>0</v>
      </c>
      <c r="I147" s="302">
        <v>0</v>
      </c>
      <c r="J147" s="302">
        <v>0</v>
      </c>
      <c r="K147" s="312">
        <v>0.1</v>
      </c>
      <c r="L147" s="311">
        <v>0</v>
      </c>
      <c r="M147" s="312">
        <v>0</v>
      </c>
      <c r="N147" s="311">
        <v>0</v>
      </c>
      <c r="O147" s="312">
        <v>0</v>
      </c>
      <c r="P147" s="314">
        <v>0</v>
      </c>
      <c r="Q147" s="319">
        <f t="shared" si="24"/>
        <v>6.9999999999999993E-2</v>
      </c>
      <c r="T147" s="314">
        <v>0.05</v>
      </c>
      <c r="Y147" s="168">
        <v>7.8E-2</v>
      </c>
      <c r="AF147" s="168">
        <v>7.8E-2</v>
      </c>
    </row>
    <row r="148" spans="1:32" x14ac:dyDescent="0.25">
      <c r="A148" s="537"/>
      <c r="B148" s="541"/>
      <c r="C148" s="15" t="s">
        <v>0</v>
      </c>
      <c r="D148" s="310">
        <v>3.5</v>
      </c>
      <c r="E148" s="452">
        <f t="shared" si="23"/>
        <v>8.2799999999999985E-2</v>
      </c>
      <c r="F148" s="312">
        <v>0</v>
      </c>
      <c r="G148" s="309">
        <v>0</v>
      </c>
      <c r="H148" s="314">
        <v>0.02</v>
      </c>
      <c r="I148" s="302">
        <v>0</v>
      </c>
      <c r="J148" s="302">
        <v>0</v>
      </c>
      <c r="K148" s="312">
        <v>0.01</v>
      </c>
      <c r="L148" s="311">
        <v>0</v>
      </c>
      <c r="M148" s="312">
        <v>0</v>
      </c>
      <c r="N148" s="311">
        <v>0</v>
      </c>
      <c r="O148" s="312">
        <v>0</v>
      </c>
      <c r="P148" s="314">
        <v>0</v>
      </c>
      <c r="Q148" s="319">
        <f t="shared" si="24"/>
        <v>6.9999999999999993E-2</v>
      </c>
      <c r="T148" s="314">
        <v>0.05</v>
      </c>
      <c r="Y148" s="168">
        <v>7.1999999999999995E-2</v>
      </c>
      <c r="AF148" s="168">
        <v>7.1999999999999995E-2</v>
      </c>
    </row>
    <row r="149" spans="1:32" x14ac:dyDescent="0.25">
      <c r="G149"/>
      <c r="I149" s="22"/>
      <c r="K149"/>
      <c r="M149" s="22"/>
      <c r="P149"/>
    </row>
    <row r="150" spans="1:32" s="22" customFormat="1" x14ac:dyDescent="0.25">
      <c r="A150" s="93" t="s">
        <v>475</v>
      </c>
      <c r="B150" s="18"/>
    </row>
    <row r="151" spans="1:32" x14ac:dyDescent="0.25">
      <c r="A151" s="99" t="s">
        <v>472</v>
      </c>
      <c r="B151" s="421">
        <v>1.96</v>
      </c>
      <c r="C151" s="420">
        <v>1</v>
      </c>
      <c r="D151"/>
      <c r="F151"/>
      <c r="G151"/>
      <c r="J151"/>
      <c r="K151"/>
      <c r="N151"/>
      <c r="O151"/>
      <c r="P151"/>
    </row>
    <row r="152" spans="1:32" x14ac:dyDescent="0.25">
      <c r="A152" s="36" t="s">
        <v>473</v>
      </c>
      <c r="B152" s="422">
        <v>3</v>
      </c>
      <c r="C152" s="420">
        <v>1</v>
      </c>
      <c r="D152"/>
      <c r="F152"/>
      <c r="G152"/>
      <c r="J152"/>
      <c r="K152"/>
      <c r="N152"/>
      <c r="O152"/>
      <c r="P152"/>
    </row>
    <row r="153" spans="1:32" x14ac:dyDescent="0.25">
      <c r="A153" s="36" t="s">
        <v>449</v>
      </c>
      <c r="B153" s="422">
        <v>2.72</v>
      </c>
      <c r="C153" s="420">
        <v>1</v>
      </c>
      <c r="D153"/>
      <c r="F153"/>
      <c r="G153"/>
      <c r="J153"/>
      <c r="K153"/>
      <c r="N153"/>
      <c r="O153"/>
      <c r="P153"/>
    </row>
    <row r="154" spans="1:32" x14ac:dyDescent="0.25">
      <c r="A154" s="36" t="s">
        <v>450</v>
      </c>
      <c r="B154" s="422">
        <v>2.72</v>
      </c>
      <c r="C154" s="420">
        <v>1</v>
      </c>
      <c r="D154"/>
      <c r="F154"/>
      <c r="G154"/>
      <c r="J154"/>
      <c r="K154"/>
      <c r="N154"/>
      <c r="O154"/>
      <c r="P154"/>
    </row>
    <row r="155" spans="1:32" x14ac:dyDescent="0.25">
      <c r="A155" s="36" t="s">
        <v>451</v>
      </c>
      <c r="B155" s="422">
        <v>2.5499999999999998</v>
      </c>
      <c r="C155" s="420">
        <v>1</v>
      </c>
      <c r="D155"/>
      <c r="F155"/>
      <c r="G155"/>
      <c r="J155"/>
      <c r="K155"/>
      <c r="N155"/>
      <c r="O155"/>
      <c r="P155"/>
    </row>
    <row r="156" spans="1:32" x14ac:dyDescent="0.25">
      <c r="A156" s="56" t="s">
        <v>474</v>
      </c>
      <c r="B156" s="423">
        <v>10</v>
      </c>
      <c r="C156" s="420">
        <v>10</v>
      </c>
      <c r="D156"/>
      <c r="F156"/>
      <c r="G156"/>
      <c r="J156"/>
      <c r="K156"/>
      <c r="N156"/>
      <c r="O156"/>
      <c r="P156"/>
    </row>
    <row r="157" spans="1:32" s="22" customFormat="1" x14ac:dyDescent="0.25">
      <c r="A157" s="52"/>
      <c r="B157" s="98"/>
    </row>
    <row r="158" spans="1:32" x14ac:dyDescent="0.25">
      <c r="A158" s="100" t="s">
        <v>232</v>
      </c>
      <c r="B158" s="101"/>
      <c r="C158" s="101"/>
      <c r="D158" s="58"/>
      <c r="G158"/>
      <c r="I158" s="22"/>
      <c r="K158"/>
      <c r="M158" s="22"/>
      <c r="P158"/>
    </row>
    <row r="159" spans="1:32" x14ac:dyDescent="0.25">
      <c r="C159" s="55" t="s">
        <v>230</v>
      </c>
      <c r="D159" s="56" t="s">
        <v>231</v>
      </c>
      <c r="G159"/>
      <c r="I159" s="22"/>
      <c r="K159"/>
      <c r="M159" s="22"/>
      <c r="P159"/>
    </row>
    <row r="160" spans="1:32" x14ac:dyDescent="0.25">
      <c r="A160" s="48" t="s">
        <v>236</v>
      </c>
      <c r="B160" s="49"/>
      <c r="C160" s="438">
        <v>0.85</v>
      </c>
      <c r="D160" s="438">
        <v>0.15</v>
      </c>
      <c r="G160"/>
      <c r="I160" s="22"/>
      <c r="K160"/>
      <c r="M160" s="22"/>
      <c r="P160"/>
    </row>
    <row r="161" spans="1:16" x14ac:dyDescent="0.25">
      <c r="A161" s="50" t="s">
        <v>235</v>
      </c>
      <c r="B161" s="51"/>
      <c r="C161" s="323">
        <v>0</v>
      </c>
      <c r="D161" s="323">
        <v>1</v>
      </c>
      <c r="G161"/>
      <c r="I161" s="22"/>
      <c r="K161"/>
      <c r="M161" s="22"/>
      <c r="P161"/>
    </row>
    <row r="162" spans="1:16" x14ac:dyDescent="0.25">
      <c r="A162" s="50" t="s">
        <v>237</v>
      </c>
      <c r="B162" s="51"/>
      <c r="C162" s="439">
        <v>0.9</v>
      </c>
      <c r="D162" s="439">
        <v>0.1</v>
      </c>
      <c r="G162"/>
      <c r="I162" s="22"/>
      <c r="K162"/>
      <c r="M162" s="22"/>
      <c r="P162"/>
    </row>
    <row r="163" spans="1:16" x14ac:dyDescent="0.25">
      <c r="A163" s="50" t="s">
        <v>238</v>
      </c>
      <c r="B163" s="51"/>
      <c r="C163" s="439">
        <v>0.45</v>
      </c>
      <c r="D163" s="439">
        <v>0.55000000000000004</v>
      </c>
      <c r="G163"/>
      <c r="I163" s="22"/>
      <c r="K163"/>
      <c r="M163" s="22"/>
      <c r="P163"/>
    </row>
    <row r="164" spans="1:16" x14ac:dyDescent="0.25">
      <c r="A164" s="50" t="s">
        <v>233</v>
      </c>
      <c r="B164" s="51"/>
      <c r="C164" s="439">
        <v>0.94</v>
      </c>
      <c r="D164" s="439">
        <v>0.06</v>
      </c>
      <c r="G164"/>
      <c r="I164" s="22"/>
      <c r="K164"/>
      <c r="M164" s="22"/>
      <c r="P164"/>
    </row>
    <row r="165" spans="1:16" x14ac:dyDescent="0.25">
      <c r="A165" s="52" t="s">
        <v>234</v>
      </c>
      <c r="B165" s="53"/>
      <c r="C165" s="440">
        <v>0.7</v>
      </c>
      <c r="D165" s="440">
        <v>0.3</v>
      </c>
      <c r="G165"/>
      <c r="I165" s="22"/>
      <c r="K165"/>
      <c r="M165" s="22"/>
      <c r="P165"/>
    </row>
    <row r="166" spans="1:16" x14ac:dyDescent="0.25">
      <c r="G166"/>
      <c r="I166" s="22"/>
      <c r="K166"/>
      <c r="M166" s="22"/>
      <c r="P166"/>
    </row>
    <row r="167" spans="1:16" s="18" customFormat="1" x14ac:dyDescent="0.25">
      <c r="A167" s="93" t="s">
        <v>331</v>
      </c>
    </row>
    <row r="168" spans="1:16" s="22" customFormat="1" x14ac:dyDescent="0.25">
      <c r="A168" s="97" t="s">
        <v>332</v>
      </c>
      <c r="B168" s="270">
        <v>0.1</v>
      </c>
      <c r="D168" s="270">
        <v>0.1</v>
      </c>
    </row>
    <row r="169" spans="1:16" s="22" customFormat="1" x14ac:dyDescent="0.25">
      <c r="A169" s="97" t="s">
        <v>333</v>
      </c>
      <c r="B169" s="274">
        <v>0.04</v>
      </c>
      <c r="D169" s="274">
        <v>0.04</v>
      </c>
    </row>
    <row r="170" spans="1:16" s="22" customFormat="1" x14ac:dyDescent="0.25">
      <c r="A170" s="97" t="s">
        <v>334</v>
      </c>
      <c r="B170" s="274">
        <v>0.04</v>
      </c>
      <c r="D170" s="274">
        <v>0.05</v>
      </c>
    </row>
    <row r="171" spans="1:16" s="22" customFormat="1" x14ac:dyDescent="0.25">
      <c r="A171" s="97" t="s">
        <v>335</v>
      </c>
      <c r="B171" s="270">
        <v>0.04</v>
      </c>
      <c r="D171" s="270">
        <v>0.05</v>
      </c>
    </row>
    <row r="172" spans="1:16" s="22" customFormat="1" x14ac:dyDescent="0.25"/>
    <row r="174" spans="1:16" x14ac:dyDescent="0.25">
      <c r="A174" s="93" t="s">
        <v>330</v>
      </c>
    </row>
    <row r="175" spans="1:16" x14ac:dyDescent="0.25">
      <c r="A175" s="18"/>
      <c r="B175" s="88"/>
      <c r="C175" s="88" t="s">
        <v>307</v>
      </c>
      <c r="D175" s="88"/>
    </row>
    <row r="176" spans="1:16" ht="60" x14ac:dyDescent="0.25">
      <c r="A176" s="85" t="s">
        <v>308</v>
      </c>
      <c r="B176" s="86" t="s">
        <v>310</v>
      </c>
      <c r="C176" s="86" t="s">
        <v>315</v>
      </c>
      <c r="D176" s="86" t="s">
        <v>309</v>
      </c>
    </row>
    <row r="177" spans="1:16" x14ac:dyDescent="0.25">
      <c r="A177" s="57" t="s">
        <v>316</v>
      </c>
      <c r="B177" s="270">
        <v>0.7</v>
      </c>
      <c r="C177" s="270">
        <v>0.25</v>
      </c>
      <c r="D177" s="270">
        <v>0.05</v>
      </c>
    </row>
    <row r="178" spans="1:16" x14ac:dyDescent="0.25">
      <c r="A178" s="57" t="s">
        <v>317</v>
      </c>
      <c r="B178" s="270">
        <v>0.5</v>
      </c>
      <c r="C178" s="270">
        <v>0.4</v>
      </c>
      <c r="D178" s="270">
        <v>0.1</v>
      </c>
    </row>
    <row r="179" spans="1:16" x14ac:dyDescent="0.25">
      <c r="A179" s="57" t="s">
        <v>318</v>
      </c>
      <c r="B179" s="270">
        <v>0.3</v>
      </c>
      <c r="C179" s="270">
        <v>0.5</v>
      </c>
      <c r="D179" s="270">
        <v>0.2</v>
      </c>
    </row>
    <row r="180" spans="1:16" s="22" customFormat="1" x14ac:dyDescent="0.25">
      <c r="A180" s="57" t="s">
        <v>319</v>
      </c>
      <c r="B180" s="270">
        <v>0.7</v>
      </c>
      <c r="C180" s="270">
        <v>0.25</v>
      </c>
      <c r="D180" s="270">
        <v>0.05</v>
      </c>
    </row>
    <row r="181" spans="1:16" x14ac:dyDescent="0.25">
      <c r="A181" s="57" t="s">
        <v>320</v>
      </c>
      <c r="B181" s="270">
        <v>0.5</v>
      </c>
      <c r="C181" s="270">
        <v>0.4</v>
      </c>
      <c r="D181" s="270">
        <v>0.1</v>
      </c>
    </row>
    <row r="182" spans="1:16" x14ac:dyDescent="0.25">
      <c r="A182" s="57" t="s">
        <v>321</v>
      </c>
      <c r="B182" s="270">
        <v>0.3</v>
      </c>
      <c r="C182" s="270">
        <v>0.5</v>
      </c>
      <c r="D182" s="270">
        <v>0.2</v>
      </c>
    </row>
    <row r="183" spans="1:16" x14ac:dyDescent="0.25">
      <c r="A183" s="57" t="s">
        <v>322</v>
      </c>
      <c r="B183" s="270">
        <v>0.7</v>
      </c>
      <c r="C183" s="270">
        <v>0.25</v>
      </c>
      <c r="D183" s="270">
        <v>0.05</v>
      </c>
    </row>
    <row r="184" spans="1:16" x14ac:dyDescent="0.25">
      <c r="A184" s="57" t="s">
        <v>323</v>
      </c>
      <c r="B184" s="270">
        <v>0.5</v>
      </c>
      <c r="C184" s="270">
        <v>0.4</v>
      </c>
      <c r="D184" s="270">
        <v>0.1</v>
      </c>
    </row>
    <row r="185" spans="1:16" s="22" customFormat="1" x14ac:dyDescent="0.25">
      <c r="A185" s="57" t="s">
        <v>324</v>
      </c>
      <c r="B185" s="270">
        <v>0.3</v>
      </c>
      <c r="C185" s="270">
        <v>0.5</v>
      </c>
      <c r="D185" s="270">
        <v>0.2</v>
      </c>
    </row>
    <row r="187" spans="1:16" x14ac:dyDescent="0.25">
      <c r="A187" s="18" t="s">
        <v>314</v>
      </c>
      <c r="C187" s="88"/>
    </row>
    <row r="188" spans="1:16" ht="90" x14ac:dyDescent="0.25">
      <c r="A188" s="85"/>
      <c r="B188" s="86" t="s">
        <v>310</v>
      </c>
      <c r="C188" s="86" t="s">
        <v>315</v>
      </c>
      <c r="D188" s="86" t="s">
        <v>309</v>
      </c>
      <c r="F188" s="96" t="s">
        <v>312</v>
      </c>
    </row>
    <row r="189" spans="1:16" x14ac:dyDescent="0.25">
      <c r="A189" s="95">
        <v>0</v>
      </c>
      <c r="B189" s="270">
        <v>1.25</v>
      </c>
      <c r="C189" s="270">
        <v>1.1666666666666667</v>
      </c>
      <c r="D189" s="270">
        <v>1.0833333333333333</v>
      </c>
      <c r="N189"/>
      <c r="O189"/>
      <c r="P189"/>
    </row>
    <row r="190" spans="1:16" x14ac:dyDescent="0.25">
      <c r="A190" s="95">
        <v>0.1</v>
      </c>
      <c r="B190" s="270">
        <v>1.25</v>
      </c>
      <c r="C190" s="270">
        <v>1.1666666666666667</v>
      </c>
      <c r="D190" s="270">
        <v>1.0833333333333333</v>
      </c>
      <c r="N190"/>
      <c r="O190"/>
      <c r="P190"/>
    </row>
    <row r="191" spans="1:16" x14ac:dyDescent="0.25">
      <c r="A191" s="95">
        <v>0.2</v>
      </c>
      <c r="B191" s="270">
        <v>1.25</v>
      </c>
      <c r="C191" s="270">
        <v>1.1633333333333333</v>
      </c>
      <c r="D191" s="270">
        <v>1.0833333333333333</v>
      </c>
      <c r="N191"/>
      <c r="O191"/>
      <c r="P191"/>
    </row>
    <row r="192" spans="1:16" x14ac:dyDescent="0.25">
      <c r="A192" s="95">
        <v>0.3</v>
      </c>
      <c r="B192" s="270">
        <v>1.2466666666666668</v>
      </c>
      <c r="C192" s="270">
        <v>1.1599999999999999</v>
      </c>
      <c r="D192" s="270">
        <v>1.0833333333333333</v>
      </c>
      <c r="N192"/>
      <c r="O192"/>
      <c r="P192"/>
    </row>
    <row r="193" spans="1:16" x14ac:dyDescent="0.25">
      <c r="A193" s="95">
        <v>0.4</v>
      </c>
      <c r="B193" s="270">
        <v>1.2433333333333334</v>
      </c>
      <c r="C193" s="270">
        <v>1.1566666666666665</v>
      </c>
      <c r="D193" s="270">
        <v>1.0833333333333333</v>
      </c>
      <c r="N193"/>
      <c r="O193"/>
      <c r="P193"/>
    </row>
    <row r="194" spans="1:16" x14ac:dyDescent="0.25">
      <c r="A194" s="95">
        <v>0.5</v>
      </c>
      <c r="B194" s="270">
        <v>1.24</v>
      </c>
      <c r="C194" s="270">
        <v>1.1500000000000001</v>
      </c>
      <c r="D194" s="270">
        <v>1.08</v>
      </c>
      <c r="N194"/>
      <c r="O194"/>
      <c r="P194"/>
    </row>
    <row r="195" spans="1:16" x14ac:dyDescent="0.25">
      <c r="A195" s="95">
        <v>0.6</v>
      </c>
      <c r="B195" s="270">
        <v>1.2333333333333334</v>
      </c>
      <c r="C195" s="270">
        <v>1.1433333333333333</v>
      </c>
      <c r="D195" s="270">
        <v>1.0766666666666667</v>
      </c>
      <c r="N195"/>
      <c r="O195"/>
      <c r="P195"/>
    </row>
    <row r="196" spans="1:16" x14ac:dyDescent="0.25">
      <c r="A196" s="95">
        <v>0.7</v>
      </c>
      <c r="B196" s="270">
        <v>1.2</v>
      </c>
      <c r="C196" s="270">
        <v>1.1333333333333333</v>
      </c>
      <c r="D196" s="270">
        <v>1.0733333333333333</v>
      </c>
      <c r="N196"/>
      <c r="O196"/>
      <c r="P196"/>
    </row>
    <row r="197" spans="1:16" x14ac:dyDescent="0.25">
      <c r="A197" s="95">
        <v>0.8</v>
      </c>
      <c r="B197" s="270">
        <v>1.1500000000000001</v>
      </c>
      <c r="C197" s="270">
        <v>1.1166666666666667</v>
      </c>
      <c r="D197" s="270">
        <v>1.0666666666666667</v>
      </c>
      <c r="N197"/>
      <c r="O197"/>
      <c r="P197"/>
    </row>
    <row r="198" spans="1:16" x14ac:dyDescent="0.25">
      <c r="A198" s="95">
        <v>0.9</v>
      </c>
      <c r="B198" s="270">
        <v>1.0833333333333333</v>
      </c>
      <c r="C198" s="270">
        <v>1.0833333333333333</v>
      </c>
      <c r="D198" s="270">
        <v>1.05</v>
      </c>
      <c r="N198"/>
      <c r="O198"/>
      <c r="P198"/>
    </row>
    <row r="199" spans="1:16" x14ac:dyDescent="0.25">
      <c r="A199" s="95">
        <v>1</v>
      </c>
      <c r="B199" s="270">
        <v>1</v>
      </c>
      <c r="C199" s="270">
        <v>1</v>
      </c>
      <c r="D199" s="270">
        <v>1</v>
      </c>
      <c r="N199"/>
      <c r="O199"/>
      <c r="P199"/>
    </row>
    <row r="200" spans="1:16" x14ac:dyDescent="0.25">
      <c r="A200" s="95">
        <v>1.1000000000000001</v>
      </c>
      <c r="B200" s="270">
        <v>0.91666666666666663</v>
      </c>
      <c r="C200" s="270">
        <v>0.91666666666666663</v>
      </c>
      <c r="D200" s="270">
        <v>0.93333333333333324</v>
      </c>
      <c r="N200"/>
      <c r="O200"/>
      <c r="P200"/>
    </row>
    <row r="201" spans="1:16" x14ac:dyDescent="0.25">
      <c r="A201" s="95">
        <v>1.2</v>
      </c>
      <c r="B201" s="270">
        <v>0.85</v>
      </c>
      <c r="C201" s="270">
        <v>0.8833333333333333</v>
      </c>
      <c r="D201" s="270">
        <v>0.9</v>
      </c>
      <c r="N201"/>
      <c r="O201"/>
      <c r="P201"/>
    </row>
    <row r="202" spans="1:16" x14ac:dyDescent="0.25">
      <c r="A202" s="95">
        <v>1.3</v>
      </c>
      <c r="B202" s="270">
        <v>0.79999999999999993</v>
      </c>
      <c r="C202" s="270">
        <v>0.8666666666666667</v>
      </c>
      <c r="D202" s="270">
        <v>0.8833333333333333</v>
      </c>
      <c r="N202"/>
      <c r="O202"/>
      <c r="P202"/>
    </row>
    <row r="203" spans="1:16" x14ac:dyDescent="0.25">
      <c r="A203" s="95">
        <v>1.4</v>
      </c>
      <c r="B203" s="270">
        <v>0.76666666666666661</v>
      </c>
      <c r="C203" s="270">
        <v>0.85666666666666658</v>
      </c>
      <c r="D203" s="270">
        <v>0.87333333333333341</v>
      </c>
      <c r="N203"/>
      <c r="O203"/>
      <c r="P203"/>
    </row>
    <row r="204" spans="1:16" x14ac:dyDescent="0.25">
      <c r="A204" s="95">
        <v>1.5</v>
      </c>
      <c r="B204" s="270">
        <v>0.76000000000000012</v>
      </c>
      <c r="C204" s="270">
        <v>0.85</v>
      </c>
      <c r="D204" s="270">
        <v>0.87</v>
      </c>
      <c r="N204"/>
      <c r="O204"/>
      <c r="P204"/>
    </row>
    <row r="205" spans="1:16" x14ac:dyDescent="0.25">
      <c r="A205" s="95">
        <v>1.6</v>
      </c>
      <c r="B205" s="270">
        <v>0.75666666666666671</v>
      </c>
      <c r="C205" s="270">
        <v>0.84333333333333338</v>
      </c>
      <c r="D205" s="270">
        <v>0.8666666666666667</v>
      </c>
      <c r="N205"/>
      <c r="O205"/>
      <c r="P205"/>
    </row>
    <row r="206" spans="1:16" x14ac:dyDescent="0.25">
      <c r="A206" s="95">
        <v>1.7</v>
      </c>
      <c r="B206" s="270">
        <v>0.7533333333333333</v>
      </c>
      <c r="C206" s="270">
        <v>0.84</v>
      </c>
      <c r="D206" s="270">
        <v>0.8666666666666667</v>
      </c>
      <c r="N206"/>
      <c r="O206"/>
      <c r="P206"/>
    </row>
    <row r="207" spans="1:16" x14ac:dyDescent="0.25">
      <c r="A207" s="95">
        <v>1.8</v>
      </c>
      <c r="B207" s="270">
        <v>0.75</v>
      </c>
      <c r="C207" s="270">
        <v>0.83666666666666656</v>
      </c>
      <c r="D207" s="270">
        <v>0.8666666666666667</v>
      </c>
      <c r="N207"/>
      <c r="O207"/>
      <c r="P207"/>
    </row>
    <row r="208" spans="1:16" x14ac:dyDescent="0.25">
      <c r="A208" s="95">
        <v>1.9</v>
      </c>
      <c r="B208" s="270">
        <v>0.75</v>
      </c>
      <c r="C208" s="270">
        <v>0.83333333333333337</v>
      </c>
      <c r="D208" s="270">
        <v>0.8666666666666667</v>
      </c>
      <c r="N208"/>
      <c r="O208"/>
      <c r="P208"/>
    </row>
    <row r="209" spans="1:16" x14ac:dyDescent="0.25">
      <c r="A209" s="95">
        <v>2</v>
      </c>
      <c r="B209" s="270">
        <v>0.75</v>
      </c>
      <c r="C209" s="270">
        <v>0.83333333333333337</v>
      </c>
      <c r="D209" s="270">
        <v>0.8666666666666667</v>
      </c>
      <c r="N209"/>
      <c r="O209"/>
      <c r="P209"/>
    </row>
    <row r="258" spans="1:8" x14ac:dyDescent="0.25">
      <c r="A258" s="22" t="s">
        <v>521</v>
      </c>
      <c r="B258" s="175"/>
      <c r="C258" s="175"/>
      <c r="D258" s="175"/>
      <c r="E258" s="175"/>
      <c r="F258" s="175"/>
      <c r="G258" s="175"/>
      <c r="H258" s="175"/>
    </row>
    <row r="259" spans="1:8" ht="15.75" thickBot="1" x14ac:dyDescent="0.3">
      <c r="A259" s="526" t="s">
        <v>522</v>
      </c>
      <c r="B259" s="506"/>
      <c r="C259" s="506"/>
      <c r="D259" s="506"/>
      <c r="E259" s="506"/>
      <c r="F259" s="506"/>
      <c r="G259" s="506"/>
      <c r="H259" s="506"/>
    </row>
    <row r="260" spans="1:8" ht="15.75" thickBot="1" x14ac:dyDescent="0.3">
      <c r="A260" s="176"/>
      <c r="B260" s="527" t="s">
        <v>22</v>
      </c>
      <c r="C260" s="528" t="s">
        <v>523</v>
      </c>
      <c r="D260" s="529"/>
      <c r="E260" s="529"/>
      <c r="F260" s="529"/>
      <c r="G260" s="529"/>
      <c r="H260" s="530"/>
    </row>
    <row r="261" spans="1:8" ht="15.75" thickBot="1" x14ac:dyDescent="0.3">
      <c r="A261" s="177"/>
      <c r="B261" s="504"/>
      <c r="C261" s="178" t="s">
        <v>524</v>
      </c>
      <c r="D261" s="179" t="s">
        <v>525</v>
      </c>
      <c r="E261" s="179" t="s">
        <v>526</v>
      </c>
      <c r="F261" s="179" t="s">
        <v>527</v>
      </c>
      <c r="G261" s="179" t="s">
        <v>528</v>
      </c>
      <c r="H261" s="180"/>
    </row>
    <row r="262" spans="1:8" x14ac:dyDescent="0.25">
      <c r="A262" s="531" t="s">
        <v>529</v>
      </c>
      <c r="B262" s="181" t="s">
        <v>10</v>
      </c>
      <c r="C262" s="182">
        <v>2.8340657907947889E-2</v>
      </c>
      <c r="D262" s="183">
        <v>1.664305929319414E-3</v>
      </c>
      <c r="E262" s="183">
        <v>3.8751257537830365E-3</v>
      </c>
      <c r="F262" s="183">
        <v>1.2148628399099491E-2</v>
      </c>
      <c r="G262" s="183">
        <v>4.4273433888258485E-3</v>
      </c>
      <c r="H262" s="184"/>
    </row>
    <row r="263" spans="1:8" x14ac:dyDescent="0.25">
      <c r="A263" s="514"/>
      <c r="B263" s="185" t="s">
        <v>11</v>
      </c>
      <c r="C263" s="186">
        <v>2.9381711539853894E-3</v>
      </c>
      <c r="D263" s="187">
        <v>-3.2560544372126961E-3</v>
      </c>
      <c r="E263" s="187">
        <v>-6.2804574417781867E-3</v>
      </c>
      <c r="F263" s="187">
        <v>-1.430266938344293E-3</v>
      </c>
      <c r="G263" s="187">
        <v>1.3472508808670732E-3</v>
      </c>
      <c r="H263" s="188"/>
    </row>
    <row r="264" spans="1:8" x14ac:dyDescent="0.25">
      <c r="A264" s="514"/>
      <c r="B264" s="185" t="s">
        <v>12</v>
      </c>
      <c r="C264" s="186">
        <v>-4.5955089256367173E-3</v>
      </c>
      <c r="D264" s="187">
        <v>-7.2782180180487677E-3</v>
      </c>
      <c r="E264" s="187">
        <v>-9.7735072363152112E-3</v>
      </c>
      <c r="F264" s="187">
        <v>-5.3505542242180794E-3</v>
      </c>
      <c r="G264" s="187">
        <v>-1.6748094265934884E-3</v>
      </c>
      <c r="H264" s="188"/>
    </row>
    <row r="265" spans="1:8" x14ac:dyDescent="0.25">
      <c r="A265" s="532"/>
      <c r="B265" s="189" t="s">
        <v>25</v>
      </c>
      <c r="C265" s="190">
        <v>1.1081726674024475E-2</v>
      </c>
      <c r="D265" s="191">
        <v>-2.882968911836131E-3</v>
      </c>
      <c r="E265" s="191">
        <v>-5.3170148415320065E-3</v>
      </c>
      <c r="F265" s="191">
        <v>9.2053289616751189E-4</v>
      </c>
      <c r="G265" s="191">
        <v>1.6289176191932651E-3</v>
      </c>
      <c r="H265" s="192"/>
    </row>
    <row r="266" spans="1:8" ht="15.75" thickBot="1" x14ac:dyDescent="0.3">
      <c r="A266" s="533" t="s">
        <v>530</v>
      </c>
      <c r="B266" s="193" t="s">
        <v>10</v>
      </c>
      <c r="C266" s="194">
        <v>3.5030047827855353E-3</v>
      </c>
      <c r="D266" s="195">
        <v>3.4326391146880281E-3</v>
      </c>
      <c r="E266" s="195">
        <v>2.2582148505865375E-3</v>
      </c>
      <c r="F266" s="195">
        <v>5.2570740460475872E-3</v>
      </c>
      <c r="G266" s="195">
        <v>4.5477703973299541E-3</v>
      </c>
      <c r="H266" s="196"/>
    </row>
    <row r="267" spans="1:8" x14ac:dyDescent="0.25">
      <c r="A267" s="514"/>
      <c r="B267" s="185" t="s">
        <v>11</v>
      </c>
      <c r="C267" s="186">
        <v>8.1693744748357385E-3</v>
      </c>
      <c r="D267" s="187">
        <v>5.4574580084512814E-3</v>
      </c>
      <c r="E267" s="187">
        <v>3.2763724280114341E-3</v>
      </c>
      <c r="F267" s="187">
        <v>9.2202935003937603E-3</v>
      </c>
      <c r="G267" s="187">
        <v>5.5259313348592189E-3</v>
      </c>
      <c r="H267" s="188"/>
    </row>
    <row r="268" spans="1:8" x14ac:dyDescent="0.25">
      <c r="A268" s="514"/>
      <c r="B268" s="185" t="s">
        <v>12</v>
      </c>
      <c r="C268" s="186">
        <v>8.5314619082661677E-3</v>
      </c>
      <c r="D268" s="187">
        <v>8.8218770136852063E-3</v>
      </c>
      <c r="E268" s="187">
        <v>3.299166542111061E-3</v>
      </c>
      <c r="F268" s="187">
        <v>1.0057452040383179E-2</v>
      </c>
      <c r="G268" s="187">
        <v>6.5505230615035262E-3</v>
      </c>
      <c r="H268" s="188"/>
    </row>
    <row r="269" spans="1:8" ht="15.75" thickBot="1" x14ac:dyDescent="0.3">
      <c r="A269" s="534"/>
      <c r="B269" s="197" t="s">
        <v>25</v>
      </c>
      <c r="C269" s="198">
        <v>6.6467873959410121E-3</v>
      </c>
      <c r="D269" s="199">
        <v>5.7085403451848015E-3</v>
      </c>
      <c r="E269" s="199">
        <v>3.140434451002871E-3</v>
      </c>
      <c r="F269" s="199">
        <v>8.5067086172980321E-3</v>
      </c>
      <c r="G269" s="199">
        <v>5.4432350716440651E-3</v>
      </c>
      <c r="H269" s="200"/>
    </row>
    <row r="270" spans="1:8" x14ac:dyDescent="0.25">
      <c r="B270" s="2"/>
      <c r="C270" s="1"/>
      <c r="D270" s="1"/>
      <c r="E270" s="1"/>
      <c r="F270" s="1"/>
      <c r="G270" s="1"/>
      <c r="H270" s="22"/>
    </row>
    <row r="271" spans="1:8" x14ac:dyDescent="0.25">
      <c r="A271" s="505" t="s">
        <v>531</v>
      </c>
      <c r="B271" s="506"/>
      <c r="C271" s="506"/>
      <c r="D271" s="506"/>
      <c r="E271" s="506"/>
      <c r="F271" s="506"/>
      <c r="G271" s="506"/>
      <c r="H271" s="506"/>
    </row>
    <row r="272" spans="1:8" ht="15.75" thickBot="1" x14ac:dyDescent="0.3">
      <c r="A272" s="526" t="s">
        <v>522</v>
      </c>
      <c r="B272" s="506"/>
      <c r="C272" s="506"/>
      <c r="D272" s="506"/>
      <c r="E272" s="506"/>
      <c r="F272" s="506"/>
      <c r="G272" s="506"/>
      <c r="H272" s="506"/>
    </row>
    <row r="273" spans="1:8" ht="15.75" thickBot="1" x14ac:dyDescent="0.3">
      <c r="A273" s="176"/>
      <c r="B273" s="527" t="s">
        <v>22</v>
      </c>
      <c r="C273" s="528" t="s">
        <v>523</v>
      </c>
      <c r="D273" s="529"/>
      <c r="E273" s="529"/>
      <c r="F273" s="529"/>
      <c r="G273" s="529"/>
      <c r="H273" s="530"/>
    </row>
    <row r="274" spans="1:8" ht="15.75" thickBot="1" x14ac:dyDescent="0.3">
      <c r="A274" s="177"/>
      <c r="B274" s="504"/>
      <c r="C274" s="178" t="s">
        <v>524</v>
      </c>
      <c r="D274" s="179" t="s">
        <v>525</v>
      </c>
      <c r="E274" s="179" t="s">
        <v>526</v>
      </c>
      <c r="F274" s="179" t="s">
        <v>527</v>
      </c>
      <c r="G274" s="179" t="s">
        <v>528</v>
      </c>
      <c r="H274" s="180"/>
    </row>
    <row r="275" spans="1:8" x14ac:dyDescent="0.25">
      <c r="A275" s="531" t="s">
        <v>532</v>
      </c>
      <c r="B275" s="181" t="s">
        <v>10</v>
      </c>
      <c r="C275" s="182">
        <v>2.9839896123976511E-2</v>
      </c>
      <c r="D275" s="183">
        <v>-3.8047324723378888E-3</v>
      </c>
      <c r="E275" s="183">
        <v>-1.2321978565065623E-3</v>
      </c>
      <c r="F275" s="183">
        <v>1.5737341972285272E-2</v>
      </c>
      <c r="G275" s="183">
        <v>5.6233283182067131E-3</v>
      </c>
      <c r="H275" s="184"/>
    </row>
    <row r="276" spans="1:8" x14ac:dyDescent="0.25">
      <c r="A276" s="514"/>
      <c r="B276" s="185" t="s">
        <v>11</v>
      </c>
      <c r="C276" s="186">
        <v>6.7092982810053811E-3</v>
      </c>
      <c r="D276" s="187">
        <v>-8.2393549641154064E-3</v>
      </c>
      <c r="E276" s="187">
        <v>-1.0353843947029521E-2</v>
      </c>
      <c r="F276" s="187">
        <v>7.3927976751058189E-3</v>
      </c>
      <c r="G276" s="187">
        <v>3.8850150375955884E-3</v>
      </c>
      <c r="H276" s="188"/>
    </row>
    <row r="277" spans="1:8" x14ac:dyDescent="0.25">
      <c r="A277" s="514"/>
      <c r="B277" s="185" t="s">
        <v>12</v>
      </c>
      <c r="C277" s="186">
        <v>5.2442048160038848E-3</v>
      </c>
      <c r="D277" s="187">
        <v>-1.5139128224537121E-2</v>
      </c>
      <c r="E277" s="187">
        <v>-1.4014834759836996E-2</v>
      </c>
      <c r="F277" s="187">
        <v>3.9275938105649529E-3</v>
      </c>
      <c r="G277" s="187">
        <v>2.2875933365448086E-3</v>
      </c>
      <c r="H277" s="188"/>
    </row>
    <row r="278" spans="1:8" x14ac:dyDescent="0.25">
      <c r="A278" s="532"/>
      <c r="B278" s="189" t="s">
        <v>25</v>
      </c>
      <c r="C278" s="190">
        <v>1.426516319422937E-2</v>
      </c>
      <c r="D278" s="191">
        <v>-8.678294079761454E-3</v>
      </c>
      <c r="E278" s="191">
        <v>-9.5514108830138181E-3</v>
      </c>
      <c r="F278" s="191">
        <v>8.7429460651107151E-3</v>
      </c>
      <c r="G278" s="191">
        <v>4.0552403582236772E-3</v>
      </c>
      <c r="H278" s="192"/>
    </row>
    <row r="279" spans="1:8" ht="15.75" thickBot="1" x14ac:dyDescent="0.3">
      <c r="A279" s="533" t="s">
        <v>533</v>
      </c>
      <c r="B279" s="193" t="s">
        <v>10</v>
      </c>
      <c r="C279" s="194">
        <v>2.3977670011563076E-3</v>
      </c>
      <c r="D279" s="195">
        <v>2.7511398008371471E-3</v>
      </c>
      <c r="E279" s="195">
        <v>1.5727679908447896E-3</v>
      </c>
      <c r="F279" s="195">
        <v>3.6174374614880204E-3</v>
      </c>
      <c r="G279" s="195">
        <v>4.0103149129517568E-3</v>
      </c>
      <c r="H279" s="196"/>
    </row>
    <row r="280" spans="1:8" x14ac:dyDescent="0.25">
      <c r="A280" s="514"/>
      <c r="B280" s="185" t="s">
        <v>11</v>
      </c>
      <c r="C280" s="186">
        <v>5.7813989008474662E-3</v>
      </c>
      <c r="D280" s="187">
        <v>4.4146769133810906E-3</v>
      </c>
      <c r="E280" s="187">
        <v>2.2826439295551425E-3</v>
      </c>
      <c r="F280" s="187">
        <v>6.4778828129369781E-3</v>
      </c>
      <c r="G280" s="187">
        <v>4.7589230725293202E-3</v>
      </c>
      <c r="H280" s="188"/>
    </row>
    <row r="281" spans="1:8" x14ac:dyDescent="0.25">
      <c r="A281" s="514"/>
      <c r="B281" s="185" t="s">
        <v>12</v>
      </c>
      <c r="C281" s="186">
        <v>6.0312150277493926E-3</v>
      </c>
      <c r="D281" s="187">
        <v>7.1129505712481562E-3</v>
      </c>
      <c r="E281" s="187">
        <v>2.3250443958453327E-3</v>
      </c>
      <c r="F281" s="187">
        <v>7.0961543606197558E-3</v>
      </c>
      <c r="G281" s="187">
        <v>5.5198679498441533E-3</v>
      </c>
      <c r="H281" s="188"/>
    </row>
    <row r="282" spans="1:8" ht="15.75" thickBot="1" x14ac:dyDescent="0.3">
      <c r="A282" s="534"/>
      <c r="B282" s="197" t="s">
        <v>25</v>
      </c>
      <c r="C282" s="198">
        <f>C283-C284</f>
        <v>4.7000000000000002E-3</v>
      </c>
      <c r="D282" s="198">
        <f>D283-D284</f>
        <v>4.8000000000000004E-3</v>
      </c>
      <c r="E282" s="198">
        <f>E283-E284</f>
        <v>2.2000000000000001E-3</v>
      </c>
      <c r="F282" s="198">
        <f>F283-F284</f>
        <v>6.0000000000000001E-3</v>
      </c>
      <c r="G282" s="198">
        <f>G283-G284</f>
        <v>4.6999999999999993E-3</v>
      </c>
      <c r="H282" s="200"/>
    </row>
    <row r="283" spans="1:8" x14ac:dyDescent="0.25">
      <c r="A283" s="22" t="s">
        <v>534</v>
      </c>
      <c r="B283" s="2" t="s">
        <v>24</v>
      </c>
      <c r="C283" s="201">
        <v>7.0000000000000001E-3</v>
      </c>
      <c r="D283" s="201">
        <v>8.0000000000000002E-3</v>
      </c>
      <c r="E283" s="201">
        <v>4.0000000000000001E-3</v>
      </c>
      <c r="F283" s="201">
        <v>0.01</v>
      </c>
      <c r="G283" s="201">
        <v>1.0999999999999999E-2</v>
      </c>
      <c r="H283" s="22"/>
    </row>
    <row r="284" spans="1:8" x14ac:dyDescent="0.25">
      <c r="A284" s="22" t="s">
        <v>535</v>
      </c>
      <c r="B284" s="2" t="s">
        <v>24</v>
      </c>
      <c r="C284" s="202">
        <v>2.3E-3</v>
      </c>
      <c r="D284" s="202">
        <v>3.2000000000000002E-3</v>
      </c>
      <c r="E284" s="202">
        <v>1.8E-3</v>
      </c>
      <c r="F284" s="202">
        <v>4.0000000000000001E-3</v>
      </c>
      <c r="G284" s="202">
        <v>6.3E-3</v>
      </c>
      <c r="H284" s="22"/>
    </row>
    <row r="285" spans="1:8" x14ac:dyDescent="0.25">
      <c r="B285" s="2"/>
      <c r="C285" s="1"/>
      <c r="D285" s="1"/>
      <c r="E285" s="1"/>
      <c r="F285" s="1"/>
      <c r="G285" s="1"/>
      <c r="H285" s="22"/>
    </row>
    <row r="286" spans="1:8" x14ac:dyDescent="0.25">
      <c r="A286" s="505" t="s">
        <v>536</v>
      </c>
      <c r="B286" s="506"/>
      <c r="C286" s="506"/>
      <c r="D286" s="506"/>
      <c r="E286" s="506"/>
      <c r="F286" s="506"/>
      <c r="G286" s="506"/>
      <c r="H286" s="506"/>
    </row>
    <row r="287" spans="1:8" ht="15.75" thickBot="1" x14ac:dyDescent="0.3">
      <c r="A287" s="526" t="s">
        <v>522</v>
      </c>
      <c r="B287" s="535"/>
      <c r="C287" s="203"/>
      <c r="D287" s="203"/>
      <c r="E287" s="203"/>
      <c r="F287" s="203"/>
      <c r="G287" s="203"/>
      <c r="H287" s="203"/>
    </row>
    <row r="288" spans="1:8" ht="15.75" thickBot="1" x14ac:dyDescent="0.3">
      <c r="A288" s="203"/>
      <c r="B288" s="527" t="s">
        <v>22</v>
      </c>
      <c r="C288" s="528" t="s">
        <v>523</v>
      </c>
      <c r="D288" s="529"/>
      <c r="E288" s="529"/>
      <c r="F288" s="529"/>
      <c r="G288" s="529"/>
      <c r="H288" s="530"/>
    </row>
    <row r="289" spans="1:8" ht="15.75" thickBot="1" x14ac:dyDescent="0.3">
      <c r="A289" s="177"/>
      <c r="B289" s="504"/>
      <c r="C289" s="178" t="s">
        <v>524</v>
      </c>
      <c r="D289" s="179" t="s">
        <v>525</v>
      </c>
      <c r="E289" s="179" t="s">
        <v>526</v>
      </c>
      <c r="F289" s="179" t="s">
        <v>527</v>
      </c>
      <c r="G289" s="179" t="s">
        <v>528</v>
      </c>
      <c r="H289" s="180"/>
    </row>
    <row r="290" spans="1:8" x14ac:dyDescent="0.25">
      <c r="A290" s="531" t="s">
        <v>537</v>
      </c>
      <c r="B290" s="181" t="s">
        <v>10</v>
      </c>
      <c r="C290" s="182">
        <v>2.2355161035089452E-3</v>
      </c>
      <c r="D290" s="183">
        <v>-3.767079710777803E-4</v>
      </c>
      <c r="E290" s="183">
        <v>-3.8443738779234196E-3</v>
      </c>
      <c r="F290" s="183">
        <v>3.7560043415053065E-3</v>
      </c>
      <c r="G290" s="183">
        <v>5.4746892512165558E-3</v>
      </c>
      <c r="H290" s="184"/>
    </row>
    <row r="291" spans="1:8" x14ac:dyDescent="0.25">
      <c r="A291" s="514"/>
      <c r="B291" s="185" t="s">
        <v>11</v>
      </c>
      <c r="C291" s="186">
        <v>4.5882399278308426E-3</v>
      </c>
      <c r="D291" s="187">
        <v>-4.9556571244867515E-4</v>
      </c>
      <c r="E291" s="187">
        <v>-6.1432453708407673E-3</v>
      </c>
      <c r="F291" s="187">
        <v>2.1410794555742833E-3</v>
      </c>
      <c r="G291" s="187">
        <v>5.2674184679359316E-3</v>
      </c>
      <c r="H291" s="188"/>
    </row>
    <row r="292" spans="1:8" x14ac:dyDescent="0.25">
      <c r="A292" s="514"/>
      <c r="B292" s="185" t="s">
        <v>12</v>
      </c>
      <c r="C292" s="186">
        <v>6.8435334411385907E-3</v>
      </c>
      <c r="D292" s="187">
        <v>-1.0148314513910319E-3</v>
      </c>
      <c r="E292" s="187">
        <v>-7.1608315405965071E-3</v>
      </c>
      <c r="F292" s="187">
        <v>1.4098824524483638E-3</v>
      </c>
      <c r="G292" s="187">
        <v>5.0691306366252471E-3</v>
      </c>
      <c r="H292" s="188"/>
    </row>
    <row r="293" spans="1:8" x14ac:dyDescent="0.25">
      <c r="A293" s="532"/>
      <c r="B293" s="189" t="s">
        <v>25</v>
      </c>
      <c r="C293" s="190">
        <v>3.8667161333888326E-3</v>
      </c>
      <c r="D293" s="191">
        <v>-5.9030033114060006E-4</v>
      </c>
      <c r="E293" s="191">
        <v>-6.139407780804706E-3</v>
      </c>
      <c r="F293" s="191">
        <v>2.1447020040048404E-3</v>
      </c>
      <c r="G293" s="191">
        <v>5.2364844388382049E-3</v>
      </c>
      <c r="H293" s="192"/>
    </row>
    <row r="294" spans="1:8" ht="15.75" thickBot="1" x14ac:dyDescent="0.3">
      <c r="A294" s="533" t="s">
        <v>538</v>
      </c>
      <c r="B294" s="193" t="s">
        <v>10</v>
      </c>
      <c r="C294" s="194">
        <v>2.199157597363114E-3</v>
      </c>
      <c r="D294" s="195">
        <v>3.190214660819798E-3</v>
      </c>
      <c r="E294" s="195">
        <v>1.628018700164669E-3</v>
      </c>
      <c r="F294" s="195">
        <v>3.4293796695160144E-3</v>
      </c>
      <c r="G294" s="195">
        <v>2.9055369276497068E-3</v>
      </c>
      <c r="H294" s="196"/>
    </row>
    <row r="295" spans="1:8" x14ac:dyDescent="0.25">
      <c r="A295" s="514"/>
      <c r="B295" s="185" t="s">
        <v>11</v>
      </c>
      <c r="C295" s="186">
        <v>2.8798085483827448E-3</v>
      </c>
      <c r="D295" s="187">
        <v>3.6516122434575343E-3</v>
      </c>
      <c r="E295" s="187">
        <v>1.8664109154299645E-3</v>
      </c>
      <c r="F295" s="187">
        <v>4.3287192368252937E-3</v>
      </c>
      <c r="G295" s="187">
        <v>3.6935210242052471E-3</v>
      </c>
      <c r="H295" s="188"/>
    </row>
    <row r="296" spans="1:8" x14ac:dyDescent="0.25">
      <c r="A296" s="514"/>
      <c r="B296" s="185" t="s">
        <v>12</v>
      </c>
      <c r="C296" s="186">
        <v>4.3404344797726962E-3</v>
      </c>
      <c r="D296" s="187">
        <v>4.8865277410070984E-3</v>
      </c>
      <c r="E296" s="187">
        <v>1.933862102504041E-3</v>
      </c>
      <c r="F296" s="187">
        <v>4.5899296170683031E-3</v>
      </c>
      <c r="G296" s="187">
        <v>4.1731529765565425E-3</v>
      </c>
      <c r="H296" s="188"/>
    </row>
    <row r="297" spans="1:8" ht="15.75" thickBot="1" x14ac:dyDescent="0.3">
      <c r="A297" s="534"/>
      <c r="B297" s="197" t="s">
        <v>25</v>
      </c>
      <c r="C297" s="198">
        <f>C298-C299</f>
        <v>2.7999999999999995E-3</v>
      </c>
      <c r="D297" s="198">
        <f>D298-D299</f>
        <v>3.7999999999999996E-3</v>
      </c>
      <c r="E297" s="198">
        <f>E298-E299</f>
        <v>1.8999999999999998E-3</v>
      </c>
      <c r="F297" s="198">
        <f>F298-F299</f>
        <v>4.2999999999999991E-3</v>
      </c>
      <c r="G297" s="198">
        <f>G298-G299</f>
        <v>3.7000000000000002E-3</v>
      </c>
      <c r="H297" s="200"/>
    </row>
    <row r="298" spans="1:8" x14ac:dyDescent="0.25">
      <c r="A298" s="22" t="s">
        <v>539</v>
      </c>
      <c r="B298" s="2" t="s">
        <v>24</v>
      </c>
      <c r="C298" s="201">
        <v>5.4999999999999997E-3</v>
      </c>
      <c r="D298" s="201">
        <v>1.04E-2</v>
      </c>
      <c r="E298" s="201">
        <v>5.1999999999999998E-3</v>
      </c>
      <c r="F298" s="201">
        <v>9.2999999999999992E-3</v>
      </c>
      <c r="G298" s="201">
        <v>1.12E-2</v>
      </c>
      <c r="H298" s="22"/>
    </row>
    <row r="299" spans="1:8" x14ac:dyDescent="0.25">
      <c r="A299" s="22" t="s">
        <v>540</v>
      </c>
      <c r="B299" s="2" t="s">
        <v>24</v>
      </c>
      <c r="C299" s="202">
        <v>2.7000000000000001E-3</v>
      </c>
      <c r="D299" s="202">
        <v>6.6E-3</v>
      </c>
      <c r="E299" s="202">
        <v>3.3E-3</v>
      </c>
      <c r="F299" s="202">
        <v>5.0000000000000001E-3</v>
      </c>
      <c r="G299" s="202">
        <v>7.4999999999999997E-3</v>
      </c>
      <c r="H299" s="22"/>
    </row>
    <row r="300" spans="1:8" x14ac:dyDescent="0.25">
      <c r="B300" s="2"/>
      <c r="C300" s="1"/>
      <c r="D300" s="1"/>
      <c r="E300" s="1"/>
      <c r="F300" s="1"/>
      <c r="G300" s="1"/>
      <c r="H300" s="22"/>
    </row>
    <row r="301" spans="1:8" x14ac:dyDescent="0.25">
      <c r="A301"/>
      <c r="B301" s="2"/>
      <c r="C301" s="1"/>
      <c r="D301" s="1"/>
      <c r="E301" s="1"/>
      <c r="F301" s="1"/>
      <c r="G301" s="1"/>
    </row>
    <row r="302" spans="1:8" x14ac:dyDescent="0.25">
      <c r="A302"/>
      <c r="B302" s="2"/>
      <c r="C302" s="1"/>
      <c r="D302" s="1"/>
      <c r="E302" s="1"/>
      <c r="F302" s="1"/>
      <c r="G302" s="1"/>
    </row>
    <row r="303" spans="1:8" x14ac:dyDescent="0.25">
      <c r="A303"/>
      <c r="B303" s="2"/>
      <c r="C303" s="1"/>
      <c r="D303" s="1"/>
      <c r="E303" s="1"/>
      <c r="F303" s="1"/>
      <c r="G303" s="1"/>
    </row>
    <row r="304" spans="1:8" x14ac:dyDescent="0.25">
      <c r="A304"/>
      <c r="B304" s="2"/>
      <c r="C304" s="1"/>
      <c r="D304" s="1"/>
      <c r="E304" s="1"/>
      <c r="F304" s="1"/>
      <c r="G304" s="1"/>
    </row>
    <row r="305" spans="1:7" x14ac:dyDescent="0.25">
      <c r="A305"/>
      <c r="B305" s="2"/>
      <c r="C305" s="1"/>
      <c r="D305" s="1"/>
      <c r="E305" s="1"/>
      <c r="F305" s="1"/>
      <c r="G305" s="1"/>
    </row>
  </sheetData>
  <mergeCells count="59">
    <mergeCell ref="B65:B68"/>
    <mergeCell ref="B85:B88"/>
    <mergeCell ref="B89:B92"/>
    <mergeCell ref="B109:B112"/>
    <mergeCell ref="B113:B116"/>
    <mergeCell ref="A29:A52"/>
    <mergeCell ref="B29:B32"/>
    <mergeCell ref="B33:B36"/>
    <mergeCell ref="B45:B48"/>
    <mergeCell ref="B49:B52"/>
    <mergeCell ref="B37:B40"/>
    <mergeCell ref="B41:B44"/>
    <mergeCell ref="A5:A28"/>
    <mergeCell ref="B5:B8"/>
    <mergeCell ref="B25:B28"/>
    <mergeCell ref="B9:B12"/>
    <mergeCell ref="B21:B24"/>
    <mergeCell ref="B13:B16"/>
    <mergeCell ref="B17:B20"/>
    <mergeCell ref="A125:A148"/>
    <mergeCell ref="B125:B128"/>
    <mergeCell ref="B129:B132"/>
    <mergeCell ref="B141:B144"/>
    <mergeCell ref="B145:B148"/>
    <mergeCell ref="B133:B136"/>
    <mergeCell ref="B137:B140"/>
    <mergeCell ref="A101:A124"/>
    <mergeCell ref="B101:B104"/>
    <mergeCell ref="B105:B108"/>
    <mergeCell ref="B97:B100"/>
    <mergeCell ref="A53:A76"/>
    <mergeCell ref="B53:B56"/>
    <mergeCell ref="B57:B60"/>
    <mergeCell ref="B69:B72"/>
    <mergeCell ref="B73:B76"/>
    <mergeCell ref="B117:B120"/>
    <mergeCell ref="B121:B124"/>
    <mergeCell ref="A77:A100"/>
    <mergeCell ref="B77:B80"/>
    <mergeCell ref="B81:B84"/>
    <mergeCell ref="B93:B96"/>
    <mergeCell ref="B61:B64"/>
    <mergeCell ref="A290:A293"/>
    <mergeCell ref="A294:A297"/>
    <mergeCell ref="A279:A282"/>
    <mergeCell ref="A286:H286"/>
    <mergeCell ref="A287:B287"/>
    <mergeCell ref="B288:B289"/>
    <mergeCell ref="C288:H288"/>
    <mergeCell ref="A271:H271"/>
    <mergeCell ref="A272:H272"/>
    <mergeCell ref="B273:B274"/>
    <mergeCell ref="C273:H273"/>
    <mergeCell ref="A275:A278"/>
    <mergeCell ref="A259:H259"/>
    <mergeCell ref="B260:B261"/>
    <mergeCell ref="C260:H260"/>
    <mergeCell ref="A262:A265"/>
    <mergeCell ref="A266:A269"/>
  </mergeCells>
  <hyperlinks>
    <hyperlink ref="A1" location="'Main Menu'!A1" display="Return to Main Menu"/>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087"/>
  <sheetViews>
    <sheetView showGridLines="0" zoomScale="90" zoomScaleNormal="90" workbookViewId="0">
      <pane xSplit="5" ySplit="5" topLeftCell="F237" activePane="bottomRight" state="frozen"/>
      <selection pane="topRight" activeCell="F1" sqref="F1"/>
      <selection pane="bottomLeft" activeCell="A6" sqref="A6"/>
      <selection pane="bottomRight" activeCell="O85" sqref="O85"/>
    </sheetView>
  </sheetViews>
  <sheetFormatPr defaultRowHeight="15" x14ac:dyDescent="0.25"/>
  <cols>
    <col min="1" max="1" width="28.140625" bestFit="1" customWidth="1"/>
    <col min="2" max="2" width="8.28515625" bestFit="1" customWidth="1"/>
    <col min="3" max="3" width="13.140625" bestFit="1" customWidth="1"/>
    <col min="4" max="4" width="13.5703125" bestFit="1" customWidth="1"/>
    <col min="5" max="5" width="7.5703125" bestFit="1" customWidth="1"/>
    <col min="6" max="6" width="10.42578125" bestFit="1" customWidth="1"/>
    <col min="7" max="7" width="15" bestFit="1" customWidth="1"/>
    <col min="8" max="10" width="16.140625" bestFit="1" customWidth="1"/>
    <col min="11" max="12" width="15" bestFit="1" customWidth="1"/>
    <col min="13" max="13" width="9" bestFit="1" customWidth="1"/>
  </cols>
  <sheetData>
    <row r="1" spans="1:13" ht="39" customHeight="1" x14ac:dyDescent="0.25">
      <c r="A1" s="127" t="s">
        <v>34</v>
      </c>
    </row>
    <row r="2" spans="1:13" x14ac:dyDescent="0.25">
      <c r="A2" s="551" t="s">
        <v>160</v>
      </c>
      <c r="B2" s="546"/>
      <c r="C2" s="546"/>
      <c r="D2" s="546"/>
      <c r="E2" s="546"/>
      <c r="F2" s="546"/>
      <c r="G2" s="546"/>
      <c r="H2" s="546"/>
      <c r="I2" s="546"/>
      <c r="J2" s="546"/>
      <c r="K2" s="546"/>
      <c r="L2" s="546"/>
      <c r="M2" s="546"/>
    </row>
    <row r="3" spans="1:13" ht="15.75" thickBot="1" x14ac:dyDescent="0.3">
      <c r="A3" s="552" t="s">
        <v>23</v>
      </c>
      <c r="B3" s="546"/>
      <c r="C3" s="546"/>
      <c r="D3" s="546"/>
      <c r="E3" s="546"/>
      <c r="F3" s="546"/>
      <c r="G3" s="546"/>
      <c r="H3" s="546"/>
      <c r="I3" s="546"/>
      <c r="J3" s="546"/>
      <c r="K3" s="546"/>
      <c r="L3" s="546"/>
      <c r="M3" s="546"/>
    </row>
    <row r="4" spans="1:13" ht="15.75" thickBot="1" x14ac:dyDescent="0.3">
      <c r="A4" s="553" t="s">
        <v>503</v>
      </c>
      <c r="B4" s="555" t="s">
        <v>504</v>
      </c>
      <c r="C4" s="555" t="s">
        <v>505</v>
      </c>
      <c r="D4" s="557" t="s">
        <v>506</v>
      </c>
      <c r="E4" s="558"/>
      <c r="F4" s="559"/>
      <c r="G4" s="561" t="s">
        <v>507</v>
      </c>
      <c r="H4" s="562"/>
      <c r="I4" s="562"/>
      <c r="J4" s="562"/>
      <c r="K4" s="562"/>
      <c r="L4" s="563"/>
      <c r="M4" s="564" t="s">
        <v>24</v>
      </c>
    </row>
    <row r="5" spans="1:13" ht="15.75" thickBot="1" x14ac:dyDescent="0.3">
      <c r="A5" s="554"/>
      <c r="B5" s="556"/>
      <c r="C5" s="556"/>
      <c r="D5" s="556"/>
      <c r="E5" s="556"/>
      <c r="F5" s="560"/>
      <c r="G5" s="160" t="s">
        <v>508</v>
      </c>
      <c r="H5" s="161" t="s">
        <v>509</v>
      </c>
      <c r="I5" s="161" t="s">
        <v>510</v>
      </c>
      <c r="J5" s="161" t="s">
        <v>511</v>
      </c>
      <c r="K5" s="161" t="s">
        <v>512</v>
      </c>
      <c r="L5" s="161" t="s">
        <v>513</v>
      </c>
      <c r="M5" s="565"/>
    </row>
    <row r="6" spans="1:13" x14ac:dyDescent="0.25">
      <c r="A6" s="566" t="s">
        <v>12</v>
      </c>
      <c r="B6" s="569" t="s">
        <v>9</v>
      </c>
      <c r="C6" s="569" t="s">
        <v>7</v>
      </c>
      <c r="D6" s="569" t="s">
        <v>562</v>
      </c>
      <c r="E6" s="570" t="s">
        <v>159</v>
      </c>
      <c r="F6" s="28" t="s">
        <v>3</v>
      </c>
      <c r="G6" s="279">
        <v>0</v>
      </c>
      <c r="H6" s="280">
        <v>142094</v>
      </c>
      <c r="I6" s="280">
        <v>47419</v>
      </c>
      <c r="J6" s="280">
        <v>29498</v>
      </c>
      <c r="K6" s="280">
        <v>2975</v>
      </c>
      <c r="L6" s="280">
        <v>317</v>
      </c>
      <c r="M6" s="209">
        <v>222303</v>
      </c>
    </row>
    <row r="7" spans="1:13" x14ac:dyDescent="0.25">
      <c r="A7" s="567"/>
      <c r="B7" s="546"/>
      <c r="C7" s="546"/>
      <c r="D7" s="546"/>
      <c r="E7" s="546"/>
      <c r="F7" s="29" t="s">
        <v>2</v>
      </c>
      <c r="G7" s="281">
        <v>0</v>
      </c>
      <c r="H7" s="282">
        <v>75002</v>
      </c>
      <c r="I7" s="282">
        <v>30464</v>
      </c>
      <c r="J7" s="282">
        <v>20784</v>
      </c>
      <c r="K7" s="282">
        <v>3295</v>
      </c>
      <c r="L7" s="282">
        <v>0</v>
      </c>
      <c r="M7" s="210">
        <v>129545</v>
      </c>
    </row>
    <row r="8" spans="1:13" x14ac:dyDescent="0.25">
      <c r="A8" s="567"/>
      <c r="B8" s="546"/>
      <c r="C8" s="546"/>
      <c r="D8" s="546"/>
      <c r="E8" s="546"/>
      <c r="F8" s="29" t="s">
        <v>1</v>
      </c>
      <c r="G8" s="281">
        <v>0</v>
      </c>
      <c r="H8" s="282">
        <v>122172</v>
      </c>
      <c r="I8" s="282">
        <v>57828</v>
      </c>
      <c r="J8" s="282">
        <v>8055</v>
      </c>
      <c r="K8" s="282">
        <v>1074</v>
      </c>
      <c r="L8" s="282">
        <v>0</v>
      </c>
      <c r="M8" s="210">
        <v>189129</v>
      </c>
    </row>
    <row r="9" spans="1:13" x14ac:dyDescent="0.25">
      <c r="A9" s="567"/>
      <c r="B9" s="546"/>
      <c r="C9" s="546"/>
      <c r="D9" s="546"/>
      <c r="E9" s="546"/>
      <c r="F9" s="29" t="s">
        <v>0</v>
      </c>
      <c r="G9" s="281">
        <v>0</v>
      </c>
      <c r="H9" s="282">
        <v>79399</v>
      </c>
      <c r="I9" s="282">
        <v>18642</v>
      </c>
      <c r="J9" s="282">
        <v>8972</v>
      </c>
      <c r="K9" s="282">
        <v>903</v>
      </c>
      <c r="L9" s="282">
        <v>0</v>
      </c>
      <c r="M9" s="210">
        <v>107916</v>
      </c>
    </row>
    <row r="10" spans="1:13" x14ac:dyDescent="0.25">
      <c r="A10" s="567"/>
      <c r="B10" s="546"/>
      <c r="C10" s="546"/>
      <c r="D10" s="547"/>
      <c r="E10" s="549" t="s">
        <v>25</v>
      </c>
      <c r="F10" s="550"/>
      <c r="G10" s="283">
        <v>0</v>
      </c>
      <c r="H10" s="284">
        <v>418667</v>
      </c>
      <c r="I10" s="284">
        <v>154353</v>
      </c>
      <c r="J10" s="284">
        <v>67309</v>
      </c>
      <c r="K10" s="284">
        <v>8247</v>
      </c>
      <c r="L10" s="284">
        <v>317</v>
      </c>
      <c r="M10" s="211">
        <v>648893</v>
      </c>
    </row>
    <row r="11" spans="1:13" x14ac:dyDescent="0.25">
      <c r="A11" s="567"/>
      <c r="B11" s="546"/>
      <c r="C11" s="546"/>
      <c r="D11" s="545" t="s">
        <v>563</v>
      </c>
      <c r="E11" s="548" t="s">
        <v>159</v>
      </c>
      <c r="F11" s="30" t="s">
        <v>3</v>
      </c>
      <c r="G11" s="285">
        <v>0</v>
      </c>
      <c r="H11" s="286">
        <v>55700</v>
      </c>
      <c r="I11" s="286">
        <v>37651</v>
      </c>
      <c r="J11" s="286">
        <v>51463</v>
      </c>
      <c r="K11" s="286">
        <v>76183</v>
      </c>
      <c r="L11" s="286">
        <v>753</v>
      </c>
      <c r="M11" s="212">
        <v>221750</v>
      </c>
    </row>
    <row r="12" spans="1:13" x14ac:dyDescent="0.25">
      <c r="A12" s="567"/>
      <c r="B12" s="546"/>
      <c r="C12" s="546"/>
      <c r="D12" s="546"/>
      <c r="E12" s="546"/>
      <c r="F12" s="29" t="s">
        <v>2</v>
      </c>
      <c r="G12" s="281">
        <v>0</v>
      </c>
      <c r="H12" s="282">
        <v>5590</v>
      </c>
      <c r="I12" s="282">
        <v>22920</v>
      </c>
      <c r="J12" s="282">
        <v>89306</v>
      </c>
      <c r="K12" s="282">
        <v>55029</v>
      </c>
      <c r="L12" s="282">
        <v>2034</v>
      </c>
      <c r="M12" s="210">
        <v>174879</v>
      </c>
    </row>
    <row r="13" spans="1:13" x14ac:dyDescent="0.25">
      <c r="A13" s="567"/>
      <c r="B13" s="546"/>
      <c r="C13" s="546"/>
      <c r="D13" s="546"/>
      <c r="E13" s="546"/>
      <c r="F13" s="29" t="s">
        <v>1</v>
      </c>
      <c r="G13" s="281">
        <v>0</v>
      </c>
      <c r="H13" s="282">
        <v>9562</v>
      </c>
      <c r="I13" s="282">
        <v>75175</v>
      </c>
      <c r="J13" s="282">
        <v>37534</v>
      </c>
      <c r="K13" s="282">
        <v>47347</v>
      </c>
      <c r="L13" s="282">
        <v>123</v>
      </c>
      <c r="M13" s="210">
        <v>169741</v>
      </c>
    </row>
    <row r="14" spans="1:13" x14ac:dyDescent="0.25">
      <c r="A14" s="567"/>
      <c r="B14" s="546"/>
      <c r="C14" s="546"/>
      <c r="D14" s="546"/>
      <c r="E14" s="546"/>
      <c r="F14" s="29" t="s">
        <v>0</v>
      </c>
      <c r="G14" s="281">
        <v>0</v>
      </c>
      <c r="H14" s="282">
        <v>41479</v>
      </c>
      <c r="I14" s="282">
        <v>164484</v>
      </c>
      <c r="J14" s="282">
        <v>155027</v>
      </c>
      <c r="K14" s="282">
        <v>10008</v>
      </c>
      <c r="L14" s="282">
        <v>0</v>
      </c>
      <c r="M14" s="210">
        <v>370998</v>
      </c>
    </row>
    <row r="15" spans="1:13" x14ac:dyDescent="0.25">
      <c r="A15" s="567"/>
      <c r="B15" s="546"/>
      <c r="C15" s="546"/>
      <c r="D15" s="547"/>
      <c r="E15" s="549" t="s">
        <v>25</v>
      </c>
      <c r="F15" s="550"/>
      <c r="G15" s="283">
        <v>0</v>
      </c>
      <c r="H15" s="284">
        <v>112331</v>
      </c>
      <c r="I15" s="284">
        <v>300230</v>
      </c>
      <c r="J15" s="284">
        <v>333330</v>
      </c>
      <c r="K15" s="284">
        <v>188567</v>
      </c>
      <c r="L15" s="284">
        <v>2910</v>
      </c>
      <c r="M15" s="211">
        <v>937368</v>
      </c>
    </row>
    <row r="16" spans="1:13" x14ac:dyDescent="0.25">
      <c r="A16" s="567"/>
      <c r="B16" s="546"/>
      <c r="C16" s="546"/>
      <c r="D16" s="545" t="s">
        <v>564</v>
      </c>
      <c r="E16" s="548" t="s">
        <v>159</v>
      </c>
      <c r="F16" s="30" t="s">
        <v>3</v>
      </c>
      <c r="G16" s="285">
        <v>0</v>
      </c>
      <c r="H16" s="286">
        <v>108918</v>
      </c>
      <c r="I16" s="286">
        <v>64510</v>
      </c>
      <c r="J16" s="286">
        <v>48636</v>
      </c>
      <c r="K16" s="286">
        <v>17582</v>
      </c>
      <c r="L16" s="286">
        <v>0</v>
      </c>
      <c r="M16" s="212">
        <v>239646</v>
      </c>
    </row>
    <row r="17" spans="1:13" x14ac:dyDescent="0.25">
      <c r="A17" s="567"/>
      <c r="B17" s="546"/>
      <c r="C17" s="546"/>
      <c r="D17" s="546"/>
      <c r="E17" s="546"/>
      <c r="F17" s="29" t="s">
        <v>2</v>
      </c>
      <c r="G17" s="281">
        <v>0</v>
      </c>
      <c r="H17" s="282">
        <v>75353</v>
      </c>
      <c r="I17" s="282">
        <v>129774</v>
      </c>
      <c r="J17" s="282">
        <v>84155</v>
      </c>
      <c r="K17" s="282">
        <v>19983</v>
      </c>
      <c r="L17" s="282">
        <v>4098</v>
      </c>
      <c r="M17" s="210">
        <v>313363</v>
      </c>
    </row>
    <row r="18" spans="1:13" x14ac:dyDescent="0.25">
      <c r="A18" s="567"/>
      <c r="B18" s="546"/>
      <c r="C18" s="546"/>
      <c r="D18" s="546"/>
      <c r="E18" s="546"/>
      <c r="F18" s="29" t="s">
        <v>1</v>
      </c>
      <c r="G18" s="281">
        <v>0</v>
      </c>
      <c r="H18" s="282">
        <v>124505</v>
      </c>
      <c r="I18" s="282">
        <v>211934</v>
      </c>
      <c r="J18" s="282">
        <v>57420</v>
      </c>
      <c r="K18" s="282">
        <v>0</v>
      </c>
      <c r="L18" s="282">
        <v>0</v>
      </c>
      <c r="M18" s="210">
        <v>393859</v>
      </c>
    </row>
    <row r="19" spans="1:13" x14ac:dyDescent="0.25">
      <c r="A19" s="567"/>
      <c r="B19" s="546"/>
      <c r="C19" s="546"/>
      <c r="D19" s="546"/>
      <c r="E19" s="546"/>
      <c r="F19" s="29" t="s">
        <v>0</v>
      </c>
      <c r="G19" s="281">
        <v>0</v>
      </c>
      <c r="H19" s="282">
        <v>158625</v>
      </c>
      <c r="I19" s="282">
        <v>517599</v>
      </c>
      <c r="J19" s="282">
        <v>63432</v>
      </c>
      <c r="K19" s="282">
        <v>4318</v>
      </c>
      <c r="L19" s="282">
        <v>0</v>
      </c>
      <c r="M19" s="210">
        <v>743974</v>
      </c>
    </row>
    <row r="20" spans="1:13" x14ac:dyDescent="0.25">
      <c r="A20" s="567"/>
      <c r="B20" s="546"/>
      <c r="C20" s="546"/>
      <c r="D20" s="547"/>
      <c r="E20" s="549" t="s">
        <v>25</v>
      </c>
      <c r="F20" s="550"/>
      <c r="G20" s="283">
        <v>0</v>
      </c>
      <c r="H20" s="284">
        <v>467401</v>
      </c>
      <c r="I20" s="284">
        <v>923817</v>
      </c>
      <c r="J20" s="284">
        <v>253643</v>
      </c>
      <c r="K20" s="284">
        <v>41883</v>
      </c>
      <c r="L20" s="284">
        <v>4098</v>
      </c>
      <c r="M20" s="211">
        <v>1690842</v>
      </c>
    </row>
    <row r="21" spans="1:13" x14ac:dyDescent="0.25">
      <c r="A21" s="567"/>
      <c r="B21" s="546"/>
      <c r="C21" s="546"/>
      <c r="D21" s="545" t="s">
        <v>565</v>
      </c>
      <c r="E21" s="548" t="s">
        <v>159</v>
      </c>
      <c r="F21" s="30" t="s">
        <v>3</v>
      </c>
      <c r="G21" s="285">
        <v>0</v>
      </c>
      <c r="H21" s="286">
        <v>191738</v>
      </c>
      <c r="I21" s="286">
        <v>144464</v>
      </c>
      <c r="J21" s="286">
        <v>202449</v>
      </c>
      <c r="K21" s="286">
        <v>80415</v>
      </c>
      <c r="L21" s="286">
        <v>10849</v>
      </c>
      <c r="M21" s="212">
        <v>629915</v>
      </c>
    </row>
    <row r="22" spans="1:13" x14ac:dyDescent="0.25">
      <c r="A22" s="567"/>
      <c r="B22" s="546"/>
      <c r="C22" s="546"/>
      <c r="D22" s="546"/>
      <c r="E22" s="546"/>
      <c r="F22" s="29" t="s">
        <v>2</v>
      </c>
      <c r="G22" s="281">
        <v>0</v>
      </c>
      <c r="H22" s="282">
        <v>0</v>
      </c>
      <c r="I22" s="282">
        <v>4120</v>
      </c>
      <c r="J22" s="282">
        <v>15475</v>
      </c>
      <c r="K22" s="282">
        <v>2826</v>
      </c>
      <c r="L22" s="282">
        <v>0</v>
      </c>
      <c r="M22" s="210">
        <v>22421</v>
      </c>
    </row>
    <row r="23" spans="1:13" x14ac:dyDescent="0.25">
      <c r="A23" s="567"/>
      <c r="B23" s="546"/>
      <c r="C23" s="546"/>
      <c r="D23" s="546"/>
      <c r="E23" s="546"/>
      <c r="F23" s="29" t="s">
        <v>1</v>
      </c>
      <c r="G23" s="281">
        <v>0</v>
      </c>
      <c r="H23" s="282">
        <v>86419</v>
      </c>
      <c r="I23" s="282">
        <v>64091</v>
      </c>
      <c r="J23" s="282">
        <v>117613</v>
      </c>
      <c r="K23" s="282">
        <v>1302</v>
      </c>
      <c r="L23" s="282">
        <v>758</v>
      </c>
      <c r="M23" s="210">
        <v>270183</v>
      </c>
    </row>
    <row r="24" spans="1:13" x14ac:dyDescent="0.25">
      <c r="A24" s="567"/>
      <c r="B24" s="546"/>
      <c r="C24" s="546"/>
      <c r="D24" s="546"/>
      <c r="E24" s="546"/>
      <c r="F24" s="29" t="s">
        <v>0</v>
      </c>
      <c r="G24" s="281">
        <v>0</v>
      </c>
      <c r="H24" s="282">
        <v>13991</v>
      </c>
      <c r="I24" s="282">
        <v>30751</v>
      </c>
      <c r="J24" s="282">
        <v>7501</v>
      </c>
      <c r="K24" s="282">
        <v>0</v>
      </c>
      <c r="L24" s="282">
        <v>3107</v>
      </c>
      <c r="M24" s="210">
        <v>55350</v>
      </c>
    </row>
    <row r="25" spans="1:13" x14ac:dyDescent="0.25">
      <c r="A25" s="567"/>
      <c r="B25" s="546"/>
      <c r="C25" s="546"/>
      <c r="D25" s="547"/>
      <c r="E25" s="549" t="s">
        <v>25</v>
      </c>
      <c r="F25" s="550"/>
      <c r="G25" s="283">
        <v>0</v>
      </c>
      <c r="H25" s="284">
        <v>292148</v>
      </c>
      <c r="I25" s="284">
        <v>243426</v>
      </c>
      <c r="J25" s="284">
        <v>343038</v>
      </c>
      <c r="K25" s="284">
        <v>84543</v>
      </c>
      <c r="L25" s="284">
        <v>14714</v>
      </c>
      <c r="M25" s="211">
        <v>977869</v>
      </c>
    </row>
    <row r="26" spans="1:13" x14ac:dyDescent="0.25">
      <c r="A26" s="567"/>
      <c r="B26" s="546"/>
      <c r="C26" s="546"/>
      <c r="D26" s="545" t="s">
        <v>566</v>
      </c>
      <c r="E26" s="548" t="s">
        <v>159</v>
      </c>
      <c r="F26" s="30" t="s">
        <v>3</v>
      </c>
      <c r="G26" s="285">
        <v>0</v>
      </c>
      <c r="H26" s="286">
        <v>2281</v>
      </c>
      <c r="I26" s="286">
        <v>2500</v>
      </c>
      <c r="J26" s="286">
        <v>39352</v>
      </c>
      <c r="K26" s="286">
        <v>15852</v>
      </c>
      <c r="L26" s="286">
        <v>0</v>
      </c>
      <c r="M26" s="212">
        <v>59985</v>
      </c>
    </row>
    <row r="27" spans="1:13" x14ac:dyDescent="0.25">
      <c r="A27" s="567"/>
      <c r="B27" s="546"/>
      <c r="C27" s="546"/>
      <c r="D27" s="546"/>
      <c r="E27" s="546"/>
      <c r="F27" s="29" t="s">
        <v>2</v>
      </c>
      <c r="G27" s="281">
        <v>0</v>
      </c>
      <c r="H27" s="282">
        <v>0</v>
      </c>
      <c r="I27" s="282">
        <v>0</v>
      </c>
      <c r="J27" s="282">
        <v>4768</v>
      </c>
      <c r="K27" s="282">
        <v>0</v>
      </c>
      <c r="L27" s="282">
        <v>0</v>
      </c>
      <c r="M27" s="210">
        <v>4768</v>
      </c>
    </row>
    <row r="28" spans="1:13" x14ac:dyDescent="0.25">
      <c r="A28" s="567"/>
      <c r="B28" s="546"/>
      <c r="C28" s="546"/>
      <c r="D28" s="546"/>
      <c r="E28" s="546"/>
      <c r="F28" s="29" t="s">
        <v>1</v>
      </c>
      <c r="G28" s="281">
        <v>0</v>
      </c>
      <c r="H28" s="282">
        <v>0</v>
      </c>
      <c r="I28" s="282">
        <v>58480</v>
      </c>
      <c r="J28" s="282">
        <v>6683</v>
      </c>
      <c r="K28" s="282">
        <v>1648</v>
      </c>
      <c r="L28" s="282">
        <v>3118</v>
      </c>
      <c r="M28" s="210">
        <v>69929</v>
      </c>
    </row>
    <row r="29" spans="1:13" x14ac:dyDescent="0.25">
      <c r="A29" s="567"/>
      <c r="B29" s="546"/>
      <c r="C29" s="546"/>
      <c r="D29" s="546"/>
      <c r="E29" s="546"/>
      <c r="F29" s="29" t="s">
        <v>0</v>
      </c>
      <c r="G29" s="281">
        <v>0</v>
      </c>
      <c r="H29" s="282">
        <v>0</v>
      </c>
      <c r="I29" s="282">
        <v>817</v>
      </c>
      <c r="J29" s="282">
        <v>425</v>
      </c>
      <c r="K29" s="282">
        <v>0</v>
      </c>
      <c r="L29" s="282">
        <v>0</v>
      </c>
      <c r="M29" s="210">
        <v>1242</v>
      </c>
    </row>
    <row r="30" spans="1:13" x14ac:dyDescent="0.25">
      <c r="A30" s="567"/>
      <c r="B30" s="546"/>
      <c r="C30" s="546"/>
      <c r="D30" s="547"/>
      <c r="E30" s="549" t="s">
        <v>25</v>
      </c>
      <c r="F30" s="550"/>
      <c r="G30" s="283">
        <v>0</v>
      </c>
      <c r="H30" s="284">
        <v>2281</v>
      </c>
      <c r="I30" s="284">
        <v>61797</v>
      </c>
      <c r="J30" s="284">
        <v>51228</v>
      </c>
      <c r="K30" s="284">
        <v>17500</v>
      </c>
      <c r="L30" s="284">
        <v>3118</v>
      </c>
      <c r="M30" s="211">
        <v>135924</v>
      </c>
    </row>
    <row r="31" spans="1:13" x14ac:dyDescent="0.25">
      <c r="A31" s="567"/>
      <c r="B31" s="546"/>
      <c r="C31" s="546"/>
      <c r="D31" s="545" t="s">
        <v>567</v>
      </c>
      <c r="E31" s="548" t="s">
        <v>159</v>
      </c>
      <c r="F31" s="30" t="s">
        <v>3</v>
      </c>
      <c r="G31" s="285">
        <v>0</v>
      </c>
      <c r="H31" s="286">
        <v>16298</v>
      </c>
      <c r="I31" s="286">
        <v>19664</v>
      </c>
      <c r="J31" s="286">
        <v>26508</v>
      </c>
      <c r="K31" s="286">
        <v>4870</v>
      </c>
      <c r="L31" s="287">
        <v>0</v>
      </c>
      <c r="M31" s="212">
        <v>67340</v>
      </c>
    </row>
    <row r="32" spans="1:13" x14ac:dyDescent="0.25">
      <c r="A32" s="567"/>
      <c r="B32" s="546"/>
      <c r="C32" s="546"/>
      <c r="D32" s="546"/>
      <c r="E32" s="546"/>
      <c r="F32" s="29" t="s">
        <v>2</v>
      </c>
      <c r="G32" s="281">
        <v>0</v>
      </c>
      <c r="H32" s="282">
        <v>0</v>
      </c>
      <c r="I32" s="282">
        <v>984</v>
      </c>
      <c r="J32" s="282">
        <v>0</v>
      </c>
      <c r="K32" s="282">
        <v>0</v>
      </c>
      <c r="L32" s="288">
        <v>0</v>
      </c>
      <c r="M32" s="210">
        <v>984</v>
      </c>
    </row>
    <row r="33" spans="1:13" x14ac:dyDescent="0.25">
      <c r="A33" s="567"/>
      <c r="B33" s="546"/>
      <c r="C33" s="546"/>
      <c r="D33" s="546"/>
      <c r="E33" s="546"/>
      <c r="F33" s="29" t="s">
        <v>1</v>
      </c>
      <c r="G33" s="281">
        <v>0</v>
      </c>
      <c r="H33" s="282">
        <v>12649</v>
      </c>
      <c r="I33" s="282">
        <v>23515</v>
      </c>
      <c r="J33" s="282">
        <v>25557</v>
      </c>
      <c r="K33" s="282">
        <v>3198</v>
      </c>
      <c r="L33" s="288">
        <v>0</v>
      </c>
      <c r="M33" s="210">
        <v>64919</v>
      </c>
    </row>
    <row r="34" spans="1:13" x14ac:dyDescent="0.25">
      <c r="A34" s="567"/>
      <c r="B34" s="546"/>
      <c r="C34" s="546"/>
      <c r="D34" s="546"/>
      <c r="E34" s="546"/>
      <c r="F34" s="29" t="s">
        <v>0</v>
      </c>
      <c r="G34" s="281">
        <v>0</v>
      </c>
      <c r="H34" s="282">
        <v>0</v>
      </c>
      <c r="I34" s="282">
        <v>5655</v>
      </c>
      <c r="J34" s="282">
        <v>19671</v>
      </c>
      <c r="K34" s="282">
        <v>0</v>
      </c>
      <c r="L34" s="288">
        <v>0</v>
      </c>
      <c r="M34" s="210">
        <v>25326</v>
      </c>
    </row>
    <row r="35" spans="1:13" x14ac:dyDescent="0.25">
      <c r="A35" s="567"/>
      <c r="B35" s="546"/>
      <c r="C35" s="546"/>
      <c r="D35" s="547"/>
      <c r="E35" s="549" t="s">
        <v>25</v>
      </c>
      <c r="F35" s="550"/>
      <c r="G35" s="283">
        <v>0</v>
      </c>
      <c r="H35" s="284">
        <v>28947</v>
      </c>
      <c r="I35" s="284">
        <v>49818</v>
      </c>
      <c r="J35" s="284">
        <v>71736</v>
      </c>
      <c r="K35" s="284">
        <v>8068</v>
      </c>
      <c r="L35" s="289">
        <v>0</v>
      </c>
      <c r="M35" s="211">
        <v>158569</v>
      </c>
    </row>
    <row r="36" spans="1:13" x14ac:dyDescent="0.25">
      <c r="A36" s="567"/>
      <c r="B36" s="546"/>
      <c r="C36" s="546"/>
      <c r="D36" s="545" t="s">
        <v>568</v>
      </c>
      <c r="E36" s="548" t="s">
        <v>159</v>
      </c>
      <c r="F36" s="30" t="s">
        <v>3</v>
      </c>
      <c r="G36" s="285">
        <v>0</v>
      </c>
      <c r="H36" s="286">
        <v>26870</v>
      </c>
      <c r="I36" s="286">
        <v>6182</v>
      </c>
      <c r="J36" s="286">
        <v>8993</v>
      </c>
      <c r="K36" s="286">
        <v>3536</v>
      </c>
      <c r="L36" s="287">
        <v>0</v>
      </c>
      <c r="M36" s="212">
        <v>45581</v>
      </c>
    </row>
    <row r="37" spans="1:13" x14ac:dyDescent="0.25">
      <c r="A37" s="567"/>
      <c r="B37" s="546"/>
      <c r="C37" s="546"/>
      <c r="D37" s="546"/>
      <c r="E37" s="546"/>
      <c r="F37" s="29" t="s">
        <v>2</v>
      </c>
      <c r="G37" s="281">
        <v>0</v>
      </c>
      <c r="H37" s="282">
        <v>5288</v>
      </c>
      <c r="I37" s="282">
        <v>19413</v>
      </c>
      <c r="J37" s="282">
        <v>2057</v>
      </c>
      <c r="K37" s="282">
        <v>0</v>
      </c>
      <c r="L37" s="288">
        <v>0</v>
      </c>
      <c r="M37" s="210">
        <v>26758</v>
      </c>
    </row>
    <row r="38" spans="1:13" x14ac:dyDescent="0.25">
      <c r="A38" s="567"/>
      <c r="B38" s="546"/>
      <c r="C38" s="546"/>
      <c r="D38" s="546"/>
      <c r="E38" s="546"/>
      <c r="F38" s="29" t="s">
        <v>1</v>
      </c>
      <c r="G38" s="281">
        <v>0</v>
      </c>
      <c r="H38" s="282">
        <v>0</v>
      </c>
      <c r="I38" s="282">
        <v>6507</v>
      </c>
      <c r="J38" s="282">
        <v>0</v>
      </c>
      <c r="K38" s="282">
        <v>0</v>
      </c>
      <c r="L38" s="288">
        <v>0</v>
      </c>
      <c r="M38" s="210">
        <v>6507</v>
      </c>
    </row>
    <row r="39" spans="1:13" x14ac:dyDescent="0.25">
      <c r="A39" s="567"/>
      <c r="B39" s="546"/>
      <c r="C39" s="546"/>
      <c r="D39" s="546"/>
      <c r="E39" s="546"/>
      <c r="F39" s="29" t="s">
        <v>0</v>
      </c>
      <c r="G39" s="281">
        <v>0</v>
      </c>
      <c r="H39" s="282">
        <v>8480</v>
      </c>
      <c r="I39" s="282">
        <v>0</v>
      </c>
      <c r="J39" s="282">
        <v>0</v>
      </c>
      <c r="K39" s="282">
        <v>0</v>
      </c>
      <c r="L39" s="288">
        <v>0</v>
      </c>
      <c r="M39" s="210">
        <v>8480</v>
      </c>
    </row>
    <row r="40" spans="1:13" x14ac:dyDescent="0.25">
      <c r="A40" s="567"/>
      <c r="B40" s="546"/>
      <c r="C40" s="546"/>
      <c r="D40" s="547"/>
      <c r="E40" s="549" t="s">
        <v>25</v>
      </c>
      <c r="F40" s="550"/>
      <c r="G40" s="283">
        <v>0</v>
      </c>
      <c r="H40" s="284">
        <v>40638</v>
      </c>
      <c r="I40" s="284">
        <v>32102</v>
      </c>
      <c r="J40" s="284">
        <v>11050</v>
      </c>
      <c r="K40" s="284">
        <v>3536</v>
      </c>
      <c r="L40" s="289">
        <v>0</v>
      </c>
      <c r="M40" s="211">
        <v>87326</v>
      </c>
    </row>
    <row r="41" spans="1:13" x14ac:dyDescent="0.25">
      <c r="A41" s="567"/>
      <c r="B41" s="546"/>
      <c r="C41" s="546"/>
      <c r="D41" s="545" t="s">
        <v>569</v>
      </c>
      <c r="E41" s="548" t="s">
        <v>159</v>
      </c>
      <c r="F41" s="30" t="s">
        <v>3</v>
      </c>
      <c r="G41" s="285">
        <v>0</v>
      </c>
      <c r="H41" s="286">
        <v>2791</v>
      </c>
      <c r="I41" s="286">
        <v>7585</v>
      </c>
      <c r="J41" s="286">
        <v>11853</v>
      </c>
      <c r="K41" s="286">
        <v>4931</v>
      </c>
      <c r="L41" s="287">
        <v>0</v>
      </c>
      <c r="M41" s="212">
        <v>27160</v>
      </c>
    </row>
    <row r="42" spans="1:13" x14ac:dyDescent="0.25">
      <c r="A42" s="567"/>
      <c r="B42" s="546"/>
      <c r="C42" s="546"/>
      <c r="D42" s="546"/>
      <c r="E42" s="546"/>
      <c r="F42" s="29" t="s">
        <v>2</v>
      </c>
      <c r="G42" s="281">
        <v>0</v>
      </c>
      <c r="H42" s="282">
        <v>836</v>
      </c>
      <c r="I42" s="282">
        <v>0</v>
      </c>
      <c r="J42" s="282">
        <v>3567</v>
      </c>
      <c r="K42" s="282">
        <v>4865</v>
      </c>
      <c r="L42" s="288">
        <v>0</v>
      </c>
      <c r="M42" s="210">
        <v>9268</v>
      </c>
    </row>
    <row r="43" spans="1:13" x14ac:dyDescent="0.25">
      <c r="A43" s="567"/>
      <c r="B43" s="546"/>
      <c r="C43" s="546"/>
      <c r="D43" s="546"/>
      <c r="E43" s="546"/>
      <c r="F43" s="29" t="s">
        <v>1</v>
      </c>
      <c r="G43" s="281">
        <v>0</v>
      </c>
      <c r="H43" s="282">
        <v>6870</v>
      </c>
      <c r="I43" s="282">
        <v>6730</v>
      </c>
      <c r="J43" s="282">
        <v>3580</v>
      </c>
      <c r="K43" s="282">
        <v>0</v>
      </c>
      <c r="L43" s="288">
        <v>0</v>
      </c>
      <c r="M43" s="210">
        <v>17180</v>
      </c>
    </row>
    <row r="44" spans="1:13" x14ac:dyDescent="0.25">
      <c r="A44" s="567"/>
      <c r="B44" s="546"/>
      <c r="C44" s="546"/>
      <c r="D44" s="546"/>
      <c r="E44" s="546"/>
      <c r="F44" s="29" t="s">
        <v>0</v>
      </c>
      <c r="G44" s="281">
        <v>0</v>
      </c>
      <c r="H44" s="282">
        <v>0</v>
      </c>
      <c r="I44" s="282">
        <v>12962</v>
      </c>
      <c r="J44" s="282">
        <v>5909</v>
      </c>
      <c r="K44" s="282">
        <v>0</v>
      </c>
      <c r="L44" s="288">
        <v>0</v>
      </c>
      <c r="M44" s="210">
        <v>18871</v>
      </c>
    </row>
    <row r="45" spans="1:13" x14ac:dyDescent="0.25">
      <c r="A45" s="567"/>
      <c r="B45" s="546"/>
      <c r="C45" s="546"/>
      <c r="D45" s="547"/>
      <c r="E45" s="549" t="s">
        <v>25</v>
      </c>
      <c r="F45" s="550"/>
      <c r="G45" s="283">
        <v>0</v>
      </c>
      <c r="H45" s="284">
        <v>10497</v>
      </c>
      <c r="I45" s="284">
        <v>27277</v>
      </c>
      <c r="J45" s="284">
        <v>24909</v>
      </c>
      <c r="K45" s="284">
        <v>9796</v>
      </c>
      <c r="L45" s="289">
        <v>0</v>
      </c>
      <c r="M45" s="211">
        <v>72479</v>
      </c>
    </row>
    <row r="46" spans="1:13" x14ac:dyDescent="0.25">
      <c r="A46" s="567"/>
      <c r="B46" s="546"/>
      <c r="C46" s="546"/>
      <c r="D46" s="545" t="s">
        <v>570</v>
      </c>
      <c r="E46" s="548" t="s">
        <v>159</v>
      </c>
      <c r="F46" s="30" t="s">
        <v>3</v>
      </c>
      <c r="G46" s="285">
        <v>0</v>
      </c>
      <c r="H46" s="286">
        <v>12408</v>
      </c>
      <c r="I46" s="286">
        <v>24392</v>
      </c>
      <c r="J46" s="286">
        <v>12358</v>
      </c>
      <c r="K46" s="286">
        <v>9296</v>
      </c>
      <c r="L46" s="287">
        <v>0</v>
      </c>
      <c r="M46" s="212">
        <v>58454</v>
      </c>
    </row>
    <row r="47" spans="1:13" x14ac:dyDescent="0.25">
      <c r="A47" s="567"/>
      <c r="B47" s="546"/>
      <c r="C47" s="546"/>
      <c r="D47" s="546"/>
      <c r="E47" s="546"/>
      <c r="F47" s="29" t="s">
        <v>2</v>
      </c>
      <c r="G47" s="281">
        <v>0</v>
      </c>
      <c r="H47" s="282">
        <v>900</v>
      </c>
      <c r="I47" s="282">
        <v>0</v>
      </c>
      <c r="J47" s="282">
        <v>3113</v>
      </c>
      <c r="K47" s="282">
        <v>3124</v>
      </c>
      <c r="L47" s="288">
        <v>0</v>
      </c>
      <c r="M47" s="210">
        <v>7137</v>
      </c>
    </row>
    <row r="48" spans="1:13" x14ac:dyDescent="0.25">
      <c r="A48" s="567"/>
      <c r="B48" s="546"/>
      <c r="C48" s="546"/>
      <c r="D48" s="546"/>
      <c r="E48" s="546"/>
      <c r="F48" s="29" t="s">
        <v>1</v>
      </c>
      <c r="G48" s="281">
        <v>0</v>
      </c>
      <c r="H48" s="282">
        <v>10594</v>
      </c>
      <c r="I48" s="282">
        <v>3437</v>
      </c>
      <c r="J48" s="282">
        <v>7302</v>
      </c>
      <c r="K48" s="282">
        <v>179</v>
      </c>
      <c r="L48" s="288">
        <v>0</v>
      </c>
      <c r="M48" s="210">
        <v>21512</v>
      </c>
    </row>
    <row r="49" spans="1:13" x14ac:dyDescent="0.25">
      <c r="A49" s="567"/>
      <c r="B49" s="546"/>
      <c r="C49" s="546"/>
      <c r="D49" s="546"/>
      <c r="E49" s="546"/>
      <c r="F49" s="29" t="s">
        <v>0</v>
      </c>
      <c r="G49" s="281">
        <v>0</v>
      </c>
      <c r="H49" s="282">
        <v>0</v>
      </c>
      <c r="I49" s="282">
        <v>10187</v>
      </c>
      <c r="J49" s="282">
        <v>0</v>
      </c>
      <c r="K49" s="282">
        <v>922</v>
      </c>
      <c r="L49" s="288">
        <v>0</v>
      </c>
      <c r="M49" s="210">
        <v>11109</v>
      </c>
    </row>
    <row r="50" spans="1:13" x14ac:dyDescent="0.25">
      <c r="A50" s="567"/>
      <c r="B50" s="546"/>
      <c r="C50" s="546"/>
      <c r="D50" s="547"/>
      <c r="E50" s="549" t="s">
        <v>25</v>
      </c>
      <c r="F50" s="550"/>
      <c r="G50" s="283">
        <v>0</v>
      </c>
      <c r="H50" s="284">
        <v>23902</v>
      </c>
      <c r="I50" s="284">
        <v>38016</v>
      </c>
      <c r="J50" s="284">
        <v>22773</v>
      </c>
      <c r="K50" s="284">
        <v>13521</v>
      </c>
      <c r="L50" s="289">
        <v>0</v>
      </c>
      <c r="M50" s="211">
        <v>98212</v>
      </c>
    </row>
    <row r="51" spans="1:13" x14ac:dyDescent="0.25">
      <c r="A51" s="567"/>
      <c r="B51" s="546"/>
      <c r="C51" s="546"/>
      <c r="D51" s="545" t="s">
        <v>571</v>
      </c>
      <c r="E51" s="548" t="s">
        <v>159</v>
      </c>
      <c r="F51" s="30" t="s">
        <v>3</v>
      </c>
      <c r="G51" s="285">
        <v>0</v>
      </c>
      <c r="H51" s="286">
        <v>155742</v>
      </c>
      <c r="I51" s="286">
        <v>283348</v>
      </c>
      <c r="J51" s="286">
        <v>282938</v>
      </c>
      <c r="K51" s="286">
        <v>153855</v>
      </c>
      <c r="L51" s="286">
        <v>34716</v>
      </c>
      <c r="M51" s="212">
        <v>910599</v>
      </c>
    </row>
    <row r="52" spans="1:13" x14ac:dyDescent="0.25">
      <c r="A52" s="567"/>
      <c r="B52" s="546"/>
      <c r="C52" s="546"/>
      <c r="D52" s="546"/>
      <c r="E52" s="546"/>
      <c r="F52" s="29" t="s">
        <v>2</v>
      </c>
      <c r="G52" s="281">
        <v>0</v>
      </c>
      <c r="H52" s="282">
        <v>159320</v>
      </c>
      <c r="I52" s="282">
        <v>95966</v>
      </c>
      <c r="J52" s="282">
        <v>61573</v>
      </c>
      <c r="K52" s="282">
        <v>30388</v>
      </c>
      <c r="L52" s="282">
        <v>15896</v>
      </c>
      <c r="M52" s="210">
        <v>363143</v>
      </c>
    </row>
    <row r="53" spans="1:13" x14ac:dyDescent="0.25">
      <c r="A53" s="567"/>
      <c r="B53" s="546"/>
      <c r="C53" s="546"/>
      <c r="D53" s="546"/>
      <c r="E53" s="546"/>
      <c r="F53" s="29" t="s">
        <v>1</v>
      </c>
      <c r="G53" s="281">
        <v>0</v>
      </c>
      <c r="H53" s="282">
        <v>72066</v>
      </c>
      <c r="I53" s="282">
        <v>126121</v>
      </c>
      <c r="J53" s="282">
        <v>26131</v>
      </c>
      <c r="K53" s="282">
        <v>9189</v>
      </c>
      <c r="L53" s="282">
        <v>0</v>
      </c>
      <c r="M53" s="210">
        <v>233507</v>
      </c>
    </row>
    <row r="54" spans="1:13" x14ac:dyDescent="0.25">
      <c r="A54" s="567"/>
      <c r="B54" s="546"/>
      <c r="C54" s="546"/>
      <c r="D54" s="546"/>
      <c r="E54" s="546"/>
      <c r="F54" s="29" t="s">
        <v>0</v>
      </c>
      <c r="G54" s="281">
        <v>0</v>
      </c>
      <c r="H54" s="282">
        <v>36695</v>
      </c>
      <c r="I54" s="282">
        <v>52817</v>
      </c>
      <c r="J54" s="282">
        <v>32713</v>
      </c>
      <c r="K54" s="282">
        <v>11407</v>
      </c>
      <c r="L54" s="282">
        <v>0</v>
      </c>
      <c r="M54" s="210">
        <v>133632</v>
      </c>
    </row>
    <row r="55" spans="1:13" x14ac:dyDescent="0.25">
      <c r="A55" s="567"/>
      <c r="B55" s="546"/>
      <c r="C55" s="546"/>
      <c r="D55" s="547"/>
      <c r="E55" s="549" t="s">
        <v>25</v>
      </c>
      <c r="F55" s="550"/>
      <c r="G55" s="283">
        <v>0</v>
      </c>
      <c r="H55" s="284">
        <v>423823</v>
      </c>
      <c r="I55" s="284">
        <v>558252</v>
      </c>
      <c r="J55" s="284">
        <v>403355</v>
      </c>
      <c r="K55" s="284">
        <v>204839</v>
      </c>
      <c r="L55" s="284">
        <v>50612</v>
      </c>
      <c r="M55" s="211">
        <v>1640881</v>
      </c>
    </row>
    <row r="56" spans="1:13" x14ac:dyDescent="0.25">
      <c r="A56" s="567"/>
      <c r="B56" s="546"/>
      <c r="C56" s="546"/>
      <c r="D56" s="545" t="s">
        <v>572</v>
      </c>
      <c r="E56" s="548" t="s">
        <v>159</v>
      </c>
      <c r="F56" s="30" t="s">
        <v>3</v>
      </c>
      <c r="G56" s="285">
        <v>0</v>
      </c>
      <c r="H56" s="286">
        <v>0</v>
      </c>
      <c r="I56" s="286">
        <v>12613</v>
      </c>
      <c r="J56" s="286">
        <v>13477</v>
      </c>
      <c r="K56" s="286">
        <v>17343</v>
      </c>
      <c r="L56" s="286">
        <v>8707</v>
      </c>
      <c r="M56" s="212">
        <v>52140</v>
      </c>
    </row>
    <row r="57" spans="1:13" x14ac:dyDescent="0.25">
      <c r="A57" s="567"/>
      <c r="B57" s="546"/>
      <c r="C57" s="546"/>
      <c r="D57" s="546"/>
      <c r="E57" s="546"/>
      <c r="F57" s="29" t="s">
        <v>2</v>
      </c>
      <c r="G57" s="281">
        <v>0</v>
      </c>
      <c r="H57" s="282">
        <v>1324</v>
      </c>
      <c r="I57" s="282">
        <v>693</v>
      </c>
      <c r="J57" s="282">
        <v>25910</v>
      </c>
      <c r="K57" s="282">
        <v>9640</v>
      </c>
      <c r="L57" s="282">
        <v>1510</v>
      </c>
      <c r="M57" s="210">
        <v>39077</v>
      </c>
    </row>
    <row r="58" spans="1:13" x14ac:dyDescent="0.25">
      <c r="A58" s="567"/>
      <c r="B58" s="546"/>
      <c r="C58" s="546"/>
      <c r="D58" s="546"/>
      <c r="E58" s="546"/>
      <c r="F58" s="29" t="s">
        <v>1</v>
      </c>
      <c r="G58" s="281">
        <v>0</v>
      </c>
      <c r="H58" s="282">
        <v>0</v>
      </c>
      <c r="I58" s="282">
        <v>276</v>
      </c>
      <c r="J58" s="282">
        <v>4472</v>
      </c>
      <c r="K58" s="282">
        <v>0</v>
      </c>
      <c r="L58" s="282">
        <v>0</v>
      </c>
      <c r="M58" s="210">
        <v>4748</v>
      </c>
    </row>
    <row r="59" spans="1:13" x14ac:dyDescent="0.25">
      <c r="A59" s="567"/>
      <c r="B59" s="546"/>
      <c r="C59" s="546"/>
      <c r="D59" s="546"/>
      <c r="E59" s="546"/>
      <c r="F59" s="29" t="s">
        <v>0</v>
      </c>
      <c r="G59" s="281">
        <v>0</v>
      </c>
      <c r="H59" s="282">
        <v>5374</v>
      </c>
      <c r="I59" s="282">
        <v>20178</v>
      </c>
      <c r="J59" s="282">
        <v>2708</v>
      </c>
      <c r="K59" s="282">
        <v>10524</v>
      </c>
      <c r="L59" s="282">
        <v>0</v>
      </c>
      <c r="M59" s="210">
        <v>38784</v>
      </c>
    </row>
    <row r="60" spans="1:13" x14ac:dyDescent="0.25">
      <c r="A60" s="567"/>
      <c r="B60" s="546"/>
      <c r="C60" s="546"/>
      <c r="D60" s="547"/>
      <c r="E60" s="549" t="s">
        <v>25</v>
      </c>
      <c r="F60" s="550"/>
      <c r="G60" s="283">
        <v>0</v>
      </c>
      <c r="H60" s="284">
        <v>6698</v>
      </c>
      <c r="I60" s="284">
        <v>33760</v>
      </c>
      <c r="J60" s="284">
        <v>46567</v>
      </c>
      <c r="K60" s="284">
        <v>37507</v>
      </c>
      <c r="L60" s="284">
        <v>10217</v>
      </c>
      <c r="M60" s="211">
        <v>134749</v>
      </c>
    </row>
    <row r="61" spans="1:13" x14ac:dyDescent="0.25">
      <c r="A61" s="567"/>
      <c r="B61" s="546"/>
      <c r="C61" s="546"/>
      <c r="D61" s="545" t="s">
        <v>573</v>
      </c>
      <c r="E61" s="548" t="s">
        <v>159</v>
      </c>
      <c r="F61" s="30" t="s">
        <v>3</v>
      </c>
      <c r="G61" s="285">
        <v>0</v>
      </c>
      <c r="H61" s="286">
        <v>17207</v>
      </c>
      <c r="I61" s="286">
        <v>8613</v>
      </c>
      <c r="J61" s="286">
        <v>3340</v>
      </c>
      <c r="K61" s="286">
        <v>0</v>
      </c>
      <c r="L61" s="287">
        <v>0</v>
      </c>
      <c r="M61" s="212">
        <v>29160</v>
      </c>
    </row>
    <row r="62" spans="1:13" x14ac:dyDescent="0.25">
      <c r="A62" s="567"/>
      <c r="B62" s="546"/>
      <c r="C62" s="546"/>
      <c r="D62" s="546"/>
      <c r="E62" s="546"/>
      <c r="F62" s="29" t="s">
        <v>2</v>
      </c>
      <c r="G62" s="281">
        <v>0</v>
      </c>
      <c r="H62" s="282">
        <v>3085</v>
      </c>
      <c r="I62" s="282">
        <v>7147</v>
      </c>
      <c r="J62" s="282">
        <v>4586</v>
      </c>
      <c r="K62" s="282">
        <v>5465</v>
      </c>
      <c r="L62" s="288">
        <v>0</v>
      </c>
      <c r="M62" s="210">
        <v>20283</v>
      </c>
    </row>
    <row r="63" spans="1:13" x14ac:dyDescent="0.25">
      <c r="A63" s="567"/>
      <c r="B63" s="546"/>
      <c r="C63" s="546"/>
      <c r="D63" s="546"/>
      <c r="E63" s="546"/>
      <c r="F63" s="29" t="s">
        <v>1</v>
      </c>
      <c r="G63" s="281">
        <v>0</v>
      </c>
      <c r="H63" s="282">
        <v>9312</v>
      </c>
      <c r="I63" s="282">
        <v>13484</v>
      </c>
      <c r="J63" s="282">
        <v>4738</v>
      </c>
      <c r="K63" s="282">
        <v>0</v>
      </c>
      <c r="L63" s="288">
        <v>0</v>
      </c>
      <c r="M63" s="210">
        <v>27534</v>
      </c>
    </row>
    <row r="64" spans="1:13" x14ac:dyDescent="0.25">
      <c r="A64" s="567"/>
      <c r="B64" s="546"/>
      <c r="C64" s="546"/>
      <c r="D64" s="546"/>
      <c r="E64" s="546"/>
      <c r="F64" s="29" t="s">
        <v>0</v>
      </c>
      <c r="G64" s="281">
        <v>0</v>
      </c>
      <c r="H64" s="282">
        <v>41111</v>
      </c>
      <c r="I64" s="282">
        <v>24791</v>
      </c>
      <c r="J64" s="282">
        <v>9319</v>
      </c>
      <c r="K64" s="282">
        <v>0</v>
      </c>
      <c r="L64" s="288">
        <v>0</v>
      </c>
      <c r="M64" s="210">
        <v>75221</v>
      </c>
    </row>
    <row r="65" spans="1:13" x14ac:dyDescent="0.25">
      <c r="A65" s="567"/>
      <c r="B65" s="546"/>
      <c r="C65" s="547"/>
      <c r="D65" s="547"/>
      <c r="E65" s="549" t="s">
        <v>25</v>
      </c>
      <c r="F65" s="550"/>
      <c r="G65" s="283">
        <v>0</v>
      </c>
      <c r="H65" s="284">
        <v>70715</v>
      </c>
      <c r="I65" s="284">
        <v>54035</v>
      </c>
      <c r="J65" s="284">
        <v>21983</v>
      </c>
      <c r="K65" s="284">
        <v>5465</v>
      </c>
      <c r="L65" s="289">
        <v>0</v>
      </c>
      <c r="M65" s="211">
        <v>152198</v>
      </c>
    </row>
    <row r="66" spans="1:13" x14ac:dyDescent="0.25">
      <c r="A66" s="567"/>
      <c r="B66" s="546"/>
      <c r="C66" s="545" t="s">
        <v>6</v>
      </c>
      <c r="D66" s="545" t="s">
        <v>562</v>
      </c>
      <c r="E66" s="548" t="s">
        <v>159</v>
      </c>
      <c r="F66" s="30" t="s">
        <v>3</v>
      </c>
      <c r="G66" s="285">
        <v>0</v>
      </c>
      <c r="H66" s="286">
        <v>77521</v>
      </c>
      <c r="I66" s="286">
        <v>79040</v>
      </c>
      <c r="J66" s="286">
        <v>81829</v>
      </c>
      <c r="K66" s="286">
        <v>13841</v>
      </c>
      <c r="L66" s="286">
        <v>0</v>
      </c>
      <c r="M66" s="212">
        <v>252231</v>
      </c>
    </row>
    <row r="67" spans="1:13" x14ac:dyDescent="0.25">
      <c r="A67" s="567"/>
      <c r="B67" s="546"/>
      <c r="C67" s="546"/>
      <c r="D67" s="546"/>
      <c r="E67" s="546"/>
      <c r="F67" s="29" t="s">
        <v>2</v>
      </c>
      <c r="G67" s="281">
        <v>0</v>
      </c>
      <c r="H67" s="282">
        <v>125579</v>
      </c>
      <c r="I67" s="282">
        <v>199939</v>
      </c>
      <c r="J67" s="282">
        <v>101086</v>
      </c>
      <c r="K67" s="282">
        <v>11723</v>
      </c>
      <c r="L67" s="282">
        <v>2603</v>
      </c>
      <c r="M67" s="210">
        <v>440930</v>
      </c>
    </row>
    <row r="68" spans="1:13" x14ac:dyDescent="0.25">
      <c r="A68" s="567"/>
      <c r="B68" s="546"/>
      <c r="C68" s="546"/>
      <c r="D68" s="546"/>
      <c r="E68" s="546"/>
      <c r="F68" s="29" t="s">
        <v>1</v>
      </c>
      <c r="G68" s="281">
        <v>0</v>
      </c>
      <c r="H68" s="282">
        <v>40906</v>
      </c>
      <c r="I68" s="282">
        <v>82910</v>
      </c>
      <c r="J68" s="282">
        <v>28551</v>
      </c>
      <c r="K68" s="282">
        <v>2697</v>
      </c>
      <c r="L68" s="282">
        <v>0</v>
      </c>
      <c r="M68" s="210">
        <v>155064</v>
      </c>
    </row>
    <row r="69" spans="1:13" x14ac:dyDescent="0.25">
      <c r="A69" s="567"/>
      <c r="B69" s="546"/>
      <c r="C69" s="546"/>
      <c r="D69" s="546"/>
      <c r="E69" s="546"/>
      <c r="F69" s="29" t="s">
        <v>0</v>
      </c>
      <c r="G69" s="281">
        <v>0</v>
      </c>
      <c r="H69" s="282">
        <v>103498</v>
      </c>
      <c r="I69" s="282">
        <v>252391</v>
      </c>
      <c r="J69" s="282">
        <v>39485</v>
      </c>
      <c r="K69" s="282">
        <v>3740</v>
      </c>
      <c r="L69" s="282">
        <v>0</v>
      </c>
      <c r="M69" s="210">
        <v>399114</v>
      </c>
    </row>
    <row r="70" spans="1:13" x14ac:dyDescent="0.25">
      <c r="A70" s="567"/>
      <c r="B70" s="546"/>
      <c r="C70" s="546"/>
      <c r="D70" s="547"/>
      <c r="E70" s="549" t="s">
        <v>25</v>
      </c>
      <c r="F70" s="550"/>
      <c r="G70" s="283">
        <v>0</v>
      </c>
      <c r="H70" s="284">
        <v>347504</v>
      </c>
      <c r="I70" s="284">
        <v>614280</v>
      </c>
      <c r="J70" s="284">
        <v>250951</v>
      </c>
      <c r="K70" s="284">
        <v>32001</v>
      </c>
      <c r="L70" s="284">
        <v>2603</v>
      </c>
      <c r="M70" s="211">
        <v>1247339</v>
      </c>
    </row>
    <row r="71" spans="1:13" x14ac:dyDescent="0.25">
      <c r="A71" s="567"/>
      <c r="B71" s="546"/>
      <c r="C71" s="546"/>
      <c r="D71" s="545" t="s">
        <v>563</v>
      </c>
      <c r="E71" s="548" t="s">
        <v>159</v>
      </c>
      <c r="F71" s="30" t="s">
        <v>3</v>
      </c>
      <c r="G71" s="285">
        <v>0</v>
      </c>
      <c r="H71" s="286">
        <v>0</v>
      </c>
      <c r="I71" s="286">
        <v>13026</v>
      </c>
      <c r="J71" s="286">
        <v>86187</v>
      </c>
      <c r="K71" s="286">
        <v>27116</v>
      </c>
      <c r="L71" s="287">
        <v>0</v>
      </c>
      <c r="M71" s="212">
        <v>126329</v>
      </c>
    </row>
    <row r="72" spans="1:13" x14ac:dyDescent="0.25">
      <c r="A72" s="567"/>
      <c r="B72" s="546"/>
      <c r="C72" s="546"/>
      <c r="D72" s="546"/>
      <c r="E72" s="546"/>
      <c r="F72" s="29" t="s">
        <v>2</v>
      </c>
      <c r="G72" s="281">
        <v>0</v>
      </c>
      <c r="H72" s="282">
        <v>4008</v>
      </c>
      <c r="I72" s="282">
        <v>33645</v>
      </c>
      <c r="J72" s="282">
        <v>111302</v>
      </c>
      <c r="K72" s="282">
        <v>18421</v>
      </c>
      <c r="L72" s="288">
        <v>0</v>
      </c>
      <c r="M72" s="210">
        <v>167376</v>
      </c>
    </row>
    <row r="73" spans="1:13" x14ac:dyDescent="0.25">
      <c r="A73" s="567"/>
      <c r="B73" s="546"/>
      <c r="C73" s="546"/>
      <c r="D73" s="546"/>
      <c r="E73" s="546"/>
      <c r="F73" s="29" t="s">
        <v>1</v>
      </c>
      <c r="G73" s="281">
        <v>0</v>
      </c>
      <c r="H73" s="282">
        <v>15420</v>
      </c>
      <c r="I73" s="282">
        <v>86039</v>
      </c>
      <c r="J73" s="282">
        <v>30756</v>
      </c>
      <c r="K73" s="282">
        <v>2843</v>
      </c>
      <c r="L73" s="288">
        <v>0</v>
      </c>
      <c r="M73" s="210">
        <v>135058</v>
      </c>
    </row>
    <row r="74" spans="1:13" x14ac:dyDescent="0.25">
      <c r="A74" s="567"/>
      <c r="B74" s="546"/>
      <c r="C74" s="546"/>
      <c r="D74" s="546"/>
      <c r="E74" s="546"/>
      <c r="F74" s="29" t="s">
        <v>0</v>
      </c>
      <c r="G74" s="281">
        <v>0</v>
      </c>
      <c r="H74" s="282">
        <v>10803</v>
      </c>
      <c r="I74" s="282">
        <v>156039</v>
      </c>
      <c r="J74" s="282">
        <v>83741</v>
      </c>
      <c r="K74" s="282">
        <v>9101</v>
      </c>
      <c r="L74" s="288">
        <v>0</v>
      </c>
      <c r="M74" s="210">
        <v>259684</v>
      </c>
    </row>
    <row r="75" spans="1:13" x14ac:dyDescent="0.25">
      <c r="A75" s="567"/>
      <c r="B75" s="546"/>
      <c r="C75" s="546"/>
      <c r="D75" s="547"/>
      <c r="E75" s="549" t="s">
        <v>25</v>
      </c>
      <c r="F75" s="550"/>
      <c r="G75" s="283">
        <v>0</v>
      </c>
      <c r="H75" s="284">
        <v>30231</v>
      </c>
      <c r="I75" s="284">
        <v>288749</v>
      </c>
      <c r="J75" s="284">
        <v>311986</v>
      </c>
      <c r="K75" s="284">
        <v>57481</v>
      </c>
      <c r="L75" s="289">
        <v>0</v>
      </c>
      <c r="M75" s="211">
        <v>688447</v>
      </c>
    </row>
    <row r="76" spans="1:13" x14ac:dyDescent="0.25">
      <c r="A76" s="567"/>
      <c r="B76" s="546"/>
      <c r="C76" s="546"/>
      <c r="D76" s="545" t="s">
        <v>564</v>
      </c>
      <c r="E76" s="548" t="s">
        <v>159</v>
      </c>
      <c r="F76" s="30" t="s">
        <v>3</v>
      </c>
      <c r="G76" s="285">
        <v>0</v>
      </c>
      <c r="H76" s="286">
        <v>8305</v>
      </c>
      <c r="I76" s="286">
        <v>34310</v>
      </c>
      <c r="J76" s="286">
        <v>22394</v>
      </c>
      <c r="K76" s="286">
        <v>0</v>
      </c>
      <c r="L76" s="287">
        <v>0</v>
      </c>
      <c r="M76" s="212">
        <v>65009</v>
      </c>
    </row>
    <row r="77" spans="1:13" x14ac:dyDescent="0.25">
      <c r="A77" s="567"/>
      <c r="B77" s="546"/>
      <c r="C77" s="546"/>
      <c r="D77" s="546"/>
      <c r="E77" s="546"/>
      <c r="F77" s="29" t="s">
        <v>2</v>
      </c>
      <c r="G77" s="281">
        <v>0</v>
      </c>
      <c r="H77" s="282">
        <v>6817</v>
      </c>
      <c r="I77" s="282">
        <v>62016</v>
      </c>
      <c r="J77" s="282">
        <v>7216</v>
      </c>
      <c r="K77" s="282">
        <v>4239</v>
      </c>
      <c r="L77" s="288">
        <v>0</v>
      </c>
      <c r="M77" s="210">
        <v>80288</v>
      </c>
    </row>
    <row r="78" spans="1:13" x14ac:dyDescent="0.25">
      <c r="A78" s="567"/>
      <c r="B78" s="546"/>
      <c r="C78" s="546"/>
      <c r="D78" s="546"/>
      <c r="E78" s="546"/>
      <c r="F78" s="29" t="s">
        <v>1</v>
      </c>
      <c r="G78" s="281">
        <v>0</v>
      </c>
      <c r="H78" s="282">
        <v>40067</v>
      </c>
      <c r="I78" s="282">
        <v>39647</v>
      </c>
      <c r="J78" s="282">
        <v>8691</v>
      </c>
      <c r="K78" s="282">
        <v>3062</v>
      </c>
      <c r="L78" s="288">
        <v>0</v>
      </c>
      <c r="M78" s="210">
        <v>91467</v>
      </c>
    </row>
    <row r="79" spans="1:13" x14ac:dyDescent="0.25">
      <c r="A79" s="567"/>
      <c r="B79" s="546"/>
      <c r="C79" s="546"/>
      <c r="D79" s="546"/>
      <c r="E79" s="546"/>
      <c r="F79" s="29" t="s">
        <v>0</v>
      </c>
      <c r="G79" s="281">
        <v>0</v>
      </c>
      <c r="H79" s="282">
        <v>59101</v>
      </c>
      <c r="I79" s="282">
        <v>163971</v>
      </c>
      <c r="J79" s="282">
        <v>18954</v>
      </c>
      <c r="K79" s="282">
        <v>0</v>
      </c>
      <c r="L79" s="288">
        <v>0</v>
      </c>
      <c r="M79" s="210">
        <v>242026</v>
      </c>
    </row>
    <row r="80" spans="1:13" x14ac:dyDescent="0.25">
      <c r="A80" s="567"/>
      <c r="B80" s="546"/>
      <c r="C80" s="546"/>
      <c r="D80" s="547"/>
      <c r="E80" s="549" t="s">
        <v>25</v>
      </c>
      <c r="F80" s="550"/>
      <c r="G80" s="283">
        <v>0</v>
      </c>
      <c r="H80" s="284">
        <v>114290</v>
      </c>
      <c r="I80" s="284">
        <v>299944</v>
      </c>
      <c r="J80" s="284">
        <v>57255</v>
      </c>
      <c r="K80" s="284">
        <v>7301</v>
      </c>
      <c r="L80" s="289">
        <v>0</v>
      </c>
      <c r="M80" s="211">
        <v>478790</v>
      </c>
    </row>
    <row r="81" spans="1:13" x14ac:dyDescent="0.25">
      <c r="A81" s="567"/>
      <c r="B81" s="546"/>
      <c r="C81" s="546"/>
      <c r="D81" s="545" t="s">
        <v>565</v>
      </c>
      <c r="E81" s="548" t="s">
        <v>159</v>
      </c>
      <c r="F81" s="30" t="s">
        <v>3</v>
      </c>
      <c r="G81" s="285">
        <v>0</v>
      </c>
      <c r="H81" s="286">
        <v>202924</v>
      </c>
      <c r="I81" s="286">
        <v>114275</v>
      </c>
      <c r="J81" s="286">
        <v>205782</v>
      </c>
      <c r="K81" s="286">
        <v>132276</v>
      </c>
      <c r="L81" s="286">
        <v>60770</v>
      </c>
      <c r="M81" s="212">
        <v>716027</v>
      </c>
    </row>
    <row r="82" spans="1:13" x14ac:dyDescent="0.25">
      <c r="A82" s="567"/>
      <c r="B82" s="546"/>
      <c r="C82" s="546"/>
      <c r="D82" s="546"/>
      <c r="E82" s="546"/>
      <c r="F82" s="29" t="s">
        <v>2</v>
      </c>
      <c r="G82" s="281">
        <v>0</v>
      </c>
      <c r="H82" s="282">
        <v>42000</v>
      </c>
      <c r="I82" s="282">
        <v>25223</v>
      </c>
      <c r="J82" s="282">
        <v>64416</v>
      </c>
      <c r="K82" s="282">
        <v>27472</v>
      </c>
      <c r="L82" s="282">
        <v>8151</v>
      </c>
      <c r="M82" s="210">
        <v>167262</v>
      </c>
    </row>
    <row r="83" spans="1:13" x14ac:dyDescent="0.25">
      <c r="A83" s="567"/>
      <c r="B83" s="546"/>
      <c r="C83" s="546"/>
      <c r="D83" s="546"/>
      <c r="E83" s="546"/>
      <c r="F83" s="29" t="s">
        <v>1</v>
      </c>
      <c r="G83" s="281">
        <v>0</v>
      </c>
      <c r="H83" s="282">
        <v>12568</v>
      </c>
      <c r="I83" s="282">
        <v>75699</v>
      </c>
      <c r="J83" s="282">
        <v>61941</v>
      </c>
      <c r="K83" s="282">
        <v>981</v>
      </c>
      <c r="L83" s="282">
        <v>0</v>
      </c>
      <c r="M83" s="210">
        <v>151189</v>
      </c>
    </row>
    <row r="84" spans="1:13" x14ac:dyDescent="0.25">
      <c r="A84" s="567"/>
      <c r="B84" s="546"/>
      <c r="C84" s="546"/>
      <c r="D84" s="546"/>
      <c r="E84" s="546"/>
      <c r="F84" s="29" t="s">
        <v>0</v>
      </c>
      <c r="G84" s="281">
        <v>0</v>
      </c>
      <c r="H84" s="282">
        <v>41348</v>
      </c>
      <c r="I84" s="282">
        <v>145735</v>
      </c>
      <c r="J84" s="282">
        <v>24543</v>
      </c>
      <c r="K84" s="282">
        <v>10496</v>
      </c>
      <c r="L84" s="282">
        <v>0</v>
      </c>
      <c r="M84" s="210">
        <v>222122</v>
      </c>
    </row>
    <row r="85" spans="1:13" x14ac:dyDescent="0.25">
      <c r="A85" s="567"/>
      <c r="B85" s="546"/>
      <c r="C85" s="546"/>
      <c r="D85" s="547"/>
      <c r="E85" s="549" t="s">
        <v>25</v>
      </c>
      <c r="F85" s="550"/>
      <c r="G85" s="283">
        <v>0</v>
      </c>
      <c r="H85" s="284">
        <v>298840</v>
      </c>
      <c r="I85" s="284">
        <v>360932</v>
      </c>
      <c r="J85" s="284">
        <v>356682</v>
      </c>
      <c r="K85" s="284">
        <v>171225</v>
      </c>
      <c r="L85" s="284">
        <v>68921</v>
      </c>
      <c r="M85" s="211">
        <v>1256600</v>
      </c>
    </row>
    <row r="86" spans="1:13" x14ac:dyDescent="0.25">
      <c r="A86" s="567"/>
      <c r="B86" s="546"/>
      <c r="C86" s="546"/>
      <c r="D86" s="545" t="s">
        <v>566</v>
      </c>
      <c r="E86" s="548" t="s">
        <v>159</v>
      </c>
      <c r="F86" s="30" t="s">
        <v>3</v>
      </c>
      <c r="G86" s="285">
        <v>0</v>
      </c>
      <c r="H86" s="286">
        <v>2155</v>
      </c>
      <c r="I86" s="286">
        <v>9344</v>
      </c>
      <c r="J86" s="286">
        <v>70584</v>
      </c>
      <c r="K86" s="286">
        <v>3650</v>
      </c>
      <c r="L86" s="287">
        <v>0</v>
      </c>
      <c r="M86" s="212">
        <v>85733</v>
      </c>
    </row>
    <row r="87" spans="1:13" x14ac:dyDescent="0.25">
      <c r="A87" s="567"/>
      <c r="B87" s="546"/>
      <c r="C87" s="546"/>
      <c r="D87" s="546"/>
      <c r="E87" s="546"/>
      <c r="F87" s="29" t="s">
        <v>2</v>
      </c>
      <c r="G87" s="281">
        <v>0</v>
      </c>
      <c r="H87" s="282">
        <v>2103</v>
      </c>
      <c r="I87" s="282">
        <v>1920</v>
      </c>
      <c r="J87" s="282">
        <v>19958</v>
      </c>
      <c r="K87" s="282">
        <v>2804</v>
      </c>
      <c r="L87" s="288">
        <v>0</v>
      </c>
      <c r="M87" s="210">
        <v>26785</v>
      </c>
    </row>
    <row r="88" spans="1:13" x14ac:dyDescent="0.25">
      <c r="A88" s="567"/>
      <c r="B88" s="546"/>
      <c r="C88" s="546"/>
      <c r="D88" s="546"/>
      <c r="E88" s="546"/>
      <c r="F88" s="29" t="s">
        <v>1</v>
      </c>
      <c r="G88" s="281">
        <v>0</v>
      </c>
      <c r="H88" s="282">
        <v>0</v>
      </c>
      <c r="I88" s="282">
        <v>3953</v>
      </c>
      <c r="J88" s="282">
        <v>723</v>
      </c>
      <c r="K88" s="282">
        <v>4285</v>
      </c>
      <c r="L88" s="288">
        <v>0</v>
      </c>
      <c r="M88" s="210">
        <v>8961</v>
      </c>
    </row>
    <row r="89" spans="1:13" x14ac:dyDescent="0.25">
      <c r="A89" s="567"/>
      <c r="B89" s="546"/>
      <c r="C89" s="546"/>
      <c r="D89" s="546"/>
      <c r="E89" s="546"/>
      <c r="F89" s="29" t="s">
        <v>0</v>
      </c>
      <c r="G89" s="281">
        <v>0</v>
      </c>
      <c r="H89" s="282">
        <v>538</v>
      </c>
      <c r="I89" s="282">
        <v>14585</v>
      </c>
      <c r="J89" s="282">
        <v>22397</v>
      </c>
      <c r="K89" s="282">
        <v>8321</v>
      </c>
      <c r="L89" s="288">
        <v>0</v>
      </c>
      <c r="M89" s="210">
        <v>45841</v>
      </c>
    </row>
    <row r="90" spans="1:13" x14ac:dyDescent="0.25">
      <c r="A90" s="567"/>
      <c r="B90" s="546"/>
      <c r="C90" s="546"/>
      <c r="D90" s="547"/>
      <c r="E90" s="549" t="s">
        <v>25</v>
      </c>
      <c r="F90" s="550"/>
      <c r="G90" s="283">
        <v>0</v>
      </c>
      <c r="H90" s="284">
        <v>4796</v>
      </c>
      <c r="I90" s="284">
        <v>29802</v>
      </c>
      <c r="J90" s="284">
        <v>113662</v>
      </c>
      <c r="K90" s="284">
        <v>19060</v>
      </c>
      <c r="L90" s="289">
        <v>0</v>
      </c>
      <c r="M90" s="211">
        <v>167320</v>
      </c>
    </row>
    <row r="91" spans="1:13" x14ac:dyDescent="0.25">
      <c r="A91" s="567"/>
      <c r="B91" s="546"/>
      <c r="C91" s="546"/>
      <c r="D91" s="545" t="s">
        <v>567</v>
      </c>
      <c r="E91" s="548" t="s">
        <v>159</v>
      </c>
      <c r="F91" s="30" t="s">
        <v>3</v>
      </c>
      <c r="G91" s="285">
        <v>0</v>
      </c>
      <c r="H91" s="286">
        <v>3785</v>
      </c>
      <c r="I91" s="286">
        <v>2539</v>
      </c>
      <c r="J91" s="286">
        <v>16552</v>
      </c>
      <c r="K91" s="286">
        <v>4009</v>
      </c>
      <c r="L91" s="286">
        <v>0</v>
      </c>
      <c r="M91" s="212">
        <v>26885</v>
      </c>
    </row>
    <row r="92" spans="1:13" x14ac:dyDescent="0.25">
      <c r="A92" s="567"/>
      <c r="B92" s="546"/>
      <c r="C92" s="546"/>
      <c r="D92" s="546"/>
      <c r="E92" s="546"/>
      <c r="F92" s="29" t="s">
        <v>2</v>
      </c>
      <c r="G92" s="281">
        <v>0</v>
      </c>
      <c r="H92" s="282">
        <v>0</v>
      </c>
      <c r="I92" s="282">
        <v>9035</v>
      </c>
      <c r="J92" s="282">
        <v>12618</v>
      </c>
      <c r="K92" s="282">
        <v>12149</v>
      </c>
      <c r="L92" s="282">
        <v>0</v>
      </c>
      <c r="M92" s="210">
        <v>33802</v>
      </c>
    </row>
    <row r="93" spans="1:13" x14ac:dyDescent="0.25">
      <c r="A93" s="567"/>
      <c r="B93" s="546"/>
      <c r="C93" s="546"/>
      <c r="D93" s="546"/>
      <c r="E93" s="546"/>
      <c r="F93" s="29" t="s">
        <v>1</v>
      </c>
      <c r="G93" s="281">
        <v>0</v>
      </c>
      <c r="H93" s="282">
        <v>3963</v>
      </c>
      <c r="I93" s="282">
        <v>27482</v>
      </c>
      <c r="J93" s="282">
        <v>2182</v>
      </c>
      <c r="K93" s="282">
        <v>0</v>
      </c>
      <c r="L93" s="282">
        <v>1864</v>
      </c>
      <c r="M93" s="210">
        <v>35491</v>
      </c>
    </row>
    <row r="94" spans="1:13" x14ac:dyDescent="0.25">
      <c r="A94" s="567"/>
      <c r="B94" s="546"/>
      <c r="C94" s="546"/>
      <c r="D94" s="546"/>
      <c r="E94" s="546"/>
      <c r="F94" s="29" t="s">
        <v>0</v>
      </c>
      <c r="G94" s="281">
        <v>0</v>
      </c>
      <c r="H94" s="282">
        <v>36567</v>
      </c>
      <c r="I94" s="282">
        <v>36386</v>
      </c>
      <c r="J94" s="282">
        <v>15169</v>
      </c>
      <c r="K94" s="282">
        <v>9915</v>
      </c>
      <c r="L94" s="282">
        <v>0</v>
      </c>
      <c r="M94" s="210">
        <v>98037</v>
      </c>
    </row>
    <row r="95" spans="1:13" x14ac:dyDescent="0.25">
      <c r="A95" s="567"/>
      <c r="B95" s="546"/>
      <c r="C95" s="546"/>
      <c r="D95" s="547"/>
      <c r="E95" s="549" t="s">
        <v>25</v>
      </c>
      <c r="F95" s="550"/>
      <c r="G95" s="283">
        <v>0</v>
      </c>
      <c r="H95" s="284">
        <v>44315</v>
      </c>
      <c r="I95" s="284">
        <v>75442</v>
      </c>
      <c r="J95" s="284">
        <v>46521</v>
      </c>
      <c r="K95" s="284">
        <v>26073</v>
      </c>
      <c r="L95" s="284">
        <v>1864</v>
      </c>
      <c r="M95" s="211">
        <v>194215</v>
      </c>
    </row>
    <row r="96" spans="1:13" x14ac:dyDescent="0.25">
      <c r="A96" s="567"/>
      <c r="B96" s="546"/>
      <c r="C96" s="546"/>
      <c r="D96" s="545" t="s">
        <v>568</v>
      </c>
      <c r="E96" s="548" t="s">
        <v>159</v>
      </c>
      <c r="F96" s="30" t="s">
        <v>3</v>
      </c>
      <c r="G96" s="285">
        <v>0</v>
      </c>
      <c r="H96" s="286">
        <v>8386</v>
      </c>
      <c r="I96" s="286">
        <v>21123</v>
      </c>
      <c r="J96" s="286">
        <v>6896</v>
      </c>
      <c r="K96" s="286">
        <v>4180</v>
      </c>
      <c r="L96" s="287">
        <v>0</v>
      </c>
      <c r="M96" s="212">
        <v>40585</v>
      </c>
    </row>
    <row r="97" spans="1:13" x14ac:dyDescent="0.25">
      <c r="A97" s="567"/>
      <c r="B97" s="546"/>
      <c r="C97" s="546"/>
      <c r="D97" s="546"/>
      <c r="E97" s="546"/>
      <c r="F97" s="29" t="s">
        <v>2</v>
      </c>
      <c r="G97" s="281">
        <v>0</v>
      </c>
      <c r="H97" s="282">
        <v>13368</v>
      </c>
      <c r="I97" s="282">
        <v>12527</v>
      </c>
      <c r="J97" s="282">
        <v>15540</v>
      </c>
      <c r="K97" s="282">
        <v>817</v>
      </c>
      <c r="L97" s="288">
        <v>0</v>
      </c>
      <c r="M97" s="210">
        <v>42252</v>
      </c>
    </row>
    <row r="98" spans="1:13" x14ac:dyDescent="0.25">
      <c r="A98" s="567"/>
      <c r="B98" s="546"/>
      <c r="C98" s="546"/>
      <c r="D98" s="546"/>
      <c r="E98" s="546"/>
      <c r="F98" s="29" t="s">
        <v>1</v>
      </c>
      <c r="G98" s="281">
        <v>0</v>
      </c>
      <c r="H98" s="282">
        <v>6421</v>
      </c>
      <c r="I98" s="282">
        <v>3963</v>
      </c>
      <c r="J98" s="282">
        <v>1849</v>
      </c>
      <c r="K98" s="282">
        <v>0</v>
      </c>
      <c r="L98" s="288">
        <v>0</v>
      </c>
      <c r="M98" s="210">
        <v>12233</v>
      </c>
    </row>
    <row r="99" spans="1:13" x14ac:dyDescent="0.25">
      <c r="A99" s="567"/>
      <c r="B99" s="546"/>
      <c r="C99" s="546"/>
      <c r="D99" s="546"/>
      <c r="E99" s="546"/>
      <c r="F99" s="29" t="s">
        <v>0</v>
      </c>
      <c r="G99" s="281">
        <v>0</v>
      </c>
      <c r="H99" s="282">
        <v>23730</v>
      </c>
      <c r="I99" s="282">
        <v>24573</v>
      </c>
      <c r="J99" s="282">
        <v>3440</v>
      </c>
      <c r="K99" s="282">
        <v>2068</v>
      </c>
      <c r="L99" s="288">
        <v>0</v>
      </c>
      <c r="M99" s="210">
        <v>53811</v>
      </c>
    </row>
    <row r="100" spans="1:13" x14ac:dyDescent="0.25">
      <c r="A100" s="567"/>
      <c r="B100" s="546"/>
      <c r="C100" s="546"/>
      <c r="D100" s="547"/>
      <c r="E100" s="549" t="s">
        <v>25</v>
      </c>
      <c r="F100" s="550"/>
      <c r="G100" s="283">
        <v>0</v>
      </c>
      <c r="H100" s="284">
        <v>51905</v>
      </c>
      <c r="I100" s="284">
        <v>62186</v>
      </c>
      <c r="J100" s="284">
        <v>27725</v>
      </c>
      <c r="K100" s="284">
        <v>7065</v>
      </c>
      <c r="L100" s="289">
        <v>0</v>
      </c>
      <c r="M100" s="211">
        <v>148881</v>
      </c>
    </row>
    <row r="101" spans="1:13" x14ac:dyDescent="0.25">
      <c r="A101" s="567"/>
      <c r="B101" s="546"/>
      <c r="C101" s="546"/>
      <c r="D101" s="545" t="s">
        <v>569</v>
      </c>
      <c r="E101" s="548" t="s">
        <v>159</v>
      </c>
      <c r="F101" s="30" t="s">
        <v>3</v>
      </c>
      <c r="G101" s="285">
        <v>0</v>
      </c>
      <c r="H101" s="286">
        <v>9080</v>
      </c>
      <c r="I101" s="286">
        <v>11728</v>
      </c>
      <c r="J101" s="286">
        <v>42844</v>
      </c>
      <c r="K101" s="286">
        <v>8922</v>
      </c>
      <c r="L101" s="286">
        <v>5865</v>
      </c>
      <c r="M101" s="212">
        <v>78439</v>
      </c>
    </row>
    <row r="102" spans="1:13" x14ac:dyDescent="0.25">
      <c r="A102" s="567"/>
      <c r="B102" s="546"/>
      <c r="C102" s="546"/>
      <c r="D102" s="546"/>
      <c r="E102" s="546"/>
      <c r="F102" s="29" t="s">
        <v>2</v>
      </c>
      <c r="G102" s="281">
        <v>0</v>
      </c>
      <c r="H102" s="282">
        <v>0</v>
      </c>
      <c r="I102" s="282">
        <v>3652</v>
      </c>
      <c r="J102" s="282">
        <v>25043</v>
      </c>
      <c r="K102" s="282">
        <v>8184</v>
      </c>
      <c r="L102" s="282">
        <v>0</v>
      </c>
      <c r="M102" s="210">
        <v>36879</v>
      </c>
    </row>
    <row r="103" spans="1:13" x14ac:dyDescent="0.25">
      <c r="A103" s="567"/>
      <c r="B103" s="546"/>
      <c r="C103" s="546"/>
      <c r="D103" s="546"/>
      <c r="E103" s="546"/>
      <c r="F103" s="29" t="s">
        <v>1</v>
      </c>
      <c r="G103" s="281">
        <v>0</v>
      </c>
      <c r="H103" s="282">
        <v>0</v>
      </c>
      <c r="I103" s="282">
        <v>1867</v>
      </c>
      <c r="J103" s="282">
        <v>9333</v>
      </c>
      <c r="K103" s="282">
        <v>0</v>
      </c>
      <c r="L103" s="282">
        <v>0</v>
      </c>
      <c r="M103" s="210">
        <v>11200</v>
      </c>
    </row>
    <row r="104" spans="1:13" x14ac:dyDescent="0.25">
      <c r="A104" s="567"/>
      <c r="B104" s="546"/>
      <c r="C104" s="546"/>
      <c r="D104" s="546"/>
      <c r="E104" s="546"/>
      <c r="F104" s="29" t="s">
        <v>0</v>
      </c>
      <c r="G104" s="281">
        <v>0</v>
      </c>
      <c r="H104" s="282">
        <v>2005</v>
      </c>
      <c r="I104" s="282">
        <v>28745</v>
      </c>
      <c r="J104" s="282">
        <v>37423</v>
      </c>
      <c r="K104" s="282">
        <v>403</v>
      </c>
      <c r="L104" s="282">
        <v>0</v>
      </c>
      <c r="M104" s="210">
        <v>68576</v>
      </c>
    </row>
    <row r="105" spans="1:13" x14ac:dyDescent="0.25">
      <c r="A105" s="567"/>
      <c r="B105" s="546"/>
      <c r="C105" s="546"/>
      <c r="D105" s="547"/>
      <c r="E105" s="549" t="s">
        <v>25</v>
      </c>
      <c r="F105" s="550"/>
      <c r="G105" s="283">
        <v>0</v>
      </c>
      <c r="H105" s="284">
        <v>11085</v>
      </c>
      <c r="I105" s="284">
        <v>45992</v>
      </c>
      <c r="J105" s="284">
        <v>114643</v>
      </c>
      <c r="K105" s="284">
        <v>17509</v>
      </c>
      <c r="L105" s="284">
        <v>5865</v>
      </c>
      <c r="M105" s="211">
        <v>195094</v>
      </c>
    </row>
    <row r="106" spans="1:13" x14ac:dyDescent="0.25">
      <c r="A106" s="567"/>
      <c r="B106" s="546"/>
      <c r="C106" s="546"/>
      <c r="D106" s="545" t="s">
        <v>570</v>
      </c>
      <c r="E106" s="548" t="s">
        <v>159</v>
      </c>
      <c r="F106" s="30" t="s">
        <v>3</v>
      </c>
      <c r="G106" s="285">
        <v>0</v>
      </c>
      <c r="H106" s="286">
        <v>67518</v>
      </c>
      <c r="I106" s="286">
        <v>7132</v>
      </c>
      <c r="J106" s="286">
        <v>34998</v>
      </c>
      <c r="K106" s="286">
        <v>5718</v>
      </c>
      <c r="L106" s="287">
        <v>0</v>
      </c>
      <c r="M106" s="212">
        <v>115366</v>
      </c>
    </row>
    <row r="107" spans="1:13" x14ac:dyDescent="0.25">
      <c r="A107" s="567"/>
      <c r="B107" s="546"/>
      <c r="C107" s="546"/>
      <c r="D107" s="546"/>
      <c r="E107" s="546"/>
      <c r="F107" s="29" t="s">
        <v>2</v>
      </c>
      <c r="G107" s="281">
        <v>0</v>
      </c>
      <c r="H107" s="282">
        <v>23825</v>
      </c>
      <c r="I107" s="282">
        <v>9941</v>
      </c>
      <c r="J107" s="282">
        <v>12250</v>
      </c>
      <c r="K107" s="282">
        <v>4860</v>
      </c>
      <c r="L107" s="288">
        <v>0</v>
      </c>
      <c r="M107" s="210">
        <v>50876</v>
      </c>
    </row>
    <row r="108" spans="1:13" x14ac:dyDescent="0.25">
      <c r="A108" s="567"/>
      <c r="B108" s="546"/>
      <c r="C108" s="546"/>
      <c r="D108" s="546"/>
      <c r="E108" s="546"/>
      <c r="F108" s="29" t="s">
        <v>1</v>
      </c>
      <c r="G108" s="281">
        <v>0</v>
      </c>
      <c r="H108" s="282">
        <v>18164</v>
      </c>
      <c r="I108" s="282">
        <v>12076</v>
      </c>
      <c r="J108" s="282">
        <v>3918</v>
      </c>
      <c r="K108" s="282">
        <v>0</v>
      </c>
      <c r="L108" s="288">
        <v>0</v>
      </c>
      <c r="M108" s="210">
        <v>34158</v>
      </c>
    </row>
    <row r="109" spans="1:13" x14ac:dyDescent="0.25">
      <c r="A109" s="567"/>
      <c r="B109" s="546"/>
      <c r="C109" s="546"/>
      <c r="D109" s="546"/>
      <c r="E109" s="546"/>
      <c r="F109" s="29" t="s">
        <v>0</v>
      </c>
      <c r="G109" s="281">
        <v>0</v>
      </c>
      <c r="H109" s="282">
        <v>8511</v>
      </c>
      <c r="I109" s="282">
        <v>127012</v>
      </c>
      <c r="J109" s="282">
        <v>27872</v>
      </c>
      <c r="K109" s="282">
        <v>81</v>
      </c>
      <c r="L109" s="288">
        <v>0</v>
      </c>
      <c r="M109" s="210">
        <v>163476</v>
      </c>
    </row>
    <row r="110" spans="1:13" x14ac:dyDescent="0.25">
      <c r="A110" s="567"/>
      <c r="B110" s="546"/>
      <c r="C110" s="546"/>
      <c r="D110" s="547"/>
      <c r="E110" s="549" t="s">
        <v>25</v>
      </c>
      <c r="F110" s="550"/>
      <c r="G110" s="283">
        <v>0</v>
      </c>
      <c r="H110" s="284">
        <v>118018</v>
      </c>
      <c r="I110" s="284">
        <v>156161</v>
      </c>
      <c r="J110" s="284">
        <v>79038</v>
      </c>
      <c r="K110" s="284">
        <v>10659</v>
      </c>
      <c r="L110" s="289">
        <v>0</v>
      </c>
      <c r="M110" s="211">
        <v>363876</v>
      </c>
    </row>
    <row r="111" spans="1:13" x14ac:dyDescent="0.25">
      <c r="A111" s="567"/>
      <c r="B111" s="546"/>
      <c r="C111" s="546"/>
      <c r="D111" s="545" t="s">
        <v>571</v>
      </c>
      <c r="E111" s="548" t="s">
        <v>159</v>
      </c>
      <c r="F111" s="30" t="s">
        <v>3</v>
      </c>
      <c r="G111" s="285">
        <v>0</v>
      </c>
      <c r="H111" s="286">
        <v>205104</v>
      </c>
      <c r="I111" s="286">
        <v>395416</v>
      </c>
      <c r="J111" s="286">
        <v>767415</v>
      </c>
      <c r="K111" s="286">
        <v>365661</v>
      </c>
      <c r="L111" s="286">
        <v>33453</v>
      </c>
      <c r="M111" s="212">
        <v>1767049</v>
      </c>
    </row>
    <row r="112" spans="1:13" x14ac:dyDescent="0.25">
      <c r="A112" s="567"/>
      <c r="B112" s="546"/>
      <c r="C112" s="546"/>
      <c r="D112" s="546"/>
      <c r="E112" s="546"/>
      <c r="F112" s="29" t="s">
        <v>2</v>
      </c>
      <c r="G112" s="281">
        <v>0</v>
      </c>
      <c r="H112" s="282">
        <v>278020</v>
      </c>
      <c r="I112" s="282">
        <v>531668</v>
      </c>
      <c r="J112" s="282">
        <v>503956</v>
      </c>
      <c r="K112" s="282">
        <v>260044</v>
      </c>
      <c r="L112" s="282">
        <v>30196</v>
      </c>
      <c r="M112" s="210">
        <v>1603884</v>
      </c>
    </row>
    <row r="113" spans="1:13" x14ac:dyDescent="0.25">
      <c r="A113" s="567"/>
      <c r="B113" s="546"/>
      <c r="C113" s="546"/>
      <c r="D113" s="546"/>
      <c r="E113" s="546"/>
      <c r="F113" s="29" t="s">
        <v>1</v>
      </c>
      <c r="G113" s="281">
        <v>0</v>
      </c>
      <c r="H113" s="282">
        <v>46158</v>
      </c>
      <c r="I113" s="282">
        <v>82873</v>
      </c>
      <c r="J113" s="282">
        <v>61986</v>
      </c>
      <c r="K113" s="282">
        <v>1724</v>
      </c>
      <c r="L113" s="282">
        <v>162</v>
      </c>
      <c r="M113" s="210">
        <v>192903</v>
      </c>
    </row>
    <row r="114" spans="1:13" x14ac:dyDescent="0.25">
      <c r="A114" s="567"/>
      <c r="B114" s="546"/>
      <c r="C114" s="546"/>
      <c r="D114" s="546"/>
      <c r="E114" s="546"/>
      <c r="F114" s="29" t="s">
        <v>0</v>
      </c>
      <c r="G114" s="281">
        <v>0</v>
      </c>
      <c r="H114" s="282">
        <v>188151</v>
      </c>
      <c r="I114" s="282">
        <v>490885</v>
      </c>
      <c r="J114" s="282">
        <v>262348</v>
      </c>
      <c r="K114" s="282">
        <v>24344</v>
      </c>
      <c r="L114" s="282">
        <v>236</v>
      </c>
      <c r="M114" s="210">
        <v>965964</v>
      </c>
    </row>
    <row r="115" spans="1:13" x14ac:dyDescent="0.25">
      <c r="A115" s="567"/>
      <c r="B115" s="546"/>
      <c r="C115" s="546"/>
      <c r="D115" s="547"/>
      <c r="E115" s="549" t="s">
        <v>25</v>
      </c>
      <c r="F115" s="550"/>
      <c r="G115" s="283">
        <v>0</v>
      </c>
      <c r="H115" s="284">
        <v>717433</v>
      </c>
      <c r="I115" s="284">
        <v>1500842</v>
      </c>
      <c r="J115" s="284">
        <v>1595705</v>
      </c>
      <c r="K115" s="284">
        <v>651773</v>
      </c>
      <c r="L115" s="284">
        <v>64047</v>
      </c>
      <c r="M115" s="211">
        <v>4529800</v>
      </c>
    </row>
    <row r="116" spans="1:13" x14ac:dyDescent="0.25">
      <c r="A116" s="567"/>
      <c r="B116" s="546"/>
      <c r="C116" s="546"/>
      <c r="D116" s="545" t="s">
        <v>572</v>
      </c>
      <c r="E116" s="548" t="s">
        <v>159</v>
      </c>
      <c r="F116" s="30" t="s">
        <v>3</v>
      </c>
      <c r="G116" s="285">
        <v>0</v>
      </c>
      <c r="H116" s="286">
        <v>1541</v>
      </c>
      <c r="I116" s="286">
        <v>23417</v>
      </c>
      <c r="J116" s="286">
        <v>29876</v>
      </c>
      <c r="K116" s="286">
        <v>36722</v>
      </c>
      <c r="L116" s="286">
        <v>1101</v>
      </c>
      <c r="M116" s="212">
        <v>92657</v>
      </c>
    </row>
    <row r="117" spans="1:13" x14ac:dyDescent="0.25">
      <c r="A117" s="567"/>
      <c r="B117" s="546"/>
      <c r="C117" s="546"/>
      <c r="D117" s="546"/>
      <c r="E117" s="546"/>
      <c r="F117" s="29" t="s">
        <v>2</v>
      </c>
      <c r="G117" s="281">
        <v>0</v>
      </c>
      <c r="H117" s="282">
        <v>9107</v>
      </c>
      <c r="I117" s="282">
        <v>10340</v>
      </c>
      <c r="J117" s="282">
        <v>28799</v>
      </c>
      <c r="K117" s="282">
        <v>36729</v>
      </c>
      <c r="L117" s="282">
        <v>1131</v>
      </c>
      <c r="M117" s="210">
        <v>86106</v>
      </c>
    </row>
    <row r="118" spans="1:13" x14ac:dyDescent="0.25">
      <c r="A118" s="567"/>
      <c r="B118" s="546"/>
      <c r="C118" s="546"/>
      <c r="D118" s="546"/>
      <c r="E118" s="546"/>
      <c r="F118" s="29" t="s">
        <v>1</v>
      </c>
      <c r="G118" s="281">
        <v>0</v>
      </c>
      <c r="H118" s="282">
        <v>0</v>
      </c>
      <c r="I118" s="282">
        <v>64807</v>
      </c>
      <c r="J118" s="282">
        <v>28715</v>
      </c>
      <c r="K118" s="282">
        <v>4202</v>
      </c>
      <c r="L118" s="282">
        <v>0</v>
      </c>
      <c r="M118" s="210">
        <v>97724</v>
      </c>
    </row>
    <row r="119" spans="1:13" x14ac:dyDescent="0.25">
      <c r="A119" s="567"/>
      <c r="B119" s="546"/>
      <c r="C119" s="546"/>
      <c r="D119" s="546"/>
      <c r="E119" s="546"/>
      <c r="F119" s="29" t="s">
        <v>0</v>
      </c>
      <c r="G119" s="281">
        <v>0</v>
      </c>
      <c r="H119" s="282">
        <v>3570</v>
      </c>
      <c r="I119" s="282">
        <v>35960</v>
      </c>
      <c r="J119" s="282">
        <v>20689</v>
      </c>
      <c r="K119" s="282">
        <v>404</v>
      </c>
      <c r="L119" s="282">
        <v>0</v>
      </c>
      <c r="M119" s="210">
        <v>60623</v>
      </c>
    </row>
    <row r="120" spans="1:13" x14ac:dyDescent="0.25">
      <c r="A120" s="567"/>
      <c r="B120" s="546"/>
      <c r="C120" s="546"/>
      <c r="D120" s="547"/>
      <c r="E120" s="549" t="s">
        <v>25</v>
      </c>
      <c r="F120" s="550"/>
      <c r="G120" s="283">
        <v>0</v>
      </c>
      <c r="H120" s="284">
        <v>14218</v>
      </c>
      <c r="I120" s="284">
        <v>134524</v>
      </c>
      <c r="J120" s="284">
        <v>108079</v>
      </c>
      <c r="K120" s="284">
        <v>78057</v>
      </c>
      <c r="L120" s="284">
        <v>2232</v>
      </c>
      <c r="M120" s="211">
        <v>337110</v>
      </c>
    </row>
    <row r="121" spans="1:13" x14ac:dyDescent="0.25">
      <c r="A121" s="567"/>
      <c r="B121" s="546"/>
      <c r="C121" s="546"/>
      <c r="D121" s="545" t="s">
        <v>573</v>
      </c>
      <c r="E121" s="548" t="s">
        <v>159</v>
      </c>
      <c r="F121" s="30" t="s">
        <v>3</v>
      </c>
      <c r="G121" s="285">
        <v>0</v>
      </c>
      <c r="H121" s="286">
        <v>37880</v>
      </c>
      <c r="I121" s="286">
        <v>28016</v>
      </c>
      <c r="J121" s="286">
        <v>49920</v>
      </c>
      <c r="K121" s="286">
        <v>7762</v>
      </c>
      <c r="L121" s="286">
        <v>574</v>
      </c>
      <c r="M121" s="212">
        <v>124152</v>
      </c>
    </row>
    <row r="122" spans="1:13" x14ac:dyDescent="0.25">
      <c r="A122" s="567"/>
      <c r="B122" s="546"/>
      <c r="C122" s="546"/>
      <c r="D122" s="546"/>
      <c r="E122" s="546"/>
      <c r="F122" s="29" t="s">
        <v>2</v>
      </c>
      <c r="G122" s="281">
        <v>0</v>
      </c>
      <c r="H122" s="282">
        <v>14322</v>
      </c>
      <c r="I122" s="282">
        <v>61100</v>
      </c>
      <c r="J122" s="282">
        <v>24545</v>
      </c>
      <c r="K122" s="282">
        <v>7819</v>
      </c>
      <c r="L122" s="282">
        <v>8037</v>
      </c>
      <c r="M122" s="210">
        <v>115823</v>
      </c>
    </row>
    <row r="123" spans="1:13" x14ac:dyDescent="0.25">
      <c r="A123" s="567"/>
      <c r="B123" s="546"/>
      <c r="C123" s="546"/>
      <c r="D123" s="546"/>
      <c r="E123" s="546"/>
      <c r="F123" s="29" t="s">
        <v>1</v>
      </c>
      <c r="G123" s="281">
        <v>0</v>
      </c>
      <c r="H123" s="282">
        <v>11786</v>
      </c>
      <c r="I123" s="282">
        <v>57809</v>
      </c>
      <c r="J123" s="282">
        <v>1432</v>
      </c>
      <c r="K123" s="282">
        <v>0</v>
      </c>
      <c r="L123" s="282">
        <v>0</v>
      </c>
      <c r="M123" s="210">
        <v>71027</v>
      </c>
    </row>
    <row r="124" spans="1:13" x14ac:dyDescent="0.25">
      <c r="A124" s="567"/>
      <c r="B124" s="546"/>
      <c r="C124" s="546"/>
      <c r="D124" s="546"/>
      <c r="E124" s="546"/>
      <c r="F124" s="29" t="s">
        <v>0</v>
      </c>
      <c r="G124" s="281">
        <v>0</v>
      </c>
      <c r="H124" s="282">
        <v>28530</v>
      </c>
      <c r="I124" s="282">
        <v>86644</v>
      </c>
      <c r="J124" s="282">
        <v>19879</v>
      </c>
      <c r="K124" s="282">
        <v>0</v>
      </c>
      <c r="L124" s="282">
        <v>0</v>
      </c>
      <c r="M124" s="210">
        <v>135053</v>
      </c>
    </row>
    <row r="125" spans="1:13" x14ac:dyDescent="0.25">
      <c r="A125" s="567"/>
      <c r="B125" s="546"/>
      <c r="C125" s="547"/>
      <c r="D125" s="547"/>
      <c r="E125" s="549" t="s">
        <v>25</v>
      </c>
      <c r="F125" s="550"/>
      <c r="G125" s="283">
        <v>0</v>
      </c>
      <c r="H125" s="284">
        <v>92518</v>
      </c>
      <c r="I125" s="284">
        <v>233569</v>
      </c>
      <c r="J125" s="284">
        <v>95776</v>
      </c>
      <c r="K125" s="284">
        <v>15581</v>
      </c>
      <c r="L125" s="284">
        <v>8611</v>
      </c>
      <c r="M125" s="211">
        <v>446055</v>
      </c>
    </row>
    <row r="126" spans="1:13" x14ac:dyDescent="0.25">
      <c r="A126" s="567"/>
      <c r="B126" s="546"/>
      <c r="C126" s="545" t="s">
        <v>5</v>
      </c>
      <c r="D126" s="545" t="s">
        <v>562</v>
      </c>
      <c r="E126" s="548" t="s">
        <v>159</v>
      </c>
      <c r="F126" s="30" t="s">
        <v>3</v>
      </c>
      <c r="G126" s="285">
        <v>0</v>
      </c>
      <c r="H126" s="286">
        <v>4679</v>
      </c>
      <c r="I126" s="286">
        <v>15360</v>
      </c>
      <c r="J126" s="286">
        <v>5694</v>
      </c>
      <c r="K126" s="286">
        <v>707</v>
      </c>
      <c r="L126" s="287">
        <v>0</v>
      </c>
      <c r="M126" s="212">
        <v>26440</v>
      </c>
    </row>
    <row r="127" spans="1:13" x14ac:dyDescent="0.25">
      <c r="A127" s="567"/>
      <c r="B127" s="546"/>
      <c r="C127" s="546"/>
      <c r="D127" s="546"/>
      <c r="E127" s="546"/>
      <c r="F127" s="29" t="s">
        <v>2</v>
      </c>
      <c r="G127" s="281">
        <v>0</v>
      </c>
      <c r="H127" s="282">
        <v>50483</v>
      </c>
      <c r="I127" s="282">
        <v>92729</v>
      </c>
      <c r="J127" s="282">
        <v>64623</v>
      </c>
      <c r="K127" s="282">
        <v>4285</v>
      </c>
      <c r="L127" s="288">
        <v>0</v>
      </c>
      <c r="M127" s="210">
        <v>212120</v>
      </c>
    </row>
    <row r="128" spans="1:13" x14ac:dyDescent="0.25">
      <c r="A128" s="567"/>
      <c r="B128" s="546"/>
      <c r="C128" s="546"/>
      <c r="D128" s="546"/>
      <c r="E128" s="546"/>
      <c r="F128" s="29" t="s">
        <v>1</v>
      </c>
      <c r="G128" s="281">
        <v>0</v>
      </c>
      <c r="H128" s="282">
        <v>3799</v>
      </c>
      <c r="I128" s="282">
        <v>8722</v>
      </c>
      <c r="J128" s="282">
        <v>1050</v>
      </c>
      <c r="K128" s="282">
        <v>0</v>
      </c>
      <c r="L128" s="288">
        <v>0</v>
      </c>
      <c r="M128" s="210">
        <v>13571</v>
      </c>
    </row>
    <row r="129" spans="1:13" x14ac:dyDescent="0.25">
      <c r="A129" s="567"/>
      <c r="B129" s="546"/>
      <c r="C129" s="546"/>
      <c r="D129" s="546"/>
      <c r="E129" s="546"/>
      <c r="F129" s="29" t="s">
        <v>0</v>
      </c>
      <c r="G129" s="281">
        <v>0</v>
      </c>
      <c r="H129" s="282">
        <v>25312</v>
      </c>
      <c r="I129" s="282">
        <v>67775</v>
      </c>
      <c r="J129" s="282">
        <v>29865</v>
      </c>
      <c r="K129" s="282">
        <v>169</v>
      </c>
      <c r="L129" s="288">
        <v>0</v>
      </c>
      <c r="M129" s="210">
        <v>123121</v>
      </c>
    </row>
    <row r="130" spans="1:13" x14ac:dyDescent="0.25">
      <c r="A130" s="567"/>
      <c r="B130" s="546"/>
      <c r="C130" s="546"/>
      <c r="D130" s="547"/>
      <c r="E130" s="549" t="s">
        <v>25</v>
      </c>
      <c r="F130" s="550"/>
      <c r="G130" s="283">
        <v>0</v>
      </c>
      <c r="H130" s="284">
        <v>84273</v>
      </c>
      <c r="I130" s="284">
        <v>184586</v>
      </c>
      <c r="J130" s="284">
        <v>101232</v>
      </c>
      <c r="K130" s="284">
        <v>5161</v>
      </c>
      <c r="L130" s="289">
        <v>0</v>
      </c>
      <c r="M130" s="211">
        <v>375252</v>
      </c>
    </row>
    <row r="131" spans="1:13" x14ac:dyDescent="0.25">
      <c r="A131" s="567"/>
      <c r="B131" s="546"/>
      <c r="C131" s="546"/>
      <c r="D131" s="545" t="s">
        <v>563</v>
      </c>
      <c r="E131" s="548" t="s">
        <v>159</v>
      </c>
      <c r="F131" s="30" t="s">
        <v>3</v>
      </c>
      <c r="G131" s="285">
        <v>0</v>
      </c>
      <c r="H131" s="287">
        <v>0</v>
      </c>
      <c r="I131" s="286">
        <v>0</v>
      </c>
      <c r="J131" s="286">
        <v>1098</v>
      </c>
      <c r="K131" s="286">
        <v>193</v>
      </c>
      <c r="L131" s="286">
        <v>0</v>
      </c>
      <c r="M131" s="212">
        <v>1291</v>
      </c>
    </row>
    <row r="132" spans="1:13" x14ac:dyDescent="0.25">
      <c r="A132" s="567"/>
      <c r="B132" s="546"/>
      <c r="C132" s="546"/>
      <c r="D132" s="546"/>
      <c r="E132" s="546"/>
      <c r="F132" s="29" t="s">
        <v>2</v>
      </c>
      <c r="G132" s="281">
        <v>0</v>
      </c>
      <c r="H132" s="288">
        <v>0</v>
      </c>
      <c r="I132" s="282">
        <v>2399</v>
      </c>
      <c r="J132" s="282">
        <v>13415</v>
      </c>
      <c r="K132" s="282">
        <v>2305</v>
      </c>
      <c r="L132" s="282">
        <v>199</v>
      </c>
      <c r="M132" s="210">
        <v>18318</v>
      </c>
    </row>
    <row r="133" spans="1:13" x14ac:dyDescent="0.25">
      <c r="A133" s="567"/>
      <c r="B133" s="546"/>
      <c r="C133" s="546"/>
      <c r="D133" s="546"/>
      <c r="E133" s="546"/>
      <c r="F133" s="29" t="s">
        <v>1</v>
      </c>
      <c r="G133" s="281">
        <v>0</v>
      </c>
      <c r="H133" s="288">
        <v>0</v>
      </c>
      <c r="I133" s="282">
        <v>4336</v>
      </c>
      <c r="J133" s="282">
        <v>4140</v>
      </c>
      <c r="K133" s="282">
        <v>0</v>
      </c>
      <c r="L133" s="282">
        <v>0</v>
      </c>
      <c r="M133" s="210">
        <v>8476</v>
      </c>
    </row>
    <row r="134" spans="1:13" x14ac:dyDescent="0.25">
      <c r="A134" s="567"/>
      <c r="B134" s="546"/>
      <c r="C134" s="546"/>
      <c r="D134" s="546"/>
      <c r="E134" s="546"/>
      <c r="F134" s="29" t="s">
        <v>0</v>
      </c>
      <c r="G134" s="281">
        <v>0</v>
      </c>
      <c r="H134" s="288">
        <v>0</v>
      </c>
      <c r="I134" s="282">
        <v>21518</v>
      </c>
      <c r="J134" s="282">
        <v>12602</v>
      </c>
      <c r="K134" s="282">
        <v>0</v>
      </c>
      <c r="L134" s="282">
        <v>0</v>
      </c>
      <c r="M134" s="210">
        <v>34120</v>
      </c>
    </row>
    <row r="135" spans="1:13" x14ac:dyDescent="0.25">
      <c r="A135" s="567"/>
      <c r="B135" s="546"/>
      <c r="C135" s="546"/>
      <c r="D135" s="547"/>
      <c r="E135" s="549" t="s">
        <v>25</v>
      </c>
      <c r="F135" s="550"/>
      <c r="G135" s="283">
        <v>0</v>
      </c>
      <c r="H135" s="289">
        <v>0</v>
      </c>
      <c r="I135" s="284">
        <v>28253</v>
      </c>
      <c r="J135" s="284">
        <v>31255</v>
      </c>
      <c r="K135" s="284">
        <v>2498</v>
      </c>
      <c r="L135" s="284">
        <v>199</v>
      </c>
      <c r="M135" s="211">
        <v>62205</v>
      </c>
    </row>
    <row r="136" spans="1:13" x14ac:dyDescent="0.25">
      <c r="A136" s="567"/>
      <c r="B136" s="546"/>
      <c r="C136" s="546"/>
      <c r="D136" s="545" t="s">
        <v>564</v>
      </c>
      <c r="E136" s="548" t="s">
        <v>159</v>
      </c>
      <c r="F136" s="30" t="s">
        <v>3</v>
      </c>
      <c r="G136" s="285">
        <v>0</v>
      </c>
      <c r="H136" s="286">
        <v>332</v>
      </c>
      <c r="I136" s="286">
        <v>1312</v>
      </c>
      <c r="J136" s="286">
        <v>2964</v>
      </c>
      <c r="K136" s="286">
        <v>0</v>
      </c>
      <c r="L136" s="287">
        <v>0</v>
      </c>
      <c r="M136" s="212">
        <v>4608</v>
      </c>
    </row>
    <row r="137" spans="1:13" x14ac:dyDescent="0.25">
      <c r="A137" s="567"/>
      <c r="B137" s="546"/>
      <c r="C137" s="546"/>
      <c r="D137" s="546"/>
      <c r="E137" s="546"/>
      <c r="F137" s="29" t="s">
        <v>2</v>
      </c>
      <c r="G137" s="281">
        <v>0</v>
      </c>
      <c r="H137" s="282">
        <v>0</v>
      </c>
      <c r="I137" s="282">
        <v>8105</v>
      </c>
      <c r="J137" s="282">
        <v>8347</v>
      </c>
      <c r="K137" s="282">
        <v>392</v>
      </c>
      <c r="L137" s="288">
        <v>0</v>
      </c>
      <c r="M137" s="210">
        <v>16844</v>
      </c>
    </row>
    <row r="138" spans="1:13" x14ac:dyDescent="0.25">
      <c r="A138" s="567"/>
      <c r="B138" s="546"/>
      <c r="C138" s="546"/>
      <c r="D138" s="546"/>
      <c r="E138" s="546"/>
      <c r="F138" s="29" t="s">
        <v>1</v>
      </c>
      <c r="G138" s="281">
        <v>0</v>
      </c>
      <c r="H138" s="282">
        <v>4336</v>
      </c>
      <c r="I138" s="282">
        <v>0</v>
      </c>
      <c r="J138" s="282">
        <v>0</v>
      </c>
      <c r="K138" s="282">
        <v>0</v>
      </c>
      <c r="L138" s="288">
        <v>0</v>
      </c>
      <c r="M138" s="210">
        <v>4336</v>
      </c>
    </row>
    <row r="139" spans="1:13" x14ac:dyDescent="0.25">
      <c r="A139" s="567"/>
      <c r="B139" s="546"/>
      <c r="C139" s="546"/>
      <c r="D139" s="546"/>
      <c r="E139" s="546"/>
      <c r="F139" s="29" t="s">
        <v>0</v>
      </c>
      <c r="G139" s="281">
        <v>0</v>
      </c>
      <c r="H139" s="282">
        <v>0</v>
      </c>
      <c r="I139" s="282">
        <v>26095</v>
      </c>
      <c r="J139" s="282">
        <v>757</v>
      </c>
      <c r="K139" s="282">
        <v>0</v>
      </c>
      <c r="L139" s="288">
        <v>0</v>
      </c>
      <c r="M139" s="210">
        <v>26852</v>
      </c>
    </row>
    <row r="140" spans="1:13" x14ac:dyDescent="0.25">
      <c r="A140" s="567"/>
      <c r="B140" s="546"/>
      <c r="C140" s="546"/>
      <c r="D140" s="547"/>
      <c r="E140" s="549" t="s">
        <v>25</v>
      </c>
      <c r="F140" s="550"/>
      <c r="G140" s="283">
        <v>0</v>
      </c>
      <c r="H140" s="284">
        <v>4668</v>
      </c>
      <c r="I140" s="284">
        <v>35512</v>
      </c>
      <c r="J140" s="284">
        <v>12068</v>
      </c>
      <c r="K140" s="284">
        <v>392</v>
      </c>
      <c r="L140" s="289">
        <v>0</v>
      </c>
      <c r="M140" s="211">
        <v>52640</v>
      </c>
    </row>
    <row r="141" spans="1:13" x14ac:dyDescent="0.25">
      <c r="A141" s="567"/>
      <c r="B141" s="546"/>
      <c r="C141" s="546"/>
      <c r="D141" s="545" t="s">
        <v>565</v>
      </c>
      <c r="E141" s="548" t="s">
        <v>159</v>
      </c>
      <c r="F141" s="30" t="s">
        <v>3</v>
      </c>
      <c r="G141" s="285">
        <v>0</v>
      </c>
      <c r="H141" s="286">
        <v>10192</v>
      </c>
      <c r="I141" s="286">
        <v>28604</v>
      </c>
      <c r="J141" s="286">
        <v>8592</v>
      </c>
      <c r="K141" s="286">
        <v>1365</v>
      </c>
      <c r="L141" s="287">
        <v>0</v>
      </c>
      <c r="M141" s="212">
        <v>48753</v>
      </c>
    </row>
    <row r="142" spans="1:13" x14ac:dyDescent="0.25">
      <c r="A142" s="567"/>
      <c r="B142" s="546"/>
      <c r="C142" s="546"/>
      <c r="D142" s="546"/>
      <c r="E142" s="546"/>
      <c r="F142" s="29" t="s">
        <v>2</v>
      </c>
      <c r="G142" s="281">
        <v>0</v>
      </c>
      <c r="H142" s="282">
        <v>8055</v>
      </c>
      <c r="I142" s="282">
        <v>20713</v>
      </c>
      <c r="J142" s="282">
        <v>49944</v>
      </c>
      <c r="K142" s="282">
        <v>11627</v>
      </c>
      <c r="L142" s="288">
        <v>0</v>
      </c>
      <c r="M142" s="210">
        <v>90339</v>
      </c>
    </row>
    <row r="143" spans="1:13" x14ac:dyDescent="0.25">
      <c r="A143" s="567"/>
      <c r="B143" s="546"/>
      <c r="C143" s="546"/>
      <c r="D143" s="546"/>
      <c r="E143" s="546"/>
      <c r="F143" s="29" t="s">
        <v>1</v>
      </c>
      <c r="G143" s="281">
        <v>0</v>
      </c>
      <c r="H143" s="282">
        <v>0</v>
      </c>
      <c r="I143" s="282">
        <v>8517</v>
      </c>
      <c r="J143" s="282">
        <v>8943</v>
      </c>
      <c r="K143" s="282">
        <v>0</v>
      </c>
      <c r="L143" s="288">
        <v>0</v>
      </c>
      <c r="M143" s="210">
        <v>17460</v>
      </c>
    </row>
    <row r="144" spans="1:13" x14ac:dyDescent="0.25">
      <c r="A144" s="567"/>
      <c r="B144" s="546"/>
      <c r="C144" s="546"/>
      <c r="D144" s="546"/>
      <c r="E144" s="546"/>
      <c r="F144" s="29" t="s">
        <v>0</v>
      </c>
      <c r="G144" s="281">
        <v>0</v>
      </c>
      <c r="H144" s="282">
        <v>0</v>
      </c>
      <c r="I144" s="282">
        <v>40527</v>
      </c>
      <c r="J144" s="282">
        <v>7937</v>
      </c>
      <c r="K144" s="282">
        <v>0</v>
      </c>
      <c r="L144" s="288">
        <v>0</v>
      </c>
      <c r="M144" s="210">
        <v>48464</v>
      </c>
    </row>
    <row r="145" spans="1:13" x14ac:dyDescent="0.25">
      <c r="A145" s="567"/>
      <c r="B145" s="546"/>
      <c r="C145" s="546"/>
      <c r="D145" s="547"/>
      <c r="E145" s="549" t="s">
        <v>25</v>
      </c>
      <c r="F145" s="550"/>
      <c r="G145" s="283">
        <v>0</v>
      </c>
      <c r="H145" s="284">
        <v>18247</v>
      </c>
      <c r="I145" s="284">
        <v>98361</v>
      </c>
      <c r="J145" s="284">
        <v>75416</v>
      </c>
      <c r="K145" s="284">
        <v>12992</v>
      </c>
      <c r="L145" s="289">
        <v>0</v>
      </c>
      <c r="M145" s="211">
        <v>205016</v>
      </c>
    </row>
    <row r="146" spans="1:13" x14ac:dyDescent="0.25">
      <c r="A146" s="567"/>
      <c r="B146" s="546"/>
      <c r="C146" s="546"/>
      <c r="D146" s="545" t="s">
        <v>566</v>
      </c>
      <c r="E146" s="548" t="s">
        <v>159</v>
      </c>
      <c r="F146" s="30" t="s">
        <v>3</v>
      </c>
      <c r="G146" s="285">
        <v>0</v>
      </c>
      <c r="H146" s="286">
        <v>701</v>
      </c>
      <c r="I146" s="286">
        <v>13864</v>
      </c>
      <c r="J146" s="286">
        <v>4792</v>
      </c>
      <c r="K146" s="286">
        <v>1785</v>
      </c>
      <c r="L146" s="287">
        <v>0</v>
      </c>
      <c r="M146" s="212">
        <v>21142</v>
      </c>
    </row>
    <row r="147" spans="1:13" x14ac:dyDescent="0.25">
      <c r="A147" s="567"/>
      <c r="B147" s="546"/>
      <c r="C147" s="546"/>
      <c r="D147" s="546"/>
      <c r="E147" s="546"/>
      <c r="F147" s="29" t="s">
        <v>2</v>
      </c>
      <c r="G147" s="281">
        <v>0</v>
      </c>
      <c r="H147" s="282">
        <v>0</v>
      </c>
      <c r="I147" s="282">
        <v>18522</v>
      </c>
      <c r="J147" s="282">
        <v>6433</v>
      </c>
      <c r="K147" s="282">
        <v>2940</v>
      </c>
      <c r="L147" s="288">
        <v>0</v>
      </c>
      <c r="M147" s="210">
        <v>27895</v>
      </c>
    </row>
    <row r="148" spans="1:13" x14ac:dyDescent="0.25">
      <c r="A148" s="567"/>
      <c r="B148" s="546"/>
      <c r="C148" s="546"/>
      <c r="D148" s="546"/>
      <c r="E148" s="546"/>
      <c r="F148" s="29" t="s">
        <v>1</v>
      </c>
      <c r="G148" s="281">
        <v>0</v>
      </c>
      <c r="H148" s="282">
        <v>0</v>
      </c>
      <c r="I148" s="282">
        <v>2009</v>
      </c>
      <c r="J148" s="282">
        <v>0</v>
      </c>
      <c r="K148" s="282">
        <v>0</v>
      </c>
      <c r="L148" s="288">
        <v>0</v>
      </c>
      <c r="M148" s="210">
        <v>2009</v>
      </c>
    </row>
    <row r="149" spans="1:13" x14ac:dyDescent="0.25">
      <c r="A149" s="567"/>
      <c r="B149" s="546"/>
      <c r="C149" s="546"/>
      <c r="D149" s="546"/>
      <c r="E149" s="546"/>
      <c r="F149" s="29" t="s">
        <v>0</v>
      </c>
      <c r="G149" s="281">
        <v>0</v>
      </c>
      <c r="H149" s="282">
        <v>0</v>
      </c>
      <c r="I149" s="282">
        <v>13072</v>
      </c>
      <c r="J149" s="282">
        <v>3474</v>
      </c>
      <c r="K149" s="282">
        <v>0</v>
      </c>
      <c r="L149" s="288">
        <v>0</v>
      </c>
      <c r="M149" s="210">
        <v>16546</v>
      </c>
    </row>
    <row r="150" spans="1:13" x14ac:dyDescent="0.25">
      <c r="A150" s="567"/>
      <c r="B150" s="546"/>
      <c r="C150" s="546"/>
      <c r="D150" s="547"/>
      <c r="E150" s="549" t="s">
        <v>25</v>
      </c>
      <c r="F150" s="550"/>
      <c r="G150" s="283">
        <v>0</v>
      </c>
      <c r="H150" s="284">
        <v>701</v>
      </c>
      <c r="I150" s="284">
        <v>47467</v>
      </c>
      <c r="J150" s="284">
        <v>14699</v>
      </c>
      <c r="K150" s="284">
        <v>4725</v>
      </c>
      <c r="L150" s="289">
        <v>0</v>
      </c>
      <c r="M150" s="211">
        <v>67592</v>
      </c>
    </row>
    <row r="151" spans="1:13" x14ac:dyDescent="0.25">
      <c r="A151" s="567"/>
      <c r="B151" s="546"/>
      <c r="C151" s="546"/>
      <c r="D151" s="545" t="s">
        <v>567</v>
      </c>
      <c r="E151" s="548" t="s">
        <v>159</v>
      </c>
      <c r="F151" s="30" t="s">
        <v>3</v>
      </c>
      <c r="G151" s="285">
        <v>0</v>
      </c>
      <c r="H151" s="286">
        <v>4357</v>
      </c>
      <c r="I151" s="286">
        <v>786</v>
      </c>
      <c r="J151" s="286">
        <v>1812</v>
      </c>
      <c r="K151" s="287">
        <v>0</v>
      </c>
      <c r="L151" s="287">
        <v>0</v>
      </c>
      <c r="M151" s="212">
        <v>6955</v>
      </c>
    </row>
    <row r="152" spans="1:13" s="22" customFormat="1" x14ac:dyDescent="0.25">
      <c r="A152" s="567"/>
      <c r="B152" s="546"/>
      <c r="C152" s="546"/>
      <c r="D152" s="571"/>
      <c r="E152" s="571"/>
      <c r="F152" s="29" t="s">
        <v>2</v>
      </c>
      <c r="G152" s="281">
        <v>0</v>
      </c>
      <c r="H152" s="282">
        <v>0</v>
      </c>
      <c r="I152" s="282">
        <v>0</v>
      </c>
      <c r="J152" s="282">
        <v>0</v>
      </c>
      <c r="K152" s="288">
        <v>0</v>
      </c>
      <c r="L152" s="288">
        <v>0</v>
      </c>
      <c r="M152" s="210">
        <v>0</v>
      </c>
    </row>
    <row r="153" spans="1:13" s="22" customFormat="1" x14ac:dyDescent="0.25">
      <c r="A153" s="567"/>
      <c r="B153" s="546"/>
      <c r="C153" s="546"/>
      <c r="D153" s="571"/>
      <c r="E153" s="571"/>
      <c r="F153" s="29" t="s">
        <v>1</v>
      </c>
      <c r="G153" s="281">
        <v>0</v>
      </c>
      <c r="H153" s="282">
        <v>0</v>
      </c>
      <c r="I153" s="282">
        <v>0</v>
      </c>
      <c r="J153" s="282">
        <v>0</v>
      </c>
      <c r="K153" s="288">
        <v>0</v>
      </c>
      <c r="L153" s="288">
        <v>0</v>
      </c>
      <c r="M153" s="210">
        <v>0</v>
      </c>
    </row>
    <row r="154" spans="1:13" x14ac:dyDescent="0.25">
      <c r="A154" s="567"/>
      <c r="B154" s="546"/>
      <c r="C154" s="546"/>
      <c r="D154" s="546"/>
      <c r="E154" s="546"/>
      <c r="F154" s="29" t="s">
        <v>0</v>
      </c>
      <c r="G154" s="281">
        <v>0</v>
      </c>
      <c r="H154" s="282">
        <v>0</v>
      </c>
      <c r="I154" s="282">
        <v>1410</v>
      </c>
      <c r="J154" s="282">
        <v>2418</v>
      </c>
      <c r="K154" s="288">
        <v>0</v>
      </c>
      <c r="L154" s="288">
        <v>0</v>
      </c>
      <c r="M154" s="210">
        <v>3828</v>
      </c>
    </row>
    <row r="155" spans="1:13" x14ac:dyDescent="0.25">
      <c r="A155" s="567"/>
      <c r="B155" s="546"/>
      <c r="C155" s="546"/>
      <c r="D155" s="547"/>
      <c r="E155" s="549" t="s">
        <v>25</v>
      </c>
      <c r="F155" s="550"/>
      <c r="G155" s="283">
        <v>0</v>
      </c>
      <c r="H155" s="284">
        <v>4357</v>
      </c>
      <c r="I155" s="284">
        <v>2196</v>
      </c>
      <c r="J155" s="284">
        <v>4230</v>
      </c>
      <c r="K155" s="289">
        <v>0</v>
      </c>
      <c r="L155" s="289">
        <v>0</v>
      </c>
      <c r="M155" s="211">
        <v>10783</v>
      </c>
    </row>
    <row r="156" spans="1:13" x14ac:dyDescent="0.25">
      <c r="A156" s="567"/>
      <c r="B156" s="546"/>
      <c r="C156" s="546"/>
      <c r="D156" s="545" t="s">
        <v>568</v>
      </c>
      <c r="E156" s="548" t="s">
        <v>159</v>
      </c>
      <c r="F156" s="30" t="s">
        <v>3</v>
      </c>
      <c r="G156" s="285">
        <v>0</v>
      </c>
      <c r="H156" s="286">
        <v>7723</v>
      </c>
      <c r="I156" s="286">
        <v>42627</v>
      </c>
      <c r="J156" s="286">
        <v>0</v>
      </c>
      <c r="K156" s="286">
        <v>0</v>
      </c>
      <c r="L156" s="287">
        <v>0</v>
      </c>
      <c r="M156" s="212">
        <v>50350</v>
      </c>
    </row>
    <row r="157" spans="1:13" x14ac:dyDescent="0.25">
      <c r="A157" s="567"/>
      <c r="B157" s="546"/>
      <c r="C157" s="546"/>
      <c r="D157" s="546"/>
      <c r="E157" s="546"/>
      <c r="F157" s="29" t="s">
        <v>2</v>
      </c>
      <c r="G157" s="281">
        <v>0</v>
      </c>
      <c r="H157" s="282">
        <v>9198</v>
      </c>
      <c r="I157" s="282">
        <v>11486</v>
      </c>
      <c r="J157" s="282">
        <v>11803</v>
      </c>
      <c r="K157" s="282">
        <v>1040</v>
      </c>
      <c r="L157" s="288">
        <v>0</v>
      </c>
      <c r="M157" s="210">
        <v>33527</v>
      </c>
    </row>
    <row r="158" spans="1:13" x14ac:dyDescent="0.25">
      <c r="A158" s="567"/>
      <c r="B158" s="546"/>
      <c r="C158" s="546"/>
      <c r="D158" s="546"/>
      <c r="E158" s="546"/>
      <c r="F158" s="29" t="s">
        <v>1</v>
      </c>
      <c r="G158" s="281">
        <v>0</v>
      </c>
      <c r="H158" s="282">
        <v>0</v>
      </c>
      <c r="I158" s="282">
        <v>853</v>
      </c>
      <c r="J158" s="282">
        <v>1181</v>
      </c>
      <c r="K158" s="282">
        <v>0</v>
      </c>
      <c r="L158" s="288">
        <v>0</v>
      </c>
      <c r="M158" s="210">
        <v>2034</v>
      </c>
    </row>
    <row r="159" spans="1:13" x14ac:dyDescent="0.25">
      <c r="A159" s="567"/>
      <c r="B159" s="546"/>
      <c r="C159" s="546"/>
      <c r="D159" s="546"/>
      <c r="E159" s="546"/>
      <c r="F159" s="29" t="s">
        <v>0</v>
      </c>
      <c r="G159" s="281">
        <v>0</v>
      </c>
      <c r="H159" s="282">
        <v>10573</v>
      </c>
      <c r="I159" s="282">
        <v>31125</v>
      </c>
      <c r="J159" s="282">
        <v>7095</v>
      </c>
      <c r="K159" s="282">
        <v>0</v>
      </c>
      <c r="L159" s="288">
        <v>0</v>
      </c>
      <c r="M159" s="210">
        <v>48793</v>
      </c>
    </row>
    <row r="160" spans="1:13" x14ac:dyDescent="0.25">
      <c r="A160" s="567"/>
      <c r="B160" s="546"/>
      <c r="C160" s="546"/>
      <c r="D160" s="547"/>
      <c r="E160" s="549" t="s">
        <v>25</v>
      </c>
      <c r="F160" s="550"/>
      <c r="G160" s="283">
        <v>0</v>
      </c>
      <c r="H160" s="284">
        <v>27494</v>
      </c>
      <c r="I160" s="284">
        <v>86091</v>
      </c>
      <c r="J160" s="284">
        <v>20079</v>
      </c>
      <c r="K160" s="284">
        <v>1040</v>
      </c>
      <c r="L160" s="289">
        <v>0</v>
      </c>
      <c r="M160" s="211">
        <v>134704</v>
      </c>
    </row>
    <row r="161" spans="1:13" x14ac:dyDescent="0.25">
      <c r="A161" s="567"/>
      <c r="B161" s="546"/>
      <c r="C161" s="546"/>
      <c r="D161" s="545" t="s">
        <v>569</v>
      </c>
      <c r="E161" s="548" t="s">
        <v>159</v>
      </c>
      <c r="F161" s="30" t="s">
        <v>3</v>
      </c>
      <c r="G161" s="285">
        <v>0</v>
      </c>
      <c r="H161" s="286">
        <v>1761</v>
      </c>
      <c r="I161" s="286">
        <v>1143</v>
      </c>
      <c r="J161" s="286">
        <v>5200</v>
      </c>
      <c r="K161" s="286">
        <v>3418</v>
      </c>
      <c r="L161" s="287">
        <v>0</v>
      </c>
      <c r="M161" s="212">
        <v>11522</v>
      </c>
    </row>
    <row r="162" spans="1:13" x14ac:dyDescent="0.25">
      <c r="A162" s="567"/>
      <c r="B162" s="546"/>
      <c r="C162" s="546"/>
      <c r="D162" s="546"/>
      <c r="E162" s="546"/>
      <c r="F162" s="29" t="s">
        <v>2</v>
      </c>
      <c r="G162" s="281">
        <v>0</v>
      </c>
      <c r="H162" s="282">
        <v>1142</v>
      </c>
      <c r="I162" s="282">
        <v>16360</v>
      </c>
      <c r="J162" s="282">
        <v>30153</v>
      </c>
      <c r="K162" s="282">
        <v>20666</v>
      </c>
      <c r="L162" s="288">
        <v>0</v>
      </c>
      <c r="M162" s="210">
        <v>68321</v>
      </c>
    </row>
    <row r="163" spans="1:13" x14ac:dyDescent="0.25">
      <c r="A163" s="567"/>
      <c r="B163" s="546"/>
      <c r="C163" s="546"/>
      <c r="D163" s="546"/>
      <c r="E163" s="546"/>
      <c r="F163" s="29" t="s">
        <v>1</v>
      </c>
      <c r="G163" s="281">
        <v>0</v>
      </c>
      <c r="H163" s="282">
        <v>0</v>
      </c>
      <c r="I163" s="282">
        <v>8281</v>
      </c>
      <c r="J163" s="282">
        <v>2169</v>
      </c>
      <c r="K163" s="282">
        <v>0</v>
      </c>
      <c r="L163" s="288">
        <v>0</v>
      </c>
      <c r="M163" s="210">
        <v>10450</v>
      </c>
    </row>
    <row r="164" spans="1:13" x14ac:dyDescent="0.25">
      <c r="A164" s="567"/>
      <c r="B164" s="546"/>
      <c r="C164" s="546"/>
      <c r="D164" s="546"/>
      <c r="E164" s="546"/>
      <c r="F164" s="29" t="s">
        <v>0</v>
      </c>
      <c r="G164" s="281">
        <v>0</v>
      </c>
      <c r="H164" s="282">
        <v>0</v>
      </c>
      <c r="I164" s="282">
        <v>22577</v>
      </c>
      <c r="J164" s="282">
        <v>8252</v>
      </c>
      <c r="K164" s="282">
        <v>296</v>
      </c>
      <c r="L164" s="288">
        <v>0</v>
      </c>
      <c r="M164" s="210">
        <v>31125</v>
      </c>
    </row>
    <row r="165" spans="1:13" x14ac:dyDescent="0.25">
      <c r="A165" s="567"/>
      <c r="B165" s="546"/>
      <c r="C165" s="546"/>
      <c r="D165" s="547"/>
      <c r="E165" s="549" t="s">
        <v>25</v>
      </c>
      <c r="F165" s="550"/>
      <c r="G165" s="283">
        <v>0</v>
      </c>
      <c r="H165" s="284">
        <v>2903</v>
      </c>
      <c r="I165" s="284">
        <v>48361</v>
      </c>
      <c r="J165" s="284">
        <v>45774</v>
      </c>
      <c r="K165" s="284">
        <v>24380</v>
      </c>
      <c r="L165" s="289">
        <v>0</v>
      </c>
      <c r="M165" s="211">
        <v>121418</v>
      </c>
    </row>
    <row r="166" spans="1:13" x14ac:dyDescent="0.25">
      <c r="A166" s="567"/>
      <c r="B166" s="546"/>
      <c r="C166" s="546"/>
      <c r="D166" s="545" t="s">
        <v>570</v>
      </c>
      <c r="E166" s="548" t="s">
        <v>159</v>
      </c>
      <c r="F166" s="30" t="s">
        <v>3</v>
      </c>
      <c r="G166" s="285">
        <v>0</v>
      </c>
      <c r="H166" s="286">
        <v>17328</v>
      </c>
      <c r="I166" s="286">
        <v>990</v>
      </c>
      <c r="J166" s="286">
        <v>0</v>
      </c>
      <c r="K166" s="286">
        <v>1115</v>
      </c>
      <c r="L166" s="287">
        <v>0</v>
      </c>
      <c r="M166" s="212">
        <v>19433</v>
      </c>
    </row>
    <row r="167" spans="1:13" x14ac:dyDescent="0.25">
      <c r="A167" s="567"/>
      <c r="B167" s="546"/>
      <c r="C167" s="546"/>
      <c r="D167" s="546"/>
      <c r="E167" s="546"/>
      <c r="F167" s="29" t="s">
        <v>2</v>
      </c>
      <c r="G167" s="281">
        <v>0</v>
      </c>
      <c r="H167" s="282">
        <v>1748</v>
      </c>
      <c r="I167" s="282">
        <v>21997</v>
      </c>
      <c r="J167" s="282">
        <v>5850</v>
      </c>
      <c r="K167" s="282">
        <v>0</v>
      </c>
      <c r="L167" s="288">
        <v>0</v>
      </c>
      <c r="M167" s="210">
        <v>29595</v>
      </c>
    </row>
    <row r="168" spans="1:13" x14ac:dyDescent="0.25">
      <c r="A168" s="567"/>
      <c r="B168" s="546"/>
      <c r="C168" s="546"/>
      <c r="D168" s="546"/>
      <c r="E168" s="546"/>
      <c r="F168" s="29" t="s">
        <v>1</v>
      </c>
      <c r="G168" s="281">
        <v>0</v>
      </c>
      <c r="H168" s="282">
        <v>470</v>
      </c>
      <c r="I168" s="282">
        <v>5346</v>
      </c>
      <c r="J168" s="282">
        <v>1999</v>
      </c>
      <c r="K168" s="282">
        <v>0</v>
      </c>
      <c r="L168" s="288">
        <v>0</v>
      </c>
      <c r="M168" s="210">
        <v>7815</v>
      </c>
    </row>
    <row r="169" spans="1:13" x14ac:dyDescent="0.25">
      <c r="A169" s="567"/>
      <c r="B169" s="546"/>
      <c r="C169" s="546"/>
      <c r="D169" s="546"/>
      <c r="E169" s="546"/>
      <c r="F169" s="29" t="s">
        <v>0</v>
      </c>
      <c r="G169" s="281">
        <v>0</v>
      </c>
      <c r="H169" s="282">
        <v>10806</v>
      </c>
      <c r="I169" s="282">
        <v>70727</v>
      </c>
      <c r="J169" s="282">
        <v>6765</v>
      </c>
      <c r="K169" s="282">
        <v>0</v>
      </c>
      <c r="L169" s="288">
        <v>0</v>
      </c>
      <c r="M169" s="210">
        <v>88298</v>
      </c>
    </row>
    <row r="170" spans="1:13" x14ac:dyDescent="0.25">
      <c r="A170" s="567"/>
      <c r="B170" s="546"/>
      <c r="C170" s="546"/>
      <c r="D170" s="547"/>
      <c r="E170" s="549" t="s">
        <v>25</v>
      </c>
      <c r="F170" s="550"/>
      <c r="G170" s="283">
        <v>0</v>
      </c>
      <c r="H170" s="284">
        <v>30352</v>
      </c>
      <c r="I170" s="284">
        <v>99060</v>
      </c>
      <c r="J170" s="284">
        <v>14614</v>
      </c>
      <c r="K170" s="284">
        <v>1115</v>
      </c>
      <c r="L170" s="289">
        <v>0</v>
      </c>
      <c r="M170" s="211">
        <v>145141</v>
      </c>
    </row>
    <row r="171" spans="1:13" x14ac:dyDescent="0.25">
      <c r="A171" s="567"/>
      <c r="B171" s="546"/>
      <c r="C171" s="546"/>
      <c r="D171" s="545" t="s">
        <v>571</v>
      </c>
      <c r="E171" s="548" t="s">
        <v>159</v>
      </c>
      <c r="F171" s="30" t="s">
        <v>3</v>
      </c>
      <c r="G171" s="285">
        <v>0</v>
      </c>
      <c r="H171" s="286">
        <v>85072</v>
      </c>
      <c r="I171" s="286">
        <v>154020</v>
      </c>
      <c r="J171" s="286">
        <v>95199</v>
      </c>
      <c r="K171" s="286">
        <v>50036</v>
      </c>
      <c r="L171" s="286">
        <v>6823</v>
      </c>
      <c r="M171" s="212">
        <v>391150</v>
      </c>
    </row>
    <row r="172" spans="1:13" x14ac:dyDescent="0.25">
      <c r="A172" s="567"/>
      <c r="B172" s="546"/>
      <c r="C172" s="546"/>
      <c r="D172" s="546"/>
      <c r="E172" s="546"/>
      <c r="F172" s="29" t="s">
        <v>2</v>
      </c>
      <c r="G172" s="281">
        <v>0</v>
      </c>
      <c r="H172" s="282">
        <v>221565</v>
      </c>
      <c r="I172" s="282">
        <v>284909</v>
      </c>
      <c r="J172" s="282">
        <v>422477</v>
      </c>
      <c r="K172" s="282">
        <v>243021</v>
      </c>
      <c r="L172" s="282">
        <v>8481</v>
      </c>
      <c r="M172" s="210">
        <v>1180453</v>
      </c>
    </row>
    <row r="173" spans="1:13" x14ac:dyDescent="0.25">
      <c r="A173" s="567"/>
      <c r="B173" s="546"/>
      <c r="C173" s="546"/>
      <c r="D173" s="546"/>
      <c r="E173" s="546"/>
      <c r="F173" s="29" t="s">
        <v>1</v>
      </c>
      <c r="G173" s="281">
        <v>0</v>
      </c>
      <c r="H173" s="282">
        <v>12806</v>
      </c>
      <c r="I173" s="282">
        <v>37656</v>
      </c>
      <c r="J173" s="282">
        <v>29442</v>
      </c>
      <c r="K173" s="282">
        <v>7579</v>
      </c>
      <c r="L173" s="282">
        <v>0</v>
      </c>
      <c r="M173" s="210">
        <v>87483</v>
      </c>
    </row>
    <row r="174" spans="1:13" x14ac:dyDescent="0.25">
      <c r="A174" s="567"/>
      <c r="B174" s="546"/>
      <c r="C174" s="546"/>
      <c r="D174" s="546"/>
      <c r="E174" s="546"/>
      <c r="F174" s="29" t="s">
        <v>0</v>
      </c>
      <c r="G174" s="281">
        <v>0</v>
      </c>
      <c r="H174" s="282">
        <v>116776</v>
      </c>
      <c r="I174" s="282">
        <v>402491</v>
      </c>
      <c r="J174" s="282">
        <v>300813</v>
      </c>
      <c r="K174" s="282">
        <v>36941</v>
      </c>
      <c r="L174" s="282">
        <v>0</v>
      </c>
      <c r="M174" s="210">
        <v>857021</v>
      </c>
    </row>
    <row r="175" spans="1:13" x14ac:dyDescent="0.25">
      <c r="A175" s="567"/>
      <c r="B175" s="546"/>
      <c r="C175" s="546"/>
      <c r="D175" s="547"/>
      <c r="E175" s="549" t="s">
        <v>25</v>
      </c>
      <c r="F175" s="550"/>
      <c r="G175" s="283">
        <v>0</v>
      </c>
      <c r="H175" s="284">
        <v>436219</v>
      </c>
      <c r="I175" s="284">
        <v>879076</v>
      </c>
      <c r="J175" s="284">
        <v>847931</v>
      </c>
      <c r="K175" s="284">
        <v>337577</v>
      </c>
      <c r="L175" s="284">
        <v>15304</v>
      </c>
      <c r="M175" s="211">
        <v>2516107</v>
      </c>
    </row>
    <row r="176" spans="1:13" x14ac:dyDescent="0.25">
      <c r="A176" s="567"/>
      <c r="B176" s="546"/>
      <c r="C176" s="546"/>
      <c r="D176" s="545" t="s">
        <v>572</v>
      </c>
      <c r="E176" s="548" t="s">
        <v>159</v>
      </c>
      <c r="F176" s="30" t="s">
        <v>3</v>
      </c>
      <c r="G176" s="285">
        <v>0</v>
      </c>
      <c r="H176" s="286">
        <v>0</v>
      </c>
      <c r="I176" s="286">
        <v>9043</v>
      </c>
      <c r="J176" s="286">
        <v>33785</v>
      </c>
      <c r="K176" s="286">
        <v>5561</v>
      </c>
      <c r="L176" s="286">
        <v>0</v>
      </c>
      <c r="M176" s="212">
        <v>48389</v>
      </c>
    </row>
    <row r="177" spans="1:13" x14ac:dyDescent="0.25">
      <c r="A177" s="567"/>
      <c r="B177" s="546"/>
      <c r="C177" s="546"/>
      <c r="D177" s="546"/>
      <c r="E177" s="546"/>
      <c r="F177" s="29" t="s">
        <v>2</v>
      </c>
      <c r="G177" s="281">
        <v>0</v>
      </c>
      <c r="H177" s="282">
        <v>9896</v>
      </c>
      <c r="I177" s="282">
        <v>64521</v>
      </c>
      <c r="J177" s="282">
        <v>47104</v>
      </c>
      <c r="K177" s="282">
        <v>26510</v>
      </c>
      <c r="L177" s="282">
        <v>1826</v>
      </c>
      <c r="M177" s="210">
        <v>149857</v>
      </c>
    </row>
    <row r="178" spans="1:13" x14ac:dyDescent="0.25">
      <c r="A178" s="567"/>
      <c r="B178" s="546"/>
      <c r="C178" s="546"/>
      <c r="D178" s="546"/>
      <c r="E178" s="546"/>
      <c r="F178" s="29" t="s">
        <v>1</v>
      </c>
      <c r="G178" s="281">
        <v>0</v>
      </c>
      <c r="H178" s="282">
        <v>0</v>
      </c>
      <c r="I178" s="282">
        <v>2268</v>
      </c>
      <c r="J178" s="282">
        <v>2281</v>
      </c>
      <c r="K178" s="282">
        <v>0</v>
      </c>
      <c r="L178" s="282">
        <v>0</v>
      </c>
      <c r="M178" s="210">
        <v>4549</v>
      </c>
    </row>
    <row r="179" spans="1:13" x14ac:dyDescent="0.25">
      <c r="A179" s="567"/>
      <c r="B179" s="546"/>
      <c r="C179" s="546"/>
      <c r="D179" s="546"/>
      <c r="E179" s="546"/>
      <c r="F179" s="29" t="s">
        <v>0</v>
      </c>
      <c r="G179" s="281">
        <v>0</v>
      </c>
      <c r="H179" s="282">
        <v>0</v>
      </c>
      <c r="I179" s="282">
        <v>11263</v>
      </c>
      <c r="J179" s="282">
        <v>22939</v>
      </c>
      <c r="K179" s="282">
        <v>967</v>
      </c>
      <c r="L179" s="282">
        <v>0</v>
      </c>
      <c r="M179" s="210">
        <v>35169</v>
      </c>
    </row>
    <row r="180" spans="1:13" x14ac:dyDescent="0.25">
      <c r="A180" s="567"/>
      <c r="B180" s="546"/>
      <c r="C180" s="546"/>
      <c r="D180" s="547"/>
      <c r="E180" s="549" t="s">
        <v>25</v>
      </c>
      <c r="F180" s="550"/>
      <c r="G180" s="283">
        <v>0</v>
      </c>
      <c r="H180" s="284">
        <v>9896</v>
      </c>
      <c r="I180" s="284">
        <v>87095</v>
      </c>
      <c r="J180" s="284">
        <v>106109</v>
      </c>
      <c r="K180" s="284">
        <v>33038</v>
      </c>
      <c r="L180" s="284">
        <v>1826</v>
      </c>
      <c r="M180" s="211">
        <v>237964</v>
      </c>
    </row>
    <row r="181" spans="1:13" x14ac:dyDescent="0.25">
      <c r="A181" s="567"/>
      <c r="B181" s="546"/>
      <c r="C181" s="546"/>
      <c r="D181" s="545" t="s">
        <v>573</v>
      </c>
      <c r="E181" s="548" t="s">
        <v>159</v>
      </c>
      <c r="F181" s="30" t="s">
        <v>3</v>
      </c>
      <c r="G181" s="285">
        <v>0</v>
      </c>
      <c r="H181" s="286">
        <v>0</v>
      </c>
      <c r="I181" s="286">
        <v>27799</v>
      </c>
      <c r="J181" s="286">
        <v>6416</v>
      </c>
      <c r="K181" s="286">
        <v>0</v>
      </c>
      <c r="L181" s="286">
        <v>0</v>
      </c>
      <c r="M181" s="212">
        <v>34215</v>
      </c>
    </row>
    <row r="182" spans="1:13" x14ac:dyDescent="0.25">
      <c r="A182" s="567"/>
      <c r="B182" s="546"/>
      <c r="C182" s="546"/>
      <c r="D182" s="546"/>
      <c r="E182" s="546"/>
      <c r="F182" s="29" t="s">
        <v>2</v>
      </c>
      <c r="G182" s="281">
        <v>0</v>
      </c>
      <c r="H182" s="282">
        <v>28790</v>
      </c>
      <c r="I182" s="282">
        <v>70164</v>
      </c>
      <c r="J182" s="282">
        <v>23293</v>
      </c>
      <c r="K182" s="282">
        <v>6805</v>
      </c>
      <c r="L182" s="282">
        <v>8986</v>
      </c>
      <c r="M182" s="210">
        <v>138038</v>
      </c>
    </row>
    <row r="183" spans="1:13" x14ac:dyDescent="0.25">
      <c r="A183" s="567"/>
      <c r="B183" s="546"/>
      <c r="C183" s="546"/>
      <c r="D183" s="546"/>
      <c r="E183" s="546"/>
      <c r="F183" s="29" t="s">
        <v>1</v>
      </c>
      <c r="G183" s="281">
        <v>0</v>
      </c>
      <c r="H183" s="282">
        <v>0</v>
      </c>
      <c r="I183" s="282">
        <v>5334</v>
      </c>
      <c r="J183" s="282">
        <v>1651</v>
      </c>
      <c r="K183" s="282">
        <v>0</v>
      </c>
      <c r="L183" s="282">
        <v>0</v>
      </c>
      <c r="M183" s="210">
        <v>6985</v>
      </c>
    </row>
    <row r="184" spans="1:13" x14ac:dyDescent="0.25">
      <c r="A184" s="567"/>
      <c r="B184" s="546"/>
      <c r="C184" s="546"/>
      <c r="D184" s="546"/>
      <c r="E184" s="546"/>
      <c r="F184" s="29" t="s">
        <v>0</v>
      </c>
      <c r="G184" s="281">
        <v>0</v>
      </c>
      <c r="H184" s="282">
        <v>1276</v>
      </c>
      <c r="I184" s="282">
        <v>108745</v>
      </c>
      <c r="J184" s="282">
        <v>9510</v>
      </c>
      <c r="K184" s="282">
        <v>0</v>
      </c>
      <c r="L184" s="282">
        <v>0</v>
      </c>
      <c r="M184" s="210">
        <v>119531</v>
      </c>
    </row>
    <row r="185" spans="1:13" x14ac:dyDescent="0.25">
      <c r="A185" s="567"/>
      <c r="B185" s="547"/>
      <c r="C185" s="547"/>
      <c r="D185" s="547"/>
      <c r="E185" s="549" t="s">
        <v>25</v>
      </c>
      <c r="F185" s="550"/>
      <c r="G185" s="283">
        <v>0</v>
      </c>
      <c r="H185" s="284">
        <v>30066</v>
      </c>
      <c r="I185" s="284">
        <v>212042</v>
      </c>
      <c r="J185" s="284">
        <v>40870</v>
      </c>
      <c r="K185" s="284">
        <v>6805</v>
      </c>
      <c r="L185" s="284">
        <v>8986</v>
      </c>
      <c r="M185" s="211">
        <v>298769</v>
      </c>
    </row>
    <row r="186" spans="1:13" x14ac:dyDescent="0.25">
      <c r="A186" s="567"/>
      <c r="B186" s="545" t="s">
        <v>8</v>
      </c>
      <c r="C186" s="545" t="s">
        <v>7</v>
      </c>
      <c r="D186" s="545" t="s">
        <v>562</v>
      </c>
      <c r="E186" s="548" t="s">
        <v>159</v>
      </c>
      <c r="F186" s="30" t="s">
        <v>3</v>
      </c>
      <c r="G186" s="290">
        <v>0</v>
      </c>
      <c r="H186" s="286">
        <v>95275</v>
      </c>
      <c r="I186" s="286">
        <v>75257</v>
      </c>
      <c r="J186" s="286">
        <v>38334</v>
      </c>
      <c r="K186" s="286">
        <v>42795</v>
      </c>
      <c r="L186" s="286">
        <v>89468</v>
      </c>
      <c r="M186" s="212">
        <v>341129</v>
      </c>
    </row>
    <row r="187" spans="1:13" x14ac:dyDescent="0.25">
      <c r="A187" s="567"/>
      <c r="B187" s="546"/>
      <c r="C187" s="546"/>
      <c r="D187" s="546"/>
      <c r="E187" s="546"/>
      <c r="F187" s="29" t="s">
        <v>2</v>
      </c>
      <c r="G187" s="291">
        <v>0</v>
      </c>
      <c r="H187" s="282">
        <v>28066</v>
      </c>
      <c r="I187" s="282">
        <v>2532</v>
      </c>
      <c r="J187" s="282">
        <v>21774</v>
      </c>
      <c r="K187" s="282">
        <v>13553</v>
      </c>
      <c r="L187" s="282">
        <v>20431</v>
      </c>
      <c r="M187" s="210">
        <v>86356</v>
      </c>
    </row>
    <row r="188" spans="1:13" x14ac:dyDescent="0.25">
      <c r="A188" s="567"/>
      <c r="B188" s="546"/>
      <c r="C188" s="546"/>
      <c r="D188" s="546"/>
      <c r="E188" s="546"/>
      <c r="F188" s="29" t="s">
        <v>1</v>
      </c>
      <c r="G188" s="291">
        <v>608018</v>
      </c>
      <c r="H188" s="282">
        <v>295075</v>
      </c>
      <c r="I188" s="282">
        <v>14223</v>
      </c>
      <c r="J188" s="282">
        <v>13207</v>
      </c>
      <c r="K188" s="282">
        <v>4969</v>
      </c>
      <c r="L188" s="282">
        <v>1282</v>
      </c>
      <c r="M188" s="210">
        <v>936774</v>
      </c>
    </row>
    <row r="189" spans="1:13" x14ac:dyDescent="0.25">
      <c r="A189" s="567"/>
      <c r="B189" s="546"/>
      <c r="C189" s="546"/>
      <c r="D189" s="546"/>
      <c r="E189" s="546"/>
      <c r="F189" s="29" t="s">
        <v>0</v>
      </c>
      <c r="G189" s="291">
        <v>771410</v>
      </c>
      <c r="H189" s="282">
        <v>150169</v>
      </c>
      <c r="I189" s="282">
        <v>17024</v>
      </c>
      <c r="J189" s="282">
        <v>6978</v>
      </c>
      <c r="K189" s="282">
        <v>7307</v>
      </c>
      <c r="L189" s="282">
        <v>0</v>
      </c>
      <c r="M189" s="210">
        <v>952888</v>
      </c>
    </row>
    <row r="190" spans="1:13" x14ac:dyDescent="0.25">
      <c r="A190" s="567"/>
      <c r="B190" s="546"/>
      <c r="C190" s="546"/>
      <c r="D190" s="547"/>
      <c r="E190" s="549" t="s">
        <v>25</v>
      </c>
      <c r="F190" s="550"/>
      <c r="G190" s="292">
        <v>1379428</v>
      </c>
      <c r="H190" s="284">
        <v>568585</v>
      </c>
      <c r="I190" s="284">
        <v>109036</v>
      </c>
      <c r="J190" s="284">
        <v>80293</v>
      </c>
      <c r="K190" s="284">
        <v>68624</v>
      </c>
      <c r="L190" s="284">
        <v>111181</v>
      </c>
      <c r="M190" s="211">
        <v>2317147</v>
      </c>
    </row>
    <row r="191" spans="1:13" x14ac:dyDescent="0.25">
      <c r="A191" s="567"/>
      <c r="B191" s="546"/>
      <c r="C191" s="546"/>
      <c r="D191" s="545" t="s">
        <v>563</v>
      </c>
      <c r="E191" s="548" t="s">
        <v>159</v>
      </c>
      <c r="F191" s="30" t="s">
        <v>3</v>
      </c>
      <c r="G191" s="285">
        <v>0</v>
      </c>
      <c r="H191" s="286">
        <v>1407</v>
      </c>
      <c r="I191" s="286">
        <v>20268</v>
      </c>
      <c r="J191" s="286">
        <v>46655</v>
      </c>
      <c r="K191" s="286">
        <v>138526</v>
      </c>
      <c r="L191" s="286">
        <v>140552</v>
      </c>
      <c r="M191" s="212">
        <v>347408</v>
      </c>
    </row>
    <row r="192" spans="1:13" x14ac:dyDescent="0.25">
      <c r="A192" s="567"/>
      <c r="B192" s="546"/>
      <c r="C192" s="546"/>
      <c r="D192" s="546"/>
      <c r="E192" s="546"/>
      <c r="F192" s="29" t="s">
        <v>2</v>
      </c>
      <c r="G192" s="281">
        <v>0</v>
      </c>
      <c r="H192" s="282">
        <v>0</v>
      </c>
      <c r="I192" s="282">
        <v>6096</v>
      </c>
      <c r="J192" s="282">
        <v>53493</v>
      </c>
      <c r="K192" s="282">
        <v>181632</v>
      </c>
      <c r="L192" s="282">
        <v>59722</v>
      </c>
      <c r="M192" s="210">
        <v>300943</v>
      </c>
    </row>
    <row r="193" spans="1:13" x14ac:dyDescent="0.25">
      <c r="A193" s="567"/>
      <c r="B193" s="546"/>
      <c r="C193" s="546"/>
      <c r="D193" s="546"/>
      <c r="E193" s="546"/>
      <c r="F193" s="29" t="s">
        <v>1</v>
      </c>
      <c r="G193" s="281">
        <v>0</v>
      </c>
      <c r="H193" s="282">
        <v>12059</v>
      </c>
      <c r="I193" s="282">
        <v>76577</v>
      </c>
      <c r="J193" s="282">
        <v>57302</v>
      </c>
      <c r="K193" s="282">
        <v>11026</v>
      </c>
      <c r="L193" s="282">
        <v>0</v>
      </c>
      <c r="M193" s="210">
        <v>156964</v>
      </c>
    </row>
    <row r="194" spans="1:13" x14ac:dyDescent="0.25">
      <c r="A194" s="567"/>
      <c r="B194" s="546"/>
      <c r="C194" s="546"/>
      <c r="D194" s="546"/>
      <c r="E194" s="546"/>
      <c r="F194" s="29" t="s">
        <v>0</v>
      </c>
      <c r="G194" s="281">
        <v>0</v>
      </c>
      <c r="H194" s="282">
        <v>8405</v>
      </c>
      <c r="I194" s="282">
        <v>68408</v>
      </c>
      <c r="J194" s="282">
        <v>52553</v>
      </c>
      <c r="K194" s="282">
        <v>22301</v>
      </c>
      <c r="L194" s="282">
        <v>4195</v>
      </c>
      <c r="M194" s="210">
        <v>155862</v>
      </c>
    </row>
    <row r="195" spans="1:13" x14ac:dyDescent="0.25">
      <c r="A195" s="567"/>
      <c r="B195" s="546"/>
      <c r="C195" s="546"/>
      <c r="D195" s="547"/>
      <c r="E195" s="549" t="s">
        <v>25</v>
      </c>
      <c r="F195" s="550"/>
      <c r="G195" s="283">
        <v>0</v>
      </c>
      <c r="H195" s="284">
        <v>21871</v>
      </c>
      <c r="I195" s="284">
        <v>171349</v>
      </c>
      <c r="J195" s="284">
        <v>210003</v>
      </c>
      <c r="K195" s="284">
        <v>353485</v>
      </c>
      <c r="L195" s="284">
        <v>204469</v>
      </c>
      <c r="M195" s="211">
        <v>961177</v>
      </c>
    </row>
    <row r="196" spans="1:13" x14ac:dyDescent="0.25">
      <c r="A196" s="567"/>
      <c r="B196" s="546"/>
      <c r="C196" s="546"/>
      <c r="D196" s="545" t="s">
        <v>564</v>
      </c>
      <c r="E196" s="548" t="s">
        <v>159</v>
      </c>
      <c r="F196" s="30" t="s">
        <v>3</v>
      </c>
      <c r="G196" s="290">
        <v>0</v>
      </c>
      <c r="H196" s="286">
        <v>31059</v>
      </c>
      <c r="I196" s="286">
        <v>11309</v>
      </c>
      <c r="J196" s="286">
        <v>23767</v>
      </c>
      <c r="K196" s="286">
        <v>11473</v>
      </c>
      <c r="L196" s="286">
        <v>9568</v>
      </c>
      <c r="M196" s="212">
        <v>87176</v>
      </c>
    </row>
    <row r="197" spans="1:13" x14ac:dyDescent="0.25">
      <c r="A197" s="567"/>
      <c r="B197" s="546"/>
      <c r="C197" s="546"/>
      <c r="D197" s="546"/>
      <c r="E197" s="546"/>
      <c r="F197" s="29" t="s">
        <v>2</v>
      </c>
      <c r="G197" s="291">
        <v>0</v>
      </c>
      <c r="H197" s="282">
        <v>31799</v>
      </c>
      <c r="I197" s="282">
        <v>84304</v>
      </c>
      <c r="J197" s="282">
        <v>43999</v>
      </c>
      <c r="K197" s="282">
        <v>41307</v>
      </c>
      <c r="L197" s="282">
        <v>5532</v>
      </c>
      <c r="M197" s="210">
        <v>206941</v>
      </c>
    </row>
    <row r="198" spans="1:13" x14ac:dyDescent="0.25">
      <c r="A198" s="567"/>
      <c r="B198" s="546"/>
      <c r="C198" s="546"/>
      <c r="D198" s="546"/>
      <c r="E198" s="546"/>
      <c r="F198" s="29" t="s">
        <v>1</v>
      </c>
      <c r="G198" s="291">
        <v>145925</v>
      </c>
      <c r="H198" s="282">
        <v>77053</v>
      </c>
      <c r="I198" s="282">
        <v>85427</v>
      </c>
      <c r="J198" s="282">
        <v>10219</v>
      </c>
      <c r="K198" s="282">
        <v>16669</v>
      </c>
      <c r="L198" s="282">
        <v>6205</v>
      </c>
      <c r="M198" s="210">
        <v>341498</v>
      </c>
    </row>
    <row r="199" spans="1:13" x14ac:dyDescent="0.25">
      <c r="A199" s="567"/>
      <c r="B199" s="546"/>
      <c r="C199" s="546"/>
      <c r="D199" s="546"/>
      <c r="E199" s="546"/>
      <c r="F199" s="29" t="s">
        <v>0</v>
      </c>
      <c r="G199" s="291">
        <v>203507</v>
      </c>
      <c r="H199" s="282">
        <v>172297</v>
      </c>
      <c r="I199" s="282">
        <v>366981</v>
      </c>
      <c r="J199" s="282">
        <v>57901</v>
      </c>
      <c r="K199" s="282">
        <v>6627</v>
      </c>
      <c r="L199" s="282">
        <v>8427</v>
      </c>
      <c r="M199" s="210">
        <v>815740</v>
      </c>
    </row>
    <row r="200" spans="1:13" x14ac:dyDescent="0.25">
      <c r="A200" s="567"/>
      <c r="B200" s="546"/>
      <c r="C200" s="546"/>
      <c r="D200" s="547"/>
      <c r="E200" s="549" t="s">
        <v>25</v>
      </c>
      <c r="F200" s="550"/>
      <c r="G200" s="292">
        <v>349432</v>
      </c>
      <c r="H200" s="284">
        <v>312208</v>
      </c>
      <c r="I200" s="284">
        <v>548021</v>
      </c>
      <c r="J200" s="284">
        <v>135886</v>
      </c>
      <c r="K200" s="284">
        <v>76076</v>
      </c>
      <c r="L200" s="284">
        <v>29732</v>
      </c>
      <c r="M200" s="211">
        <v>1451355</v>
      </c>
    </row>
    <row r="201" spans="1:13" x14ac:dyDescent="0.25">
      <c r="A201" s="567"/>
      <c r="B201" s="546"/>
      <c r="C201" s="546"/>
      <c r="D201" s="545" t="s">
        <v>565</v>
      </c>
      <c r="E201" s="548" t="s">
        <v>159</v>
      </c>
      <c r="F201" s="30" t="s">
        <v>3</v>
      </c>
      <c r="G201" s="290">
        <v>0</v>
      </c>
      <c r="H201" s="286">
        <v>167544</v>
      </c>
      <c r="I201" s="286">
        <v>204786</v>
      </c>
      <c r="J201" s="286">
        <v>243787</v>
      </c>
      <c r="K201" s="286">
        <v>406541</v>
      </c>
      <c r="L201" s="286">
        <v>225104</v>
      </c>
      <c r="M201" s="212">
        <v>1247762</v>
      </c>
    </row>
    <row r="202" spans="1:13" x14ac:dyDescent="0.25">
      <c r="A202" s="567"/>
      <c r="B202" s="546"/>
      <c r="C202" s="546"/>
      <c r="D202" s="546"/>
      <c r="E202" s="546"/>
      <c r="F202" s="29" t="s">
        <v>2</v>
      </c>
      <c r="G202" s="291">
        <v>0</v>
      </c>
      <c r="H202" s="282">
        <v>12595</v>
      </c>
      <c r="I202" s="282">
        <v>8719</v>
      </c>
      <c r="J202" s="282">
        <v>98868</v>
      </c>
      <c r="K202" s="282">
        <v>45245</v>
      </c>
      <c r="L202" s="282">
        <v>61060</v>
      </c>
      <c r="M202" s="210">
        <v>226487</v>
      </c>
    </row>
    <row r="203" spans="1:13" x14ac:dyDescent="0.25">
      <c r="A203" s="567"/>
      <c r="B203" s="546"/>
      <c r="C203" s="546"/>
      <c r="D203" s="546"/>
      <c r="E203" s="546"/>
      <c r="F203" s="29" t="s">
        <v>1</v>
      </c>
      <c r="G203" s="291">
        <v>337018</v>
      </c>
      <c r="H203" s="282">
        <v>344183</v>
      </c>
      <c r="I203" s="282">
        <v>126750</v>
      </c>
      <c r="J203" s="282">
        <v>78172</v>
      </c>
      <c r="K203" s="282">
        <v>21163</v>
      </c>
      <c r="L203" s="282">
        <v>10840</v>
      </c>
      <c r="M203" s="210">
        <v>918126</v>
      </c>
    </row>
    <row r="204" spans="1:13" x14ac:dyDescent="0.25">
      <c r="A204" s="567"/>
      <c r="B204" s="546"/>
      <c r="C204" s="546"/>
      <c r="D204" s="546"/>
      <c r="E204" s="546"/>
      <c r="F204" s="29" t="s">
        <v>0</v>
      </c>
      <c r="G204" s="291">
        <v>43868</v>
      </c>
      <c r="H204" s="282">
        <v>9609</v>
      </c>
      <c r="I204" s="282">
        <v>7116</v>
      </c>
      <c r="J204" s="282">
        <v>1468</v>
      </c>
      <c r="K204" s="282">
        <v>1163</v>
      </c>
      <c r="L204" s="282">
        <v>8282</v>
      </c>
      <c r="M204" s="210">
        <v>71506</v>
      </c>
    </row>
    <row r="205" spans="1:13" x14ac:dyDescent="0.25">
      <c r="A205" s="567"/>
      <c r="B205" s="546"/>
      <c r="C205" s="546"/>
      <c r="D205" s="547"/>
      <c r="E205" s="549" t="s">
        <v>25</v>
      </c>
      <c r="F205" s="550"/>
      <c r="G205" s="292">
        <v>380886</v>
      </c>
      <c r="H205" s="284">
        <v>533931</v>
      </c>
      <c r="I205" s="284">
        <v>347371</v>
      </c>
      <c r="J205" s="284">
        <v>422295</v>
      </c>
      <c r="K205" s="284">
        <v>474112</v>
      </c>
      <c r="L205" s="284">
        <v>305286</v>
      </c>
      <c r="M205" s="211">
        <v>2463881</v>
      </c>
    </row>
    <row r="206" spans="1:13" x14ac:dyDescent="0.25">
      <c r="A206" s="567"/>
      <c r="B206" s="546"/>
      <c r="C206" s="546"/>
      <c r="D206" s="545" t="s">
        <v>566</v>
      </c>
      <c r="E206" s="548" t="s">
        <v>159</v>
      </c>
      <c r="F206" s="30" t="s">
        <v>3</v>
      </c>
      <c r="G206" s="285">
        <v>0</v>
      </c>
      <c r="H206" s="287">
        <v>0</v>
      </c>
      <c r="I206" s="286">
        <v>2146</v>
      </c>
      <c r="J206" s="286">
        <v>26308</v>
      </c>
      <c r="K206" s="286">
        <v>23736</v>
      </c>
      <c r="L206" s="286">
        <v>40038</v>
      </c>
      <c r="M206" s="212">
        <v>92228</v>
      </c>
    </row>
    <row r="207" spans="1:13" x14ac:dyDescent="0.25">
      <c r="A207" s="567"/>
      <c r="B207" s="546"/>
      <c r="C207" s="546"/>
      <c r="D207" s="546"/>
      <c r="E207" s="546"/>
      <c r="F207" s="29" t="s">
        <v>2</v>
      </c>
      <c r="G207" s="281">
        <v>0</v>
      </c>
      <c r="H207" s="288">
        <v>0</v>
      </c>
      <c r="I207" s="282">
        <v>0</v>
      </c>
      <c r="J207" s="282">
        <v>1586</v>
      </c>
      <c r="K207" s="282">
        <v>937</v>
      </c>
      <c r="L207" s="282">
        <v>0</v>
      </c>
      <c r="M207" s="210">
        <v>2523</v>
      </c>
    </row>
    <row r="208" spans="1:13" x14ac:dyDescent="0.25">
      <c r="A208" s="567"/>
      <c r="B208" s="546"/>
      <c r="C208" s="546"/>
      <c r="D208" s="546"/>
      <c r="E208" s="546"/>
      <c r="F208" s="29" t="s">
        <v>1</v>
      </c>
      <c r="G208" s="281">
        <v>0</v>
      </c>
      <c r="H208" s="288">
        <v>0</v>
      </c>
      <c r="I208" s="282">
        <v>2892</v>
      </c>
      <c r="J208" s="282">
        <v>1068</v>
      </c>
      <c r="K208" s="282">
        <v>3290</v>
      </c>
      <c r="L208" s="282">
        <v>794</v>
      </c>
      <c r="M208" s="210">
        <v>8044</v>
      </c>
    </row>
    <row r="209" spans="1:13" x14ac:dyDescent="0.25">
      <c r="A209" s="567"/>
      <c r="B209" s="546"/>
      <c r="C209" s="546"/>
      <c r="D209" s="546"/>
      <c r="E209" s="546"/>
      <c r="F209" s="29" t="s">
        <v>0</v>
      </c>
      <c r="G209" s="281">
        <v>0</v>
      </c>
      <c r="H209" s="288">
        <v>0</v>
      </c>
      <c r="I209" s="282">
        <v>1709</v>
      </c>
      <c r="J209" s="282">
        <v>0</v>
      </c>
      <c r="K209" s="282">
        <v>32518</v>
      </c>
      <c r="L209" s="282">
        <v>735</v>
      </c>
      <c r="M209" s="210">
        <v>34962</v>
      </c>
    </row>
    <row r="210" spans="1:13" x14ac:dyDescent="0.25">
      <c r="A210" s="567"/>
      <c r="B210" s="546"/>
      <c r="C210" s="546"/>
      <c r="D210" s="547"/>
      <c r="E210" s="549" t="s">
        <v>25</v>
      </c>
      <c r="F210" s="550"/>
      <c r="G210" s="283">
        <v>0</v>
      </c>
      <c r="H210" s="289">
        <v>0</v>
      </c>
      <c r="I210" s="284">
        <v>6747</v>
      </c>
      <c r="J210" s="284">
        <v>28962</v>
      </c>
      <c r="K210" s="284">
        <v>60481</v>
      </c>
      <c r="L210" s="284">
        <v>41567</v>
      </c>
      <c r="M210" s="211">
        <v>137757</v>
      </c>
    </row>
    <row r="211" spans="1:13" x14ac:dyDescent="0.25">
      <c r="A211" s="567"/>
      <c r="B211" s="546"/>
      <c r="C211" s="546"/>
      <c r="D211" s="545" t="s">
        <v>567</v>
      </c>
      <c r="E211" s="548" t="s">
        <v>159</v>
      </c>
      <c r="F211" s="30" t="s">
        <v>3</v>
      </c>
      <c r="G211" s="290">
        <v>0</v>
      </c>
      <c r="H211" s="286">
        <v>10198</v>
      </c>
      <c r="I211" s="286">
        <v>29968</v>
      </c>
      <c r="J211" s="286">
        <v>29968</v>
      </c>
      <c r="K211" s="286">
        <v>587</v>
      </c>
      <c r="L211" s="286">
        <v>0</v>
      </c>
      <c r="M211" s="212">
        <v>70721</v>
      </c>
    </row>
    <row r="212" spans="1:13" x14ac:dyDescent="0.25">
      <c r="A212" s="567"/>
      <c r="B212" s="546"/>
      <c r="C212" s="546"/>
      <c r="D212" s="546"/>
      <c r="E212" s="546"/>
      <c r="F212" s="29" t="s">
        <v>2</v>
      </c>
      <c r="G212" s="291">
        <v>0</v>
      </c>
      <c r="H212" s="282">
        <v>0</v>
      </c>
      <c r="I212" s="282">
        <v>573</v>
      </c>
      <c r="J212" s="282">
        <v>0</v>
      </c>
      <c r="K212" s="282">
        <v>19798</v>
      </c>
      <c r="L212" s="282">
        <v>33589</v>
      </c>
      <c r="M212" s="210">
        <v>53960</v>
      </c>
    </row>
    <row r="213" spans="1:13" x14ac:dyDescent="0.25">
      <c r="A213" s="567"/>
      <c r="B213" s="546"/>
      <c r="C213" s="546"/>
      <c r="D213" s="546"/>
      <c r="E213" s="546"/>
      <c r="F213" s="29" t="s">
        <v>1</v>
      </c>
      <c r="G213" s="291">
        <v>48136</v>
      </c>
      <c r="H213" s="282">
        <v>10617</v>
      </c>
      <c r="I213" s="282">
        <v>8989</v>
      </c>
      <c r="J213" s="282">
        <v>2252</v>
      </c>
      <c r="K213" s="282">
        <v>0</v>
      </c>
      <c r="L213" s="282">
        <v>0</v>
      </c>
      <c r="M213" s="210">
        <v>69994</v>
      </c>
    </row>
    <row r="214" spans="1:13" x14ac:dyDescent="0.25">
      <c r="A214" s="567"/>
      <c r="B214" s="546"/>
      <c r="C214" s="546"/>
      <c r="D214" s="546"/>
      <c r="E214" s="546"/>
      <c r="F214" s="29" t="s">
        <v>0</v>
      </c>
      <c r="G214" s="291">
        <v>1499</v>
      </c>
      <c r="H214" s="282">
        <v>0</v>
      </c>
      <c r="I214" s="282">
        <v>1126</v>
      </c>
      <c r="J214" s="282">
        <v>0</v>
      </c>
      <c r="K214" s="282">
        <v>3213</v>
      </c>
      <c r="L214" s="282">
        <v>0</v>
      </c>
      <c r="M214" s="210">
        <v>5838</v>
      </c>
    </row>
    <row r="215" spans="1:13" x14ac:dyDescent="0.25">
      <c r="A215" s="567"/>
      <c r="B215" s="546"/>
      <c r="C215" s="546"/>
      <c r="D215" s="547"/>
      <c r="E215" s="549" t="s">
        <v>25</v>
      </c>
      <c r="F215" s="550"/>
      <c r="G215" s="292">
        <v>49635</v>
      </c>
      <c r="H215" s="284">
        <v>20815</v>
      </c>
      <c r="I215" s="284">
        <v>40656</v>
      </c>
      <c r="J215" s="284">
        <v>32220</v>
      </c>
      <c r="K215" s="284">
        <v>23598</v>
      </c>
      <c r="L215" s="284">
        <v>33589</v>
      </c>
      <c r="M215" s="211">
        <v>200513</v>
      </c>
    </row>
    <row r="216" spans="1:13" x14ac:dyDescent="0.25">
      <c r="A216" s="567"/>
      <c r="B216" s="546"/>
      <c r="C216" s="546"/>
      <c r="D216" s="545" t="s">
        <v>568</v>
      </c>
      <c r="E216" s="548" t="s">
        <v>159</v>
      </c>
      <c r="F216" s="30" t="s">
        <v>3</v>
      </c>
      <c r="G216" s="290">
        <v>0</v>
      </c>
      <c r="H216" s="286">
        <v>11077</v>
      </c>
      <c r="I216" s="286">
        <v>13292</v>
      </c>
      <c r="J216" s="286">
        <v>4999</v>
      </c>
      <c r="K216" s="286">
        <v>17013</v>
      </c>
      <c r="L216" s="286">
        <v>15735</v>
      </c>
      <c r="M216" s="212">
        <v>62116</v>
      </c>
    </row>
    <row r="217" spans="1:13" x14ac:dyDescent="0.25">
      <c r="A217" s="567"/>
      <c r="B217" s="546"/>
      <c r="C217" s="546"/>
      <c r="D217" s="546"/>
      <c r="E217" s="546"/>
      <c r="F217" s="29" t="s">
        <v>2</v>
      </c>
      <c r="G217" s="291">
        <v>0</v>
      </c>
      <c r="H217" s="282">
        <v>2231</v>
      </c>
      <c r="I217" s="282">
        <v>0</v>
      </c>
      <c r="J217" s="282">
        <v>1708</v>
      </c>
      <c r="K217" s="282">
        <v>2213</v>
      </c>
      <c r="L217" s="282">
        <v>6529</v>
      </c>
      <c r="M217" s="210">
        <v>12681</v>
      </c>
    </row>
    <row r="218" spans="1:13" x14ac:dyDescent="0.25">
      <c r="A218" s="567"/>
      <c r="B218" s="546"/>
      <c r="C218" s="546"/>
      <c r="D218" s="546"/>
      <c r="E218" s="546"/>
      <c r="F218" s="29" t="s">
        <v>1</v>
      </c>
      <c r="G218" s="291">
        <v>24940</v>
      </c>
      <c r="H218" s="282">
        <v>25603</v>
      </c>
      <c r="I218" s="282">
        <v>0</v>
      </c>
      <c r="J218" s="282">
        <v>3766</v>
      </c>
      <c r="K218" s="282">
        <v>0</v>
      </c>
      <c r="L218" s="282">
        <v>0</v>
      </c>
      <c r="M218" s="210">
        <v>54309</v>
      </c>
    </row>
    <row r="219" spans="1:13" x14ac:dyDescent="0.25">
      <c r="A219" s="567"/>
      <c r="B219" s="546"/>
      <c r="C219" s="546"/>
      <c r="D219" s="546"/>
      <c r="E219" s="546"/>
      <c r="F219" s="29" t="s">
        <v>0</v>
      </c>
      <c r="G219" s="291">
        <v>16759</v>
      </c>
      <c r="H219" s="282">
        <v>1902</v>
      </c>
      <c r="I219" s="282">
        <v>1595</v>
      </c>
      <c r="J219" s="282">
        <v>0</v>
      </c>
      <c r="K219" s="282">
        <v>0</v>
      </c>
      <c r="L219" s="282">
        <v>0</v>
      </c>
      <c r="M219" s="210">
        <v>20256</v>
      </c>
    </row>
    <row r="220" spans="1:13" x14ac:dyDescent="0.25">
      <c r="A220" s="567"/>
      <c r="B220" s="546"/>
      <c r="C220" s="546"/>
      <c r="D220" s="547"/>
      <c r="E220" s="549" t="s">
        <v>25</v>
      </c>
      <c r="F220" s="550"/>
      <c r="G220" s="292">
        <v>41699</v>
      </c>
      <c r="H220" s="284">
        <v>40813</v>
      </c>
      <c r="I220" s="284">
        <v>14887</v>
      </c>
      <c r="J220" s="284">
        <v>10473</v>
      </c>
      <c r="K220" s="284">
        <v>19226</v>
      </c>
      <c r="L220" s="284">
        <v>22264</v>
      </c>
      <c r="M220" s="211">
        <v>149362</v>
      </c>
    </row>
    <row r="221" spans="1:13" x14ac:dyDescent="0.25">
      <c r="A221" s="567"/>
      <c r="B221" s="546"/>
      <c r="C221" s="546"/>
      <c r="D221" s="545" t="s">
        <v>569</v>
      </c>
      <c r="E221" s="548" t="s">
        <v>159</v>
      </c>
      <c r="F221" s="30" t="s">
        <v>3</v>
      </c>
      <c r="G221" s="285">
        <v>0</v>
      </c>
      <c r="H221" s="286">
        <v>1735</v>
      </c>
      <c r="I221" s="286">
        <v>13720</v>
      </c>
      <c r="J221" s="286">
        <v>3493</v>
      </c>
      <c r="K221" s="286">
        <v>21064</v>
      </c>
      <c r="L221" s="286">
        <v>22719</v>
      </c>
      <c r="M221" s="212">
        <v>62731</v>
      </c>
    </row>
    <row r="222" spans="1:13" x14ac:dyDescent="0.25">
      <c r="A222" s="567"/>
      <c r="B222" s="546"/>
      <c r="C222" s="546"/>
      <c r="D222" s="546"/>
      <c r="E222" s="546"/>
      <c r="F222" s="29" t="s">
        <v>2</v>
      </c>
      <c r="G222" s="281">
        <v>0</v>
      </c>
      <c r="H222" s="282">
        <v>110</v>
      </c>
      <c r="I222" s="282">
        <v>912</v>
      </c>
      <c r="J222" s="282">
        <v>5560</v>
      </c>
      <c r="K222" s="282">
        <v>7825</v>
      </c>
      <c r="L222" s="282">
        <v>1433</v>
      </c>
      <c r="M222" s="210">
        <v>15840</v>
      </c>
    </row>
    <row r="223" spans="1:13" x14ac:dyDescent="0.25">
      <c r="A223" s="567"/>
      <c r="B223" s="546"/>
      <c r="C223" s="546"/>
      <c r="D223" s="546"/>
      <c r="E223" s="546"/>
      <c r="F223" s="29" t="s">
        <v>1</v>
      </c>
      <c r="G223" s="281">
        <v>0</v>
      </c>
      <c r="H223" s="282">
        <v>0</v>
      </c>
      <c r="I223" s="282">
        <v>4327</v>
      </c>
      <c r="J223" s="282">
        <v>0</v>
      </c>
      <c r="K223" s="282">
        <v>0</v>
      </c>
      <c r="L223" s="282">
        <v>0</v>
      </c>
      <c r="M223" s="210">
        <v>4327</v>
      </c>
    </row>
    <row r="224" spans="1:13" x14ac:dyDescent="0.25">
      <c r="A224" s="567"/>
      <c r="B224" s="546"/>
      <c r="C224" s="546"/>
      <c r="D224" s="546"/>
      <c r="E224" s="546"/>
      <c r="F224" s="29" t="s">
        <v>0</v>
      </c>
      <c r="G224" s="281">
        <v>0</v>
      </c>
      <c r="H224" s="282">
        <v>0</v>
      </c>
      <c r="I224" s="282">
        <v>3386</v>
      </c>
      <c r="J224" s="282">
        <v>6961</v>
      </c>
      <c r="K224" s="282">
        <v>216</v>
      </c>
      <c r="L224" s="282">
        <v>0</v>
      </c>
      <c r="M224" s="210">
        <v>10563</v>
      </c>
    </row>
    <row r="225" spans="1:13" x14ac:dyDescent="0.25">
      <c r="A225" s="567"/>
      <c r="B225" s="546"/>
      <c r="C225" s="546"/>
      <c r="D225" s="547"/>
      <c r="E225" s="549" t="s">
        <v>25</v>
      </c>
      <c r="F225" s="550"/>
      <c r="G225" s="283">
        <v>0</v>
      </c>
      <c r="H225" s="284">
        <v>1845</v>
      </c>
      <c r="I225" s="284">
        <v>22345</v>
      </c>
      <c r="J225" s="284">
        <v>16014</v>
      </c>
      <c r="K225" s="284">
        <v>29105</v>
      </c>
      <c r="L225" s="284">
        <v>24152</v>
      </c>
      <c r="M225" s="211">
        <v>93461</v>
      </c>
    </row>
    <row r="226" spans="1:13" x14ac:dyDescent="0.25">
      <c r="A226" s="567"/>
      <c r="B226" s="546"/>
      <c r="C226" s="546"/>
      <c r="D226" s="545" t="s">
        <v>570</v>
      </c>
      <c r="E226" s="548" t="s">
        <v>159</v>
      </c>
      <c r="F226" s="30" t="s">
        <v>3</v>
      </c>
      <c r="G226" s="290">
        <v>0</v>
      </c>
      <c r="H226" s="286">
        <v>9545</v>
      </c>
      <c r="I226" s="286">
        <v>4237</v>
      </c>
      <c r="J226" s="286">
        <v>3981</v>
      </c>
      <c r="K226" s="286">
        <v>2182</v>
      </c>
      <c r="L226" s="286">
        <v>0</v>
      </c>
      <c r="M226" s="212">
        <v>19945</v>
      </c>
    </row>
    <row r="227" spans="1:13" x14ac:dyDescent="0.25">
      <c r="A227" s="567"/>
      <c r="B227" s="546"/>
      <c r="C227" s="546"/>
      <c r="D227" s="546"/>
      <c r="E227" s="546"/>
      <c r="F227" s="29" t="s">
        <v>2</v>
      </c>
      <c r="G227" s="291">
        <v>0</v>
      </c>
      <c r="H227" s="282">
        <v>0</v>
      </c>
      <c r="I227" s="282">
        <v>0</v>
      </c>
      <c r="J227" s="282">
        <v>0</v>
      </c>
      <c r="K227" s="282">
        <v>1727</v>
      </c>
      <c r="L227" s="282">
        <v>552</v>
      </c>
      <c r="M227" s="210">
        <v>2279</v>
      </c>
    </row>
    <row r="228" spans="1:13" x14ac:dyDescent="0.25">
      <c r="A228" s="567"/>
      <c r="B228" s="546"/>
      <c r="C228" s="546"/>
      <c r="D228" s="546"/>
      <c r="E228" s="546"/>
      <c r="F228" s="29" t="s">
        <v>1</v>
      </c>
      <c r="G228" s="291">
        <v>5200</v>
      </c>
      <c r="H228" s="282">
        <v>10299</v>
      </c>
      <c r="I228" s="282">
        <v>1173</v>
      </c>
      <c r="J228" s="282">
        <v>5960</v>
      </c>
      <c r="K228" s="282">
        <v>199</v>
      </c>
      <c r="L228" s="282">
        <v>0</v>
      </c>
      <c r="M228" s="210">
        <v>22831</v>
      </c>
    </row>
    <row r="229" spans="1:13" x14ac:dyDescent="0.25">
      <c r="A229" s="567"/>
      <c r="B229" s="546"/>
      <c r="C229" s="546"/>
      <c r="D229" s="546"/>
      <c r="E229" s="546"/>
      <c r="F229" s="29" t="s">
        <v>0</v>
      </c>
      <c r="G229" s="291">
        <v>0</v>
      </c>
      <c r="H229" s="282">
        <v>0</v>
      </c>
      <c r="I229" s="282">
        <v>9846</v>
      </c>
      <c r="J229" s="282">
        <v>2697</v>
      </c>
      <c r="K229" s="282">
        <v>3248</v>
      </c>
      <c r="L229" s="282">
        <v>0</v>
      </c>
      <c r="M229" s="210">
        <v>15791</v>
      </c>
    </row>
    <row r="230" spans="1:13" x14ac:dyDescent="0.25">
      <c r="A230" s="567"/>
      <c r="B230" s="546"/>
      <c r="C230" s="546"/>
      <c r="D230" s="547"/>
      <c r="E230" s="549" t="s">
        <v>25</v>
      </c>
      <c r="F230" s="550"/>
      <c r="G230" s="292">
        <v>5200</v>
      </c>
      <c r="H230" s="284">
        <v>19844</v>
      </c>
      <c r="I230" s="284">
        <v>15256</v>
      </c>
      <c r="J230" s="284">
        <v>12638</v>
      </c>
      <c r="K230" s="284">
        <v>7356</v>
      </c>
      <c r="L230" s="284">
        <v>552</v>
      </c>
      <c r="M230" s="211">
        <v>60846</v>
      </c>
    </row>
    <row r="231" spans="1:13" x14ac:dyDescent="0.25">
      <c r="A231" s="567"/>
      <c r="B231" s="546"/>
      <c r="C231" s="546"/>
      <c r="D231" s="545" t="s">
        <v>571</v>
      </c>
      <c r="E231" s="548" t="s">
        <v>159</v>
      </c>
      <c r="F231" s="30" t="s">
        <v>3</v>
      </c>
      <c r="G231" s="290">
        <v>0</v>
      </c>
      <c r="H231" s="286">
        <v>71619</v>
      </c>
      <c r="I231" s="286">
        <v>81665</v>
      </c>
      <c r="J231" s="286">
        <v>182382</v>
      </c>
      <c r="K231" s="286">
        <v>361121</v>
      </c>
      <c r="L231" s="286">
        <v>411550</v>
      </c>
      <c r="M231" s="212">
        <v>1108337</v>
      </c>
    </row>
    <row r="232" spans="1:13" x14ac:dyDescent="0.25">
      <c r="A232" s="567"/>
      <c r="B232" s="546"/>
      <c r="C232" s="546"/>
      <c r="D232" s="546"/>
      <c r="E232" s="546"/>
      <c r="F232" s="29" t="s">
        <v>2</v>
      </c>
      <c r="G232" s="291">
        <v>0</v>
      </c>
      <c r="H232" s="282">
        <v>12920</v>
      </c>
      <c r="I232" s="282">
        <v>38490</v>
      </c>
      <c r="J232" s="282">
        <v>49588</v>
      </c>
      <c r="K232" s="282">
        <v>157883</v>
      </c>
      <c r="L232" s="282">
        <v>157765</v>
      </c>
      <c r="M232" s="210">
        <v>416646</v>
      </c>
    </row>
    <row r="233" spans="1:13" x14ac:dyDescent="0.25">
      <c r="A233" s="567"/>
      <c r="B233" s="546"/>
      <c r="C233" s="546"/>
      <c r="D233" s="546"/>
      <c r="E233" s="546"/>
      <c r="F233" s="29" t="s">
        <v>1</v>
      </c>
      <c r="G233" s="291">
        <v>240571</v>
      </c>
      <c r="H233" s="282">
        <v>69253</v>
      </c>
      <c r="I233" s="282">
        <v>44069</v>
      </c>
      <c r="J233" s="282">
        <v>74846</v>
      </c>
      <c r="K233" s="282">
        <v>6142</v>
      </c>
      <c r="L233" s="282">
        <v>2608</v>
      </c>
      <c r="M233" s="210">
        <v>437489</v>
      </c>
    </row>
    <row r="234" spans="1:13" x14ac:dyDescent="0.25">
      <c r="A234" s="567"/>
      <c r="B234" s="546"/>
      <c r="C234" s="546"/>
      <c r="D234" s="546"/>
      <c r="E234" s="546"/>
      <c r="F234" s="29" t="s">
        <v>0</v>
      </c>
      <c r="G234" s="291">
        <v>223355</v>
      </c>
      <c r="H234" s="282">
        <v>42468</v>
      </c>
      <c r="I234" s="282">
        <v>51445</v>
      </c>
      <c r="J234" s="282">
        <v>40663</v>
      </c>
      <c r="K234" s="282">
        <v>838</v>
      </c>
      <c r="L234" s="282">
        <v>2462</v>
      </c>
      <c r="M234" s="210">
        <v>361231</v>
      </c>
    </row>
    <row r="235" spans="1:13" x14ac:dyDescent="0.25">
      <c r="A235" s="567"/>
      <c r="B235" s="546"/>
      <c r="C235" s="546"/>
      <c r="D235" s="547"/>
      <c r="E235" s="549" t="s">
        <v>25</v>
      </c>
      <c r="F235" s="550"/>
      <c r="G235" s="292">
        <v>463926</v>
      </c>
      <c r="H235" s="284">
        <v>196260</v>
      </c>
      <c r="I235" s="284">
        <v>215669</v>
      </c>
      <c r="J235" s="284">
        <v>347479</v>
      </c>
      <c r="K235" s="284">
        <v>525984</v>
      </c>
      <c r="L235" s="284">
        <v>574385</v>
      </c>
      <c r="M235" s="211">
        <v>2323703</v>
      </c>
    </row>
    <row r="236" spans="1:13" x14ac:dyDescent="0.25">
      <c r="A236" s="567"/>
      <c r="B236" s="546"/>
      <c r="C236" s="546"/>
      <c r="D236" s="545" t="s">
        <v>572</v>
      </c>
      <c r="E236" s="548" t="s">
        <v>159</v>
      </c>
      <c r="F236" s="30" t="s">
        <v>3</v>
      </c>
      <c r="G236" s="285">
        <v>0</v>
      </c>
      <c r="H236" s="287">
        <v>0</v>
      </c>
      <c r="I236" s="286">
        <v>3802</v>
      </c>
      <c r="J236" s="286">
        <v>28952</v>
      </c>
      <c r="K236" s="286">
        <v>20493</v>
      </c>
      <c r="L236" s="286">
        <v>68288</v>
      </c>
      <c r="M236" s="212">
        <v>121535</v>
      </c>
    </row>
    <row r="237" spans="1:13" x14ac:dyDescent="0.25">
      <c r="A237" s="567"/>
      <c r="B237" s="546"/>
      <c r="C237" s="546"/>
      <c r="D237" s="546"/>
      <c r="E237" s="546"/>
      <c r="F237" s="29" t="s">
        <v>2</v>
      </c>
      <c r="G237" s="281">
        <v>0</v>
      </c>
      <c r="H237" s="288">
        <v>0</v>
      </c>
      <c r="I237" s="282">
        <v>0</v>
      </c>
      <c r="J237" s="282">
        <v>6132</v>
      </c>
      <c r="K237" s="282">
        <v>31318</v>
      </c>
      <c r="L237" s="282">
        <v>29583</v>
      </c>
      <c r="M237" s="210">
        <v>67033</v>
      </c>
    </row>
    <row r="238" spans="1:13" x14ac:dyDescent="0.25">
      <c r="A238" s="567"/>
      <c r="B238" s="546"/>
      <c r="C238" s="546"/>
      <c r="D238" s="546"/>
      <c r="E238" s="546"/>
      <c r="F238" s="29" t="s">
        <v>1</v>
      </c>
      <c r="G238" s="281">
        <v>0</v>
      </c>
      <c r="H238" s="288">
        <v>0</v>
      </c>
      <c r="I238" s="282">
        <v>28</v>
      </c>
      <c r="J238" s="282">
        <v>2823</v>
      </c>
      <c r="K238" s="282">
        <v>781</v>
      </c>
      <c r="L238" s="282">
        <v>0</v>
      </c>
      <c r="M238" s="210">
        <v>3632</v>
      </c>
    </row>
    <row r="239" spans="1:13" x14ac:dyDescent="0.25">
      <c r="A239" s="567"/>
      <c r="B239" s="546"/>
      <c r="C239" s="546"/>
      <c r="D239" s="546"/>
      <c r="E239" s="546"/>
      <c r="F239" s="29" t="s">
        <v>0</v>
      </c>
      <c r="G239" s="281">
        <v>0</v>
      </c>
      <c r="H239" s="288">
        <v>0</v>
      </c>
      <c r="I239" s="282">
        <v>1349</v>
      </c>
      <c r="J239" s="282">
        <v>0</v>
      </c>
      <c r="K239" s="282">
        <v>4342</v>
      </c>
      <c r="L239" s="282">
        <v>112</v>
      </c>
      <c r="M239" s="210">
        <v>5803</v>
      </c>
    </row>
    <row r="240" spans="1:13" x14ac:dyDescent="0.25">
      <c r="A240" s="567"/>
      <c r="B240" s="546"/>
      <c r="C240" s="546"/>
      <c r="D240" s="547"/>
      <c r="E240" s="549" t="s">
        <v>25</v>
      </c>
      <c r="F240" s="550"/>
      <c r="G240" s="283">
        <v>0</v>
      </c>
      <c r="H240" s="289">
        <v>0</v>
      </c>
      <c r="I240" s="284">
        <v>5179</v>
      </c>
      <c r="J240" s="284">
        <v>37907</v>
      </c>
      <c r="K240" s="284">
        <v>56934</v>
      </c>
      <c r="L240" s="284">
        <v>97983</v>
      </c>
      <c r="M240" s="211">
        <v>198003</v>
      </c>
    </row>
    <row r="241" spans="1:13" x14ac:dyDescent="0.25">
      <c r="A241" s="567"/>
      <c r="B241" s="546"/>
      <c r="C241" s="546"/>
      <c r="D241" s="545" t="s">
        <v>573</v>
      </c>
      <c r="E241" s="548" t="s">
        <v>159</v>
      </c>
      <c r="F241" s="30" t="s">
        <v>3</v>
      </c>
      <c r="G241" s="290">
        <v>0</v>
      </c>
      <c r="H241" s="286">
        <v>22260</v>
      </c>
      <c r="I241" s="286">
        <v>10892</v>
      </c>
      <c r="J241" s="286">
        <v>4729</v>
      </c>
      <c r="K241" s="286">
        <v>3949</v>
      </c>
      <c r="L241" s="286">
        <v>1877</v>
      </c>
      <c r="M241" s="212">
        <v>43707</v>
      </c>
    </row>
    <row r="242" spans="1:13" x14ac:dyDescent="0.25">
      <c r="A242" s="567"/>
      <c r="B242" s="546"/>
      <c r="C242" s="546"/>
      <c r="D242" s="546"/>
      <c r="E242" s="546"/>
      <c r="F242" s="29" t="s">
        <v>2</v>
      </c>
      <c r="G242" s="291">
        <v>0</v>
      </c>
      <c r="H242" s="282">
        <v>112</v>
      </c>
      <c r="I242" s="282">
        <v>891</v>
      </c>
      <c r="J242" s="282">
        <v>5826</v>
      </c>
      <c r="K242" s="282">
        <v>4827</v>
      </c>
      <c r="L242" s="282">
        <v>291</v>
      </c>
      <c r="M242" s="210">
        <v>11947</v>
      </c>
    </row>
    <row r="243" spans="1:13" x14ac:dyDescent="0.25">
      <c r="A243" s="567"/>
      <c r="B243" s="546"/>
      <c r="C243" s="546"/>
      <c r="D243" s="546"/>
      <c r="E243" s="546"/>
      <c r="F243" s="29" t="s">
        <v>1</v>
      </c>
      <c r="G243" s="291">
        <v>70</v>
      </c>
      <c r="H243" s="282">
        <v>8874</v>
      </c>
      <c r="I243" s="282">
        <v>31318</v>
      </c>
      <c r="J243" s="282">
        <v>0</v>
      </c>
      <c r="K243" s="282">
        <v>0</v>
      </c>
      <c r="L243" s="282">
        <v>1783</v>
      </c>
      <c r="M243" s="210">
        <v>42045</v>
      </c>
    </row>
    <row r="244" spans="1:13" x14ac:dyDescent="0.25">
      <c r="A244" s="567"/>
      <c r="B244" s="546"/>
      <c r="C244" s="546"/>
      <c r="D244" s="546"/>
      <c r="E244" s="546"/>
      <c r="F244" s="29" t="s">
        <v>0</v>
      </c>
      <c r="G244" s="291">
        <v>12907</v>
      </c>
      <c r="H244" s="282">
        <v>27409</v>
      </c>
      <c r="I244" s="282">
        <v>9000</v>
      </c>
      <c r="J244" s="282">
        <v>4084</v>
      </c>
      <c r="K244" s="282">
        <v>0</v>
      </c>
      <c r="L244" s="282">
        <v>1452</v>
      </c>
      <c r="M244" s="210">
        <v>54852</v>
      </c>
    </row>
    <row r="245" spans="1:13" x14ac:dyDescent="0.25">
      <c r="A245" s="567"/>
      <c r="B245" s="546"/>
      <c r="C245" s="547"/>
      <c r="D245" s="547"/>
      <c r="E245" s="549" t="s">
        <v>25</v>
      </c>
      <c r="F245" s="550"/>
      <c r="G245" s="292">
        <v>12977</v>
      </c>
      <c r="H245" s="284">
        <v>58655</v>
      </c>
      <c r="I245" s="284">
        <v>52101</v>
      </c>
      <c r="J245" s="284">
        <v>14639</v>
      </c>
      <c r="K245" s="284">
        <v>8776</v>
      </c>
      <c r="L245" s="284">
        <v>5403</v>
      </c>
      <c r="M245" s="211">
        <v>152551</v>
      </c>
    </row>
    <row r="246" spans="1:13" x14ac:dyDescent="0.25">
      <c r="A246" s="567"/>
      <c r="B246" s="546"/>
      <c r="C246" s="545" t="s">
        <v>6</v>
      </c>
      <c r="D246" s="545" t="s">
        <v>562</v>
      </c>
      <c r="E246" s="548" t="s">
        <v>159</v>
      </c>
      <c r="F246" s="30" t="s">
        <v>3</v>
      </c>
      <c r="G246" s="290">
        <v>0</v>
      </c>
      <c r="H246" s="286">
        <v>65398</v>
      </c>
      <c r="I246" s="286">
        <v>31937</v>
      </c>
      <c r="J246" s="286">
        <v>23084</v>
      </c>
      <c r="K246" s="286">
        <v>20283</v>
      </c>
      <c r="L246" s="286">
        <v>13862</v>
      </c>
      <c r="M246" s="212">
        <v>154564</v>
      </c>
    </row>
    <row r="247" spans="1:13" x14ac:dyDescent="0.25">
      <c r="A247" s="567"/>
      <c r="B247" s="546"/>
      <c r="C247" s="546"/>
      <c r="D247" s="546"/>
      <c r="E247" s="546"/>
      <c r="F247" s="29" t="s">
        <v>2</v>
      </c>
      <c r="G247" s="291">
        <v>0</v>
      </c>
      <c r="H247" s="282">
        <v>20764</v>
      </c>
      <c r="I247" s="282">
        <v>65649</v>
      </c>
      <c r="J247" s="282">
        <v>28875</v>
      </c>
      <c r="K247" s="282">
        <v>134052</v>
      </c>
      <c r="L247" s="282">
        <v>11132</v>
      </c>
      <c r="M247" s="210">
        <v>260472</v>
      </c>
    </row>
    <row r="248" spans="1:13" x14ac:dyDescent="0.25">
      <c r="A248" s="567"/>
      <c r="B248" s="546"/>
      <c r="C248" s="546"/>
      <c r="D248" s="546"/>
      <c r="E248" s="546"/>
      <c r="F248" s="29" t="s">
        <v>1</v>
      </c>
      <c r="G248" s="291">
        <v>245790</v>
      </c>
      <c r="H248" s="282">
        <v>89346</v>
      </c>
      <c r="I248" s="282">
        <v>16938</v>
      </c>
      <c r="J248" s="282">
        <v>8604</v>
      </c>
      <c r="K248" s="282">
        <v>893</v>
      </c>
      <c r="L248" s="282">
        <v>294</v>
      </c>
      <c r="M248" s="210">
        <v>361865</v>
      </c>
    </row>
    <row r="249" spans="1:13" x14ac:dyDescent="0.25">
      <c r="A249" s="567"/>
      <c r="B249" s="546"/>
      <c r="C249" s="546"/>
      <c r="D249" s="546"/>
      <c r="E249" s="546"/>
      <c r="F249" s="29" t="s">
        <v>0</v>
      </c>
      <c r="G249" s="291">
        <v>568696</v>
      </c>
      <c r="H249" s="282">
        <v>114876</v>
      </c>
      <c r="I249" s="282">
        <v>24880</v>
      </c>
      <c r="J249" s="282">
        <v>9329</v>
      </c>
      <c r="K249" s="282">
        <v>3141</v>
      </c>
      <c r="L249" s="282">
        <v>773</v>
      </c>
      <c r="M249" s="210">
        <v>721695</v>
      </c>
    </row>
    <row r="250" spans="1:13" x14ac:dyDescent="0.25">
      <c r="A250" s="567"/>
      <c r="B250" s="546"/>
      <c r="C250" s="546"/>
      <c r="D250" s="547"/>
      <c r="E250" s="549" t="s">
        <v>25</v>
      </c>
      <c r="F250" s="550"/>
      <c r="G250" s="292">
        <v>814486</v>
      </c>
      <c r="H250" s="284">
        <v>290384</v>
      </c>
      <c r="I250" s="284">
        <v>139404</v>
      </c>
      <c r="J250" s="284">
        <v>69892</v>
      </c>
      <c r="K250" s="284">
        <v>158369</v>
      </c>
      <c r="L250" s="284">
        <v>26061</v>
      </c>
      <c r="M250" s="211">
        <v>1498596</v>
      </c>
    </row>
    <row r="251" spans="1:13" x14ac:dyDescent="0.25">
      <c r="A251" s="567"/>
      <c r="B251" s="546"/>
      <c r="C251" s="546"/>
      <c r="D251" s="545" t="s">
        <v>563</v>
      </c>
      <c r="E251" s="548" t="s">
        <v>159</v>
      </c>
      <c r="F251" s="30" t="s">
        <v>3</v>
      </c>
      <c r="G251" s="285">
        <v>0</v>
      </c>
      <c r="H251" s="287">
        <v>0</v>
      </c>
      <c r="I251" s="286">
        <v>3410</v>
      </c>
      <c r="J251" s="286">
        <v>24538</v>
      </c>
      <c r="K251" s="286">
        <v>48822</v>
      </c>
      <c r="L251" s="286">
        <v>108833</v>
      </c>
      <c r="M251" s="212">
        <v>185603</v>
      </c>
    </row>
    <row r="252" spans="1:13" x14ac:dyDescent="0.25">
      <c r="A252" s="567"/>
      <c r="B252" s="546"/>
      <c r="C252" s="546"/>
      <c r="D252" s="546"/>
      <c r="E252" s="546"/>
      <c r="F252" s="29" t="s">
        <v>2</v>
      </c>
      <c r="G252" s="281">
        <v>0</v>
      </c>
      <c r="H252" s="288">
        <v>0</v>
      </c>
      <c r="I252" s="282">
        <v>7909</v>
      </c>
      <c r="J252" s="282">
        <v>39147</v>
      </c>
      <c r="K252" s="282">
        <v>22556</v>
      </c>
      <c r="L252" s="282">
        <v>27966</v>
      </c>
      <c r="M252" s="210">
        <v>97578</v>
      </c>
    </row>
    <row r="253" spans="1:13" x14ac:dyDescent="0.25">
      <c r="A253" s="567"/>
      <c r="B253" s="546"/>
      <c r="C253" s="546"/>
      <c r="D253" s="546"/>
      <c r="E253" s="546"/>
      <c r="F253" s="29" t="s">
        <v>1</v>
      </c>
      <c r="G253" s="281">
        <v>0</v>
      </c>
      <c r="H253" s="288">
        <v>0</v>
      </c>
      <c r="I253" s="282">
        <v>12758</v>
      </c>
      <c r="J253" s="282">
        <v>70860</v>
      </c>
      <c r="K253" s="282">
        <v>8432</v>
      </c>
      <c r="L253" s="282">
        <v>4189</v>
      </c>
      <c r="M253" s="210">
        <v>96239</v>
      </c>
    </row>
    <row r="254" spans="1:13" x14ac:dyDescent="0.25">
      <c r="A254" s="567"/>
      <c r="B254" s="546"/>
      <c r="C254" s="546"/>
      <c r="D254" s="546"/>
      <c r="E254" s="546"/>
      <c r="F254" s="29" t="s">
        <v>0</v>
      </c>
      <c r="G254" s="281">
        <v>0</v>
      </c>
      <c r="H254" s="288">
        <v>0</v>
      </c>
      <c r="I254" s="282">
        <v>26475</v>
      </c>
      <c r="J254" s="282">
        <v>13487</v>
      </c>
      <c r="K254" s="282">
        <v>55359</v>
      </c>
      <c r="L254" s="282">
        <v>4790</v>
      </c>
      <c r="M254" s="210">
        <v>100111</v>
      </c>
    </row>
    <row r="255" spans="1:13" x14ac:dyDescent="0.25">
      <c r="A255" s="567"/>
      <c r="B255" s="546"/>
      <c r="C255" s="546"/>
      <c r="D255" s="547"/>
      <c r="E255" s="549" t="s">
        <v>25</v>
      </c>
      <c r="F255" s="550"/>
      <c r="G255" s="283">
        <v>0</v>
      </c>
      <c r="H255" s="289">
        <v>0</v>
      </c>
      <c r="I255" s="284">
        <v>50552</v>
      </c>
      <c r="J255" s="284">
        <v>148032</v>
      </c>
      <c r="K255" s="284">
        <v>135169</v>
      </c>
      <c r="L255" s="284">
        <v>145778</v>
      </c>
      <c r="M255" s="211">
        <v>479531</v>
      </c>
    </row>
    <row r="256" spans="1:13" x14ac:dyDescent="0.25">
      <c r="A256" s="567"/>
      <c r="B256" s="546"/>
      <c r="C256" s="546"/>
      <c r="D256" s="545" t="s">
        <v>564</v>
      </c>
      <c r="E256" s="548" t="s">
        <v>159</v>
      </c>
      <c r="F256" s="30" t="s">
        <v>3</v>
      </c>
      <c r="G256" s="290">
        <v>0</v>
      </c>
      <c r="H256" s="286">
        <v>26714</v>
      </c>
      <c r="I256" s="286">
        <v>9072</v>
      </c>
      <c r="J256" s="286">
        <v>2658</v>
      </c>
      <c r="K256" s="286">
        <v>5794</v>
      </c>
      <c r="L256" s="286">
        <v>27915</v>
      </c>
      <c r="M256" s="212">
        <v>72153</v>
      </c>
    </row>
    <row r="257" spans="1:13" x14ac:dyDescent="0.25">
      <c r="A257" s="567"/>
      <c r="B257" s="546"/>
      <c r="C257" s="546"/>
      <c r="D257" s="546"/>
      <c r="E257" s="546"/>
      <c r="F257" s="29" t="s">
        <v>2</v>
      </c>
      <c r="G257" s="291">
        <v>0</v>
      </c>
      <c r="H257" s="282">
        <v>13918</v>
      </c>
      <c r="I257" s="282">
        <v>2409</v>
      </c>
      <c r="J257" s="282">
        <v>1449</v>
      </c>
      <c r="K257" s="282">
        <v>19888</v>
      </c>
      <c r="L257" s="282">
        <v>1774</v>
      </c>
      <c r="M257" s="210">
        <v>39438</v>
      </c>
    </row>
    <row r="258" spans="1:13" x14ac:dyDescent="0.25">
      <c r="A258" s="567"/>
      <c r="B258" s="546"/>
      <c r="C258" s="546"/>
      <c r="D258" s="546"/>
      <c r="E258" s="546"/>
      <c r="F258" s="29" t="s">
        <v>1</v>
      </c>
      <c r="G258" s="291">
        <v>6648</v>
      </c>
      <c r="H258" s="282">
        <v>11584</v>
      </c>
      <c r="I258" s="282">
        <v>21823</v>
      </c>
      <c r="J258" s="282">
        <v>37950</v>
      </c>
      <c r="K258" s="282">
        <v>2079</v>
      </c>
      <c r="L258" s="282">
        <v>8608</v>
      </c>
      <c r="M258" s="210">
        <v>88692</v>
      </c>
    </row>
    <row r="259" spans="1:13" x14ac:dyDescent="0.25">
      <c r="A259" s="567"/>
      <c r="B259" s="546"/>
      <c r="C259" s="546"/>
      <c r="D259" s="546"/>
      <c r="E259" s="546"/>
      <c r="F259" s="29" t="s">
        <v>0</v>
      </c>
      <c r="G259" s="291">
        <v>29081</v>
      </c>
      <c r="H259" s="282">
        <v>30323</v>
      </c>
      <c r="I259" s="282">
        <v>72678</v>
      </c>
      <c r="J259" s="282">
        <v>4102</v>
      </c>
      <c r="K259" s="282">
        <v>2200</v>
      </c>
      <c r="L259" s="282">
        <v>3899</v>
      </c>
      <c r="M259" s="210">
        <v>142283</v>
      </c>
    </row>
    <row r="260" spans="1:13" x14ac:dyDescent="0.25">
      <c r="A260" s="567"/>
      <c r="B260" s="546"/>
      <c r="C260" s="546"/>
      <c r="D260" s="547"/>
      <c r="E260" s="549" t="s">
        <v>25</v>
      </c>
      <c r="F260" s="550"/>
      <c r="G260" s="292">
        <v>35729</v>
      </c>
      <c r="H260" s="284">
        <v>82539</v>
      </c>
      <c r="I260" s="284">
        <v>105982</v>
      </c>
      <c r="J260" s="284">
        <v>46159</v>
      </c>
      <c r="K260" s="284">
        <v>29961</v>
      </c>
      <c r="L260" s="284">
        <v>42196</v>
      </c>
      <c r="M260" s="211">
        <v>342566</v>
      </c>
    </row>
    <row r="261" spans="1:13" x14ac:dyDescent="0.25">
      <c r="A261" s="567"/>
      <c r="B261" s="546"/>
      <c r="C261" s="546"/>
      <c r="D261" s="545" t="s">
        <v>565</v>
      </c>
      <c r="E261" s="548" t="s">
        <v>159</v>
      </c>
      <c r="F261" s="30" t="s">
        <v>3</v>
      </c>
      <c r="G261" s="290">
        <v>0</v>
      </c>
      <c r="H261" s="286">
        <v>14302</v>
      </c>
      <c r="I261" s="286">
        <v>31550</v>
      </c>
      <c r="J261" s="286">
        <v>77151</v>
      </c>
      <c r="K261" s="286">
        <v>133934</v>
      </c>
      <c r="L261" s="286">
        <v>94517</v>
      </c>
      <c r="M261" s="212">
        <v>351454</v>
      </c>
    </row>
    <row r="262" spans="1:13" x14ac:dyDescent="0.25">
      <c r="A262" s="567"/>
      <c r="B262" s="546"/>
      <c r="C262" s="546"/>
      <c r="D262" s="546"/>
      <c r="E262" s="546"/>
      <c r="F262" s="29" t="s">
        <v>2</v>
      </c>
      <c r="G262" s="291">
        <v>0</v>
      </c>
      <c r="H262" s="282">
        <v>20553</v>
      </c>
      <c r="I262" s="282">
        <v>5320</v>
      </c>
      <c r="J262" s="282">
        <v>57905</v>
      </c>
      <c r="K262" s="282">
        <v>54601</v>
      </c>
      <c r="L262" s="282">
        <v>6478</v>
      </c>
      <c r="M262" s="210">
        <v>144857</v>
      </c>
    </row>
    <row r="263" spans="1:13" x14ac:dyDescent="0.25">
      <c r="A263" s="567"/>
      <c r="B263" s="546"/>
      <c r="C263" s="546"/>
      <c r="D263" s="546"/>
      <c r="E263" s="546"/>
      <c r="F263" s="29" t="s">
        <v>1</v>
      </c>
      <c r="G263" s="291">
        <v>187895</v>
      </c>
      <c r="H263" s="282">
        <v>66868</v>
      </c>
      <c r="I263" s="282">
        <v>12731</v>
      </c>
      <c r="J263" s="282">
        <v>29254</v>
      </c>
      <c r="K263" s="282">
        <v>5091</v>
      </c>
      <c r="L263" s="282">
        <v>8109</v>
      </c>
      <c r="M263" s="210">
        <v>309948</v>
      </c>
    </row>
    <row r="264" spans="1:13" x14ac:dyDescent="0.25">
      <c r="A264" s="567"/>
      <c r="B264" s="546"/>
      <c r="C264" s="546"/>
      <c r="D264" s="546"/>
      <c r="E264" s="546"/>
      <c r="F264" s="29" t="s">
        <v>0</v>
      </c>
      <c r="G264" s="291">
        <v>218353</v>
      </c>
      <c r="H264" s="282">
        <v>41217</v>
      </c>
      <c r="I264" s="282">
        <v>0</v>
      </c>
      <c r="J264" s="282">
        <v>24228</v>
      </c>
      <c r="K264" s="282">
        <v>18232</v>
      </c>
      <c r="L264" s="282">
        <v>7770</v>
      </c>
      <c r="M264" s="210">
        <v>309800</v>
      </c>
    </row>
    <row r="265" spans="1:13" x14ac:dyDescent="0.25">
      <c r="A265" s="567"/>
      <c r="B265" s="546"/>
      <c r="C265" s="546"/>
      <c r="D265" s="547"/>
      <c r="E265" s="549" t="s">
        <v>25</v>
      </c>
      <c r="F265" s="550"/>
      <c r="G265" s="292">
        <v>406248</v>
      </c>
      <c r="H265" s="284">
        <v>142940</v>
      </c>
      <c r="I265" s="284">
        <v>49601</v>
      </c>
      <c r="J265" s="284">
        <v>188538</v>
      </c>
      <c r="K265" s="284">
        <v>211858</v>
      </c>
      <c r="L265" s="284">
        <v>116874</v>
      </c>
      <c r="M265" s="211">
        <v>1116059</v>
      </c>
    </row>
    <row r="266" spans="1:13" x14ac:dyDescent="0.25">
      <c r="A266" s="567"/>
      <c r="B266" s="546"/>
      <c r="C266" s="546"/>
      <c r="D266" s="545" t="s">
        <v>566</v>
      </c>
      <c r="E266" s="548" t="s">
        <v>159</v>
      </c>
      <c r="F266" s="30" t="s">
        <v>3</v>
      </c>
      <c r="G266" s="285">
        <v>0</v>
      </c>
      <c r="H266" s="287">
        <v>0</v>
      </c>
      <c r="I266" s="286">
        <v>0</v>
      </c>
      <c r="J266" s="286">
        <v>204</v>
      </c>
      <c r="K266" s="286">
        <v>8283</v>
      </c>
      <c r="L266" s="286">
        <v>16464</v>
      </c>
      <c r="M266" s="212">
        <v>24951</v>
      </c>
    </row>
    <row r="267" spans="1:13" x14ac:dyDescent="0.25">
      <c r="A267" s="567"/>
      <c r="B267" s="546"/>
      <c r="C267" s="546"/>
      <c r="D267" s="546"/>
      <c r="E267" s="546"/>
      <c r="F267" s="29" t="s">
        <v>2</v>
      </c>
      <c r="G267" s="281">
        <v>0</v>
      </c>
      <c r="H267" s="288">
        <v>0</v>
      </c>
      <c r="I267" s="282">
        <v>1985</v>
      </c>
      <c r="J267" s="282">
        <v>0</v>
      </c>
      <c r="K267" s="282">
        <v>7511</v>
      </c>
      <c r="L267" s="282">
        <v>6938</v>
      </c>
      <c r="M267" s="210">
        <v>16434</v>
      </c>
    </row>
    <row r="268" spans="1:13" x14ac:dyDescent="0.25">
      <c r="A268" s="567"/>
      <c r="B268" s="546"/>
      <c r="C268" s="546"/>
      <c r="D268" s="546"/>
      <c r="E268" s="546"/>
      <c r="F268" s="29" t="s">
        <v>1</v>
      </c>
      <c r="G268" s="281">
        <v>0</v>
      </c>
      <c r="H268" s="288">
        <v>0</v>
      </c>
      <c r="I268" s="282">
        <v>0</v>
      </c>
      <c r="J268" s="282">
        <v>5828</v>
      </c>
      <c r="K268" s="282">
        <v>4741</v>
      </c>
      <c r="L268" s="282">
        <v>3455</v>
      </c>
      <c r="M268" s="210">
        <v>14024</v>
      </c>
    </row>
    <row r="269" spans="1:13" x14ac:dyDescent="0.25">
      <c r="A269" s="567"/>
      <c r="B269" s="546"/>
      <c r="C269" s="546"/>
      <c r="D269" s="546"/>
      <c r="E269" s="546"/>
      <c r="F269" s="29" t="s">
        <v>0</v>
      </c>
      <c r="G269" s="281">
        <v>0</v>
      </c>
      <c r="H269" s="288">
        <v>0</v>
      </c>
      <c r="I269" s="282">
        <v>0</v>
      </c>
      <c r="J269" s="282">
        <v>0</v>
      </c>
      <c r="K269" s="282">
        <v>6179</v>
      </c>
      <c r="L269" s="282">
        <v>0</v>
      </c>
      <c r="M269" s="210">
        <v>6179</v>
      </c>
    </row>
    <row r="270" spans="1:13" x14ac:dyDescent="0.25">
      <c r="A270" s="567"/>
      <c r="B270" s="546"/>
      <c r="C270" s="546"/>
      <c r="D270" s="547"/>
      <c r="E270" s="549" t="s">
        <v>25</v>
      </c>
      <c r="F270" s="550"/>
      <c r="G270" s="283">
        <v>0</v>
      </c>
      <c r="H270" s="289">
        <v>0</v>
      </c>
      <c r="I270" s="284">
        <v>1985</v>
      </c>
      <c r="J270" s="284">
        <v>6032</v>
      </c>
      <c r="K270" s="284">
        <v>26714</v>
      </c>
      <c r="L270" s="284">
        <v>26857</v>
      </c>
      <c r="M270" s="211">
        <v>61588</v>
      </c>
    </row>
    <row r="271" spans="1:13" x14ac:dyDescent="0.25">
      <c r="A271" s="567"/>
      <c r="B271" s="546"/>
      <c r="C271" s="546"/>
      <c r="D271" s="545" t="s">
        <v>567</v>
      </c>
      <c r="E271" s="548" t="s">
        <v>159</v>
      </c>
      <c r="F271" s="30" t="s">
        <v>3</v>
      </c>
      <c r="G271" s="290">
        <v>0</v>
      </c>
      <c r="H271" s="286">
        <v>9581</v>
      </c>
      <c r="I271" s="286">
        <v>0</v>
      </c>
      <c r="J271" s="286">
        <v>0</v>
      </c>
      <c r="K271" s="286">
        <v>586</v>
      </c>
      <c r="L271" s="286">
        <v>0</v>
      </c>
      <c r="M271" s="212">
        <v>10167</v>
      </c>
    </row>
    <row r="272" spans="1:13" x14ac:dyDescent="0.25">
      <c r="A272" s="567"/>
      <c r="B272" s="546"/>
      <c r="C272" s="546"/>
      <c r="D272" s="546"/>
      <c r="E272" s="546"/>
      <c r="F272" s="29" t="s">
        <v>2</v>
      </c>
      <c r="G272" s="291">
        <v>0</v>
      </c>
      <c r="H272" s="282">
        <v>11543</v>
      </c>
      <c r="I272" s="282">
        <v>0</v>
      </c>
      <c r="J272" s="282">
        <v>7627</v>
      </c>
      <c r="K272" s="282">
        <v>13969</v>
      </c>
      <c r="L272" s="282">
        <v>0</v>
      </c>
      <c r="M272" s="210">
        <v>33139</v>
      </c>
    </row>
    <row r="273" spans="1:13" x14ac:dyDescent="0.25">
      <c r="A273" s="567"/>
      <c r="B273" s="546"/>
      <c r="C273" s="546"/>
      <c r="D273" s="546"/>
      <c r="E273" s="546"/>
      <c r="F273" s="29" t="s">
        <v>1</v>
      </c>
      <c r="G273" s="291">
        <v>4911</v>
      </c>
      <c r="H273" s="282">
        <v>1812</v>
      </c>
      <c r="I273" s="282">
        <v>6307</v>
      </c>
      <c r="J273" s="282">
        <v>0</v>
      </c>
      <c r="K273" s="282">
        <v>0</v>
      </c>
      <c r="L273" s="282">
        <v>0</v>
      </c>
      <c r="M273" s="210">
        <v>13030</v>
      </c>
    </row>
    <row r="274" spans="1:13" x14ac:dyDescent="0.25">
      <c r="A274" s="567"/>
      <c r="B274" s="546"/>
      <c r="C274" s="546"/>
      <c r="D274" s="546"/>
      <c r="E274" s="546"/>
      <c r="F274" s="29" t="s">
        <v>0</v>
      </c>
      <c r="G274" s="291">
        <v>8386</v>
      </c>
      <c r="H274" s="282">
        <v>37908</v>
      </c>
      <c r="I274" s="282">
        <v>25334</v>
      </c>
      <c r="J274" s="282">
        <v>4279</v>
      </c>
      <c r="K274" s="282">
        <v>0</v>
      </c>
      <c r="L274" s="282">
        <v>9569</v>
      </c>
      <c r="M274" s="210">
        <v>85476</v>
      </c>
    </row>
    <row r="275" spans="1:13" x14ac:dyDescent="0.25">
      <c r="A275" s="567"/>
      <c r="B275" s="546"/>
      <c r="C275" s="546"/>
      <c r="D275" s="547"/>
      <c r="E275" s="549" t="s">
        <v>25</v>
      </c>
      <c r="F275" s="550"/>
      <c r="G275" s="292">
        <v>13297</v>
      </c>
      <c r="H275" s="284">
        <v>60844</v>
      </c>
      <c r="I275" s="284">
        <v>31641</v>
      </c>
      <c r="J275" s="284">
        <v>11906</v>
      </c>
      <c r="K275" s="284">
        <v>14555</v>
      </c>
      <c r="L275" s="284">
        <v>9569</v>
      </c>
      <c r="M275" s="211">
        <v>141812</v>
      </c>
    </row>
    <row r="276" spans="1:13" x14ac:dyDescent="0.25">
      <c r="A276" s="567"/>
      <c r="B276" s="546"/>
      <c r="C276" s="546"/>
      <c r="D276" s="545" t="s">
        <v>568</v>
      </c>
      <c r="E276" s="548" t="s">
        <v>159</v>
      </c>
      <c r="F276" s="30" t="s">
        <v>3</v>
      </c>
      <c r="G276" s="290">
        <v>0</v>
      </c>
      <c r="H276" s="286">
        <v>23350</v>
      </c>
      <c r="I276" s="286">
        <v>349</v>
      </c>
      <c r="J276" s="286">
        <v>3645</v>
      </c>
      <c r="K276" s="286">
        <v>2812</v>
      </c>
      <c r="L276" s="286">
        <v>3911</v>
      </c>
      <c r="M276" s="212">
        <v>34067</v>
      </c>
    </row>
    <row r="277" spans="1:13" x14ac:dyDescent="0.25">
      <c r="A277" s="567"/>
      <c r="B277" s="546"/>
      <c r="C277" s="546"/>
      <c r="D277" s="546"/>
      <c r="E277" s="546"/>
      <c r="F277" s="29" t="s">
        <v>2</v>
      </c>
      <c r="G277" s="291">
        <v>0</v>
      </c>
      <c r="H277" s="282">
        <v>30481</v>
      </c>
      <c r="I277" s="282">
        <v>0</v>
      </c>
      <c r="J277" s="282">
        <v>55</v>
      </c>
      <c r="K277" s="282">
        <v>2619</v>
      </c>
      <c r="L277" s="282">
        <v>8478</v>
      </c>
      <c r="M277" s="210">
        <v>41633</v>
      </c>
    </row>
    <row r="278" spans="1:13" x14ac:dyDescent="0.25">
      <c r="A278" s="567"/>
      <c r="B278" s="546"/>
      <c r="C278" s="546"/>
      <c r="D278" s="546"/>
      <c r="E278" s="546"/>
      <c r="F278" s="29" t="s">
        <v>1</v>
      </c>
      <c r="G278" s="291">
        <v>17005</v>
      </c>
      <c r="H278" s="282">
        <v>12282</v>
      </c>
      <c r="I278" s="282">
        <v>0</v>
      </c>
      <c r="J278" s="282">
        <v>0</v>
      </c>
      <c r="K278" s="282">
        <v>0</v>
      </c>
      <c r="L278" s="282">
        <v>0</v>
      </c>
      <c r="M278" s="210">
        <v>29287</v>
      </c>
    </row>
    <row r="279" spans="1:13" x14ac:dyDescent="0.25">
      <c r="A279" s="567"/>
      <c r="B279" s="546"/>
      <c r="C279" s="546"/>
      <c r="D279" s="546"/>
      <c r="E279" s="546"/>
      <c r="F279" s="29" t="s">
        <v>0</v>
      </c>
      <c r="G279" s="291">
        <v>107276</v>
      </c>
      <c r="H279" s="282">
        <v>26044</v>
      </c>
      <c r="I279" s="282">
        <v>3646</v>
      </c>
      <c r="J279" s="282">
        <v>597</v>
      </c>
      <c r="K279" s="282">
        <v>2104</v>
      </c>
      <c r="L279" s="282">
        <v>1148</v>
      </c>
      <c r="M279" s="210">
        <v>140815</v>
      </c>
    </row>
    <row r="280" spans="1:13" x14ac:dyDescent="0.25">
      <c r="A280" s="567"/>
      <c r="B280" s="546"/>
      <c r="C280" s="546"/>
      <c r="D280" s="547"/>
      <c r="E280" s="549" t="s">
        <v>25</v>
      </c>
      <c r="F280" s="550"/>
      <c r="G280" s="292">
        <v>124281</v>
      </c>
      <c r="H280" s="284">
        <v>92157</v>
      </c>
      <c r="I280" s="284">
        <v>3995</v>
      </c>
      <c r="J280" s="284">
        <v>4297</v>
      </c>
      <c r="K280" s="284">
        <v>7535</v>
      </c>
      <c r="L280" s="284">
        <v>13537</v>
      </c>
      <c r="M280" s="211">
        <v>245802</v>
      </c>
    </row>
    <row r="281" spans="1:13" x14ac:dyDescent="0.25">
      <c r="A281" s="567"/>
      <c r="B281" s="546"/>
      <c r="C281" s="546"/>
      <c r="D281" s="545" t="s">
        <v>569</v>
      </c>
      <c r="E281" s="548" t="s">
        <v>159</v>
      </c>
      <c r="F281" s="30" t="s">
        <v>3</v>
      </c>
      <c r="G281" s="285">
        <v>0</v>
      </c>
      <c r="H281" s="286">
        <v>0</v>
      </c>
      <c r="I281" s="286">
        <v>1141</v>
      </c>
      <c r="J281" s="286">
        <v>1157</v>
      </c>
      <c r="K281" s="286">
        <v>10333</v>
      </c>
      <c r="L281" s="286">
        <v>2371</v>
      </c>
      <c r="M281" s="212">
        <v>15002</v>
      </c>
    </row>
    <row r="282" spans="1:13" x14ac:dyDescent="0.25">
      <c r="A282" s="567"/>
      <c r="B282" s="546"/>
      <c r="C282" s="546"/>
      <c r="D282" s="546"/>
      <c r="E282" s="546"/>
      <c r="F282" s="29" t="s">
        <v>2</v>
      </c>
      <c r="G282" s="281">
        <v>0</v>
      </c>
      <c r="H282" s="282">
        <v>369</v>
      </c>
      <c r="I282" s="282">
        <v>454</v>
      </c>
      <c r="J282" s="282">
        <v>7947</v>
      </c>
      <c r="K282" s="282">
        <v>9024</v>
      </c>
      <c r="L282" s="282">
        <v>2373</v>
      </c>
      <c r="M282" s="210">
        <v>20167</v>
      </c>
    </row>
    <row r="283" spans="1:13" x14ac:dyDescent="0.25">
      <c r="A283" s="567"/>
      <c r="B283" s="546"/>
      <c r="C283" s="546"/>
      <c r="D283" s="546"/>
      <c r="E283" s="546"/>
      <c r="F283" s="29" t="s">
        <v>1</v>
      </c>
      <c r="G283" s="281">
        <v>0</v>
      </c>
      <c r="H283" s="282">
        <v>267</v>
      </c>
      <c r="I283" s="282">
        <v>0</v>
      </c>
      <c r="J283" s="282">
        <v>0</v>
      </c>
      <c r="K283" s="282">
        <v>817</v>
      </c>
      <c r="L283" s="282">
        <v>0</v>
      </c>
      <c r="M283" s="210">
        <v>1084</v>
      </c>
    </row>
    <row r="284" spans="1:13" x14ac:dyDescent="0.25">
      <c r="A284" s="567"/>
      <c r="B284" s="546"/>
      <c r="C284" s="546"/>
      <c r="D284" s="546"/>
      <c r="E284" s="546"/>
      <c r="F284" s="29" t="s">
        <v>0</v>
      </c>
      <c r="G284" s="281">
        <v>0</v>
      </c>
      <c r="H284" s="282">
        <v>0</v>
      </c>
      <c r="I284" s="282">
        <v>2966</v>
      </c>
      <c r="J284" s="282">
        <v>12431</v>
      </c>
      <c r="K284" s="282">
        <v>4821</v>
      </c>
      <c r="L284" s="282">
        <v>687</v>
      </c>
      <c r="M284" s="210">
        <v>20905</v>
      </c>
    </row>
    <row r="285" spans="1:13" x14ac:dyDescent="0.25">
      <c r="A285" s="567"/>
      <c r="B285" s="546"/>
      <c r="C285" s="546"/>
      <c r="D285" s="547"/>
      <c r="E285" s="549" t="s">
        <v>25</v>
      </c>
      <c r="F285" s="550"/>
      <c r="G285" s="283">
        <v>0</v>
      </c>
      <c r="H285" s="284">
        <v>636</v>
      </c>
      <c r="I285" s="284">
        <v>4561</v>
      </c>
      <c r="J285" s="284">
        <v>21535</v>
      </c>
      <c r="K285" s="284">
        <v>24995</v>
      </c>
      <c r="L285" s="284">
        <v>5431</v>
      </c>
      <c r="M285" s="211">
        <v>57158</v>
      </c>
    </row>
    <row r="286" spans="1:13" x14ac:dyDescent="0.25">
      <c r="A286" s="567"/>
      <c r="B286" s="546"/>
      <c r="C286" s="546"/>
      <c r="D286" s="545" t="s">
        <v>570</v>
      </c>
      <c r="E286" s="548" t="s">
        <v>159</v>
      </c>
      <c r="F286" s="30" t="s">
        <v>3</v>
      </c>
      <c r="G286" s="290">
        <v>0</v>
      </c>
      <c r="H286" s="286">
        <v>40433</v>
      </c>
      <c r="I286" s="286">
        <v>4073</v>
      </c>
      <c r="J286" s="286">
        <v>7054</v>
      </c>
      <c r="K286" s="286">
        <v>0</v>
      </c>
      <c r="L286" s="287">
        <v>0</v>
      </c>
      <c r="M286" s="212">
        <v>51560</v>
      </c>
    </row>
    <row r="287" spans="1:13" x14ac:dyDescent="0.25">
      <c r="A287" s="567"/>
      <c r="B287" s="546"/>
      <c r="C287" s="546"/>
      <c r="D287" s="546"/>
      <c r="E287" s="546"/>
      <c r="F287" s="29" t="s">
        <v>2</v>
      </c>
      <c r="G287" s="291">
        <v>0</v>
      </c>
      <c r="H287" s="282">
        <v>1094</v>
      </c>
      <c r="I287" s="282">
        <v>1538</v>
      </c>
      <c r="J287" s="282">
        <v>2440</v>
      </c>
      <c r="K287" s="282">
        <v>2085</v>
      </c>
      <c r="L287" s="288">
        <v>0</v>
      </c>
      <c r="M287" s="210">
        <v>7157</v>
      </c>
    </row>
    <row r="288" spans="1:13" x14ac:dyDescent="0.25">
      <c r="A288" s="567"/>
      <c r="B288" s="546"/>
      <c r="C288" s="546"/>
      <c r="D288" s="546"/>
      <c r="E288" s="546"/>
      <c r="F288" s="29" t="s">
        <v>1</v>
      </c>
      <c r="G288" s="291">
        <v>6266</v>
      </c>
      <c r="H288" s="282">
        <v>961</v>
      </c>
      <c r="I288" s="282">
        <v>2746</v>
      </c>
      <c r="J288" s="282">
        <v>1817</v>
      </c>
      <c r="K288" s="282">
        <v>1768</v>
      </c>
      <c r="L288" s="288">
        <v>0</v>
      </c>
      <c r="M288" s="210">
        <v>13558</v>
      </c>
    </row>
    <row r="289" spans="1:13" x14ac:dyDescent="0.25">
      <c r="A289" s="567"/>
      <c r="B289" s="546"/>
      <c r="C289" s="546"/>
      <c r="D289" s="546"/>
      <c r="E289" s="546"/>
      <c r="F289" s="29" t="s">
        <v>0</v>
      </c>
      <c r="G289" s="291">
        <v>40677</v>
      </c>
      <c r="H289" s="282">
        <v>37070</v>
      </c>
      <c r="I289" s="282">
        <v>38177</v>
      </c>
      <c r="J289" s="282">
        <v>4506</v>
      </c>
      <c r="K289" s="282">
        <v>8883</v>
      </c>
      <c r="L289" s="288">
        <v>0</v>
      </c>
      <c r="M289" s="210">
        <v>129313</v>
      </c>
    </row>
    <row r="290" spans="1:13" x14ac:dyDescent="0.25">
      <c r="A290" s="567"/>
      <c r="B290" s="546"/>
      <c r="C290" s="546"/>
      <c r="D290" s="547"/>
      <c r="E290" s="549" t="s">
        <v>25</v>
      </c>
      <c r="F290" s="550"/>
      <c r="G290" s="292">
        <v>46943</v>
      </c>
      <c r="H290" s="284">
        <v>79558</v>
      </c>
      <c r="I290" s="284">
        <v>46534</v>
      </c>
      <c r="J290" s="284">
        <v>15817</v>
      </c>
      <c r="K290" s="284">
        <v>12736</v>
      </c>
      <c r="L290" s="289">
        <v>0</v>
      </c>
      <c r="M290" s="211">
        <v>201588</v>
      </c>
    </row>
    <row r="291" spans="1:13" x14ac:dyDescent="0.25">
      <c r="A291" s="567"/>
      <c r="B291" s="546"/>
      <c r="C291" s="546"/>
      <c r="D291" s="545" t="s">
        <v>571</v>
      </c>
      <c r="E291" s="548" t="s">
        <v>159</v>
      </c>
      <c r="F291" s="30" t="s">
        <v>3</v>
      </c>
      <c r="G291" s="290">
        <v>0</v>
      </c>
      <c r="H291" s="286">
        <v>65403</v>
      </c>
      <c r="I291" s="286">
        <v>65098</v>
      </c>
      <c r="J291" s="286">
        <v>122261</v>
      </c>
      <c r="K291" s="286">
        <v>200734</v>
      </c>
      <c r="L291" s="286">
        <v>307899</v>
      </c>
      <c r="M291" s="212">
        <v>761395</v>
      </c>
    </row>
    <row r="292" spans="1:13" x14ac:dyDescent="0.25">
      <c r="A292" s="567"/>
      <c r="B292" s="546"/>
      <c r="C292" s="546"/>
      <c r="D292" s="546"/>
      <c r="E292" s="546"/>
      <c r="F292" s="29" t="s">
        <v>2</v>
      </c>
      <c r="G292" s="291">
        <v>0</v>
      </c>
      <c r="H292" s="282">
        <v>84707</v>
      </c>
      <c r="I292" s="282">
        <v>24596</v>
      </c>
      <c r="J292" s="282">
        <v>155843</v>
      </c>
      <c r="K292" s="282">
        <v>300363</v>
      </c>
      <c r="L292" s="282">
        <v>188937</v>
      </c>
      <c r="M292" s="210">
        <v>754446</v>
      </c>
    </row>
    <row r="293" spans="1:13" x14ac:dyDescent="0.25">
      <c r="A293" s="567"/>
      <c r="B293" s="546"/>
      <c r="C293" s="546"/>
      <c r="D293" s="546"/>
      <c r="E293" s="546"/>
      <c r="F293" s="29" t="s">
        <v>1</v>
      </c>
      <c r="G293" s="291">
        <v>183821</v>
      </c>
      <c r="H293" s="282">
        <v>63659</v>
      </c>
      <c r="I293" s="282">
        <v>33441</v>
      </c>
      <c r="J293" s="282">
        <v>4638</v>
      </c>
      <c r="K293" s="282">
        <v>14393</v>
      </c>
      <c r="L293" s="282">
        <v>2335</v>
      </c>
      <c r="M293" s="210">
        <v>302287</v>
      </c>
    </row>
    <row r="294" spans="1:13" x14ac:dyDescent="0.25">
      <c r="A294" s="567"/>
      <c r="B294" s="546"/>
      <c r="C294" s="546"/>
      <c r="D294" s="546"/>
      <c r="E294" s="546"/>
      <c r="F294" s="29" t="s">
        <v>0</v>
      </c>
      <c r="G294" s="291">
        <v>724054</v>
      </c>
      <c r="H294" s="282">
        <v>158100</v>
      </c>
      <c r="I294" s="282">
        <v>170871</v>
      </c>
      <c r="J294" s="282">
        <v>57744</v>
      </c>
      <c r="K294" s="282">
        <v>12596</v>
      </c>
      <c r="L294" s="282">
        <v>3049</v>
      </c>
      <c r="M294" s="210">
        <v>1126414</v>
      </c>
    </row>
    <row r="295" spans="1:13" x14ac:dyDescent="0.25">
      <c r="A295" s="567"/>
      <c r="B295" s="546"/>
      <c r="C295" s="546"/>
      <c r="D295" s="547"/>
      <c r="E295" s="549" t="s">
        <v>25</v>
      </c>
      <c r="F295" s="550"/>
      <c r="G295" s="292">
        <v>907875</v>
      </c>
      <c r="H295" s="284">
        <v>371869</v>
      </c>
      <c r="I295" s="284">
        <v>294006</v>
      </c>
      <c r="J295" s="284">
        <v>340486</v>
      </c>
      <c r="K295" s="284">
        <v>528086</v>
      </c>
      <c r="L295" s="284">
        <v>502220</v>
      </c>
      <c r="M295" s="211">
        <v>2944542</v>
      </c>
    </row>
    <row r="296" spans="1:13" x14ac:dyDescent="0.25">
      <c r="A296" s="567"/>
      <c r="B296" s="546"/>
      <c r="C296" s="546"/>
      <c r="D296" s="545" t="s">
        <v>572</v>
      </c>
      <c r="E296" s="548" t="s">
        <v>159</v>
      </c>
      <c r="F296" s="30" t="s">
        <v>3</v>
      </c>
      <c r="G296" s="285">
        <v>0</v>
      </c>
      <c r="H296" s="286">
        <v>3676</v>
      </c>
      <c r="I296" s="286">
        <v>27378</v>
      </c>
      <c r="J296" s="286">
        <v>11803</v>
      </c>
      <c r="K296" s="286">
        <v>60021</v>
      </c>
      <c r="L296" s="286">
        <v>31999</v>
      </c>
      <c r="M296" s="212">
        <v>134877</v>
      </c>
    </row>
    <row r="297" spans="1:13" x14ac:dyDescent="0.25">
      <c r="A297" s="567"/>
      <c r="B297" s="546"/>
      <c r="C297" s="546"/>
      <c r="D297" s="546"/>
      <c r="E297" s="546"/>
      <c r="F297" s="29" t="s">
        <v>2</v>
      </c>
      <c r="G297" s="281">
        <v>0</v>
      </c>
      <c r="H297" s="282">
        <v>280</v>
      </c>
      <c r="I297" s="282">
        <v>22795</v>
      </c>
      <c r="J297" s="282">
        <v>18284</v>
      </c>
      <c r="K297" s="282">
        <v>35142</v>
      </c>
      <c r="L297" s="282">
        <v>30445</v>
      </c>
      <c r="M297" s="210">
        <v>106946</v>
      </c>
    </row>
    <row r="298" spans="1:13" x14ac:dyDescent="0.25">
      <c r="A298" s="567"/>
      <c r="B298" s="546"/>
      <c r="C298" s="546"/>
      <c r="D298" s="546"/>
      <c r="E298" s="546"/>
      <c r="F298" s="29" t="s">
        <v>1</v>
      </c>
      <c r="G298" s="281">
        <v>0</v>
      </c>
      <c r="H298" s="282">
        <v>6613</v>
      </c>
      <c r="I298" s="282">
        <v>656</v>
      </c>
      <c r="J298" s="282">
        <v>322</v>
      </c>
      <c r="K298" s="282">
        <v>1031</v>
      </c>
      <c r="L298" s="282">
        <v>772</v>
      </c>
      <c r="M298" s="210">
        <v>9394</v>
      </c>
    </row>
    <row r="299" spans="1:13" x14ac:dyDescent="0.25">
      <c r="A299" s="567"/>
      <c r="B299" s="546"/>
      <c r="C299" s="546"/>
      <c r="D299" s="546"/>
      <c r="E299" s="546"/>
      <c r="F299" s="29" t="s">
        <v>0</v>
      </c>
      <c r="G299" s="281">
        <v>0</v>
      </c>
      <c r="H299" s="282">
        <v>1554</v>
      </c>
      <c r="I299" s="282">
        <v>23048</v>
      </c>
      <c r="J299" s="282">
        <v>2056</v>
      </c>
      <c r="K299" s="282">
        <v>3007</v>
      </c>
      <c r="L299" s="282">
        <v>1305</v>
      </c>
      <c r="M299" s="210">
        <v>30970</v>
      </c>
    </row>
    <row r="300" spans="1:13" x14ac:dyDescent="0.25">
      <c r="A300" s="567"/>
      <c r="B300" s="546"/>
      <c r="C300" s="546"/>
      <c r="D300" s="547"/>
      <c r="E300" s="549" t="s">
        <v>25</v>
      </c>
      <c r="F300" s="550"/>
      <c r="G300" s="283">
        <v>0</v>
      </c>
      <c r="H300" s="284">
        <v>12123</v>
      </c>
      <c r="I300" s="284">
        <v>73877</v>
      </c>
      <c r="J300" s="284">
        <v>32465</v>
      </c>
      <c r="K300" s="284">
        <v>99201</v>
      </c>
      <c r="L300" s="284">
        <v>64521</v>
      </c>
      <c r="M300" s="211">
        <v>282187</v>
      </c>
    </row>
    <row r="301" spans="1:13" x14ac:dyDescent="0.25">
      <c r="A301" s="567"/>
      <c r="B301" s="546"/>
      <c r="C301" s="546"/>
      <c r="D301" s="545" t="s">
        <v>573</v>
      </c>
      <c r="E301" s="548" t="s">
        <v>159</v>
      </c>
      <c r="F301" s="30" t="s">
        <v>3</v>
      </c>
      <c r="G301" s="290">
        <v>0</v>
      </c>
      <c r="H301" s="286">
        <v>29599</v>
      </c>
      <c r="I301" s="286">
        <v>0</v>
      </c>
      <c r="J301" s="286">
        <v>2120</v>
      </c>
      <c r="K301" s="286">
        <v>3418</v>
      </c>
      <c r="L301" s="286">
        <v>22134</v>
      </c>
      <c r="M301" s="212">
        <v>57271</v>
      </c>
    </row>
    <row r="302" spans="1:13" x14ac:dyDescent="0.25">
      <c r="A302" s="567"/>
      <c r="B302" s="546"/>
      <c r="C302" s="546"/>
      <c r="D302" s="546"/>
      <c r="E302" s="546"/>
      <c r="F302" s="29" t="s">
        <v>2</v>
      </c>
      <c r="G302" s="291">
        <v>0</v>
      </c>
      <c r="H302" s="282">
        <v>419</v>
      </c>
      <c r="I302" s="282">
        <v>1753</v>
      </c>
      <c r="J302" s="282">
        <v>11564</v>
      </c>
      <c r="K302" s="282">
        <v>7146</v>
      </c>
      <c r="L302" s="282">
        <v>3719</v>
      </c>
      <c r="M302" s="210">
        <v>24601</v>
      </c>
    </row>
    <row r="303" spans="1:13" x14ac:dyDescent="0.25">
      <c r="A303" s="567"/>
      <c r="B303" s="546"/>
      <c r="C303" s="546"/>
      <c r="D303" s="546"/>
      <c r="E303" s="546"/>
      <c r="F303" s="29" t="s">
        <v>1</v>
      </c>
      <c r="G303" s="291">
        <v>12685</v>
      </c>
      <c r="H303" s="282">
        <v>22241</v>
      </c>
      <c r="I303" s="282">
        <v>3088</v>
      </c>
      <c r="J303" s="282">
        <v>0</v>
      </c>
      <c r="K303" s="282">
        <v>3518</v>
      </c>
      <c r="L303" s="282">
        <v>0</v>
      </c>
      <c r="M303" s="210">
        <v>41532</v>
      </c>
    </row>
    <row r="304" spans="1:13" x14ac:dyDescent="0.25">
      <c r="A304" s="567"/>
      <c r="B304" s="546"/>
      <c r="C304" s="546"/>
      <c r="D304" s="546"/>
      <c r="E304" s="546"/>
      <c r="F304" s="29" t="s">
        <v>0</v>
      </c>
      <c r="G304" s="291">
        <v>16724</v>
      </c>
      <c r="H304" s="282">
        <v>3135</v>
      </c>
      <c r="I304" s="282">
        <v>10625</v>
      </c>
      <c r="J304" s="282">
        <v>11167</v>
      </c>
      <c r="K304" s="282">
        <v>453</v>
      </c>
      <c r="L304" s="282">
        <v>0</v>
      </c>
      <c r="M304" s="210">
        <v>42104</v>
      </c>
    </row>
    <row r="305" spans="1:13" x14ac:dyDescent="0.25">
      <c r="A305" s="567"/>
      <c r="B305" s="546"/>
      <c r="C305" s="547"/>
      <c r="D305" s="547"/>
      <c r="E305" s="549" t="s">
        <v>25</v>
      </c>
      <c r="F305" s="550"/>
      <c r="G305" s="292">
        <v>29409</v>
      </c>
      <c r="H305" s="284">
        <v>55394</v>
      </c>
      <c r="I305" s="284">
        <v>15466</v>
      </c>
      <c r="J305" s="284">
        <v>24851</v>
      </c>
      <c r="K305" s="284">
        <v>14535</v>
      </c>
      <c r="L305" s="284">
        <v>25853</v>
      </c>
      <c r="M305" s="211">
        <v>165508</v>
      </c>
    </row>
    <row r="306" spans="1:13" x14ac:dyDescent="0.25">
      <c r="A306" s="567"/>
      <c r="B306" s="546"/>
      <c r="C306" s="545" t="s">
        <v>5</v>
      </c>
      <c r="D306" s="545" t="s">
        <v>562</v>
      </c>
      <c r="E306" s="548" t="s">
        <v>159</v>
      </c>
      <c r="F306" s="30" t="s">
        <v>3</v>
      </c>
      <c r="G306" s="290">
        <v>0</v>
      </c>
      <c r="H306" s="286">
        <v>5649</v>
      </c>
      <c r="I306" s="286">
        <v>0</v>
      </c>
      <c r="J306" s="286">
        <v>417</v>
      </c>
      <c r="K306" s="286">
        <v>488</v>
      </c>
      <c r="L306" s="286">
        <v>0</v>
      </c>
      <c r="M306" s="212">
        <v>6554</v>
      </c>
    </row>
    <row r="307" spans="1:13" x14ac:dyDescent="0.25">
      <c r="A307" s="567"/>
      <c r="B307" s="546"/>
      <c r="C307" s="546"/>
      <c r="D307" s="546"/>
      <c r="E307" s="546"/>
      <c r="F307" s="29" t="s">
        <v>2</v>
      </c>
      <c r="G307" s="291">
        <v>0</v>
      </c>
      <c r="H307" s="282">
        <v>11449</v>
      </c>
      <c r="I307" s="282">
        <v>1489</v>
      </c>
      <c r="J307" s="282">
        <v>1655</v>
      </c>
      <c r="K307" s="282">
        <v>2159</v>
      </c>
      <c r="L307" s="282">
        <v>1092</v>
      </c>
      <c r="M307" s="210">
        <v>17844</v>
      </c>
    </row>
    <row r="308" spans="1:13" x14ac:dyDescent="0.25">
      <c r="A308" s="567"/>
      <c r="B308" s="546"/>
      <c r="C308" s="546"/>
      <c r="D308" s="546"/>
      <c r="E308" s="546"/>
      <c r="F308" s="29" t="s">
        <v>1</v>
      </c>
      <c r="G308" s="291">
        <v>7088</v>
      </c>
      <c r="H308" s="282">
        <v>11997</v>
      </c>
      <c r="I308" s="282">
        <v>404</v>
      </c>
      <c r="J308" s="282">
        <v>0</v>
      </c>
      <c r="K308" s="282">
        <v>0</v>
      </c>
      <c r="L308" s="282">
        <v>0</v>
      </c>
      <c r="M308" s="210">
        <v>19489</v>
      </c>
    </row>
    <row r="309" spans="1:13" x14ac:dyDescent="0.25">
      <c r="A309" s="567"/>
      <c r="B309" s="546"/>
      <c r="C309" s="546"/>
      <c r="D309" s="546"/>
      <c r="E309" s="546"/>
      <c r="F309" s="29" t="s">
        <v>0</v>
      </c>
      <c r="G309" s="291">
        <v>82471</v>
      </c>
      <c r="H309" s="282">
        <v>26758</v>
      </c>
      <c r="I309" s="282">
        <v>7347</v>
      </c>
      <c r="J309" s="282">
        <v>1253</v>
      </c>
      <c r="K309" s="282">
        <v>3140</v>
      </c>
      <c r="L309" s="282">
        <v>394</v>
      </c>
      <c r="M309" s="210">
        <v>121363</v>
      </c>
    </row>
    <row r="310" spans="1:13" x14ac:dyDescent="0.25">
      <c r="A310" s="567"/>
      <c r="B310" s="546"/>
      <c r="C310" s="546"/>
      <c r="D310" s="547"/>
      <c r="E310" s="549" t="s">
        <v>25</v>
      </c>
      <c r="F310" s="550"/>
      <c r="G310" s="292">
        <v>89559</v>
      </c>
      <c r="H310" s="284">
        <v>55853</v>
      </c>
      <c r="I310" s="284">
        <v>9240</v>
      </c>
      <c r="J310" s="284">
        <v>3325</v>
      </c>
      <c r="K310" s="284">
        <v>5787</v>
      </c>
      <c r="L310" s="284">
        <v>1486</v>
      </c>
      <c r="M310" s="211">
        <v>165250</v>
      </c>
    </row>
    <row r="311" spans="1:13" x14ac:dyDescent="0.25">
      <c r="A311" s="567"/>
      <c r="B311" s="546"/>
      <c r="C311" s="546"/>
      <c r="D311" s="545" t="s">
        <v>563</v>
      </c>
      <c r="E311" s="548" t="s">
        <v>159</v>
      </c>
      <c r="F311" s="30" t="s">
        <v>3</v>
      </c>
      <c r="G311" s="285">
        <v>0</v>
      </c>
      <c r="H311" s="287">
        <v>0</v>
      </c>
      <c r="I311" s="286">
        <v>0</v>
      </c>
      <c r="J311" s="286">
        <v>3100</v>
      </c>
      <c r="K311" s="286">
        <v>588</v>
      </c>
      <c r="L311" s="286">
        <v>1893</v>
      </c>
      <c r="M311" s="212">
        <v>5581</v>
      </c>
    </row>
    <row r="312" spans="1:13" x14ac:dyDescent="0.25">
      <c r="A312" s="567"/>
      <c r="B312" s="546"/>
      <c r="C312" s="546"/>
      <c r="D312" s="546"/>
      <c r="E312" s="546"/>
      <c r="F312" s="29" t="s">
        <v>2</v>
      </c>
      <c r="G312" s="281">
        <v>0</v>
      </c>
      <c r="H312" s="288">
        <v>0</v>
      </c>
      <c r="I312" s="282">
        <v>0</v>
      </c>
      <c r="J312" s="282">
        <v>78</v>
      </c>
      <c r="K312" s="282">
        <v>2810</v>
      </c>
      <c r="L312" s="282">
        <v>863</v>
      </c>
      <c r="M312" s="210">
        <v>3751</v>
      </c>
    </row>
    <row r="313" spans="1:13" x14ac:dyDescent="0.25">
      <c r="A313" s="567"/>
      <c r="B313" s="546"/>
      <c r="C313" s="546"/>
      <c r="D313" s="546"/>
      <c r="E313" s="546"/>
      <c r="F313" s="29" t="s">
        <v>1</v>
      </c>
      <c r="G313" s="281">
        <v>0</v>
      </c>
      <c r="H313" s="288">
        <v>0</v>
      </c>
      <c r="I313" s="282">
        <v>3344</v>
      </c>
      <c r="J313" s="282">
        <v>0</v>
      </c>
      <c r="K313" s="282">
        <v>0</v>
      </c>
      <c r="L313" s="282">
        <v>0</v>
      </c>
      <c r="M313" s="210">
        <v>3344</v>
      </c>
    </row>
    <row r="314" spans="1:13" x14ac:dyDescent="0.25">
      <c r="A314" s="567"/>
      <c r="B314" s="546"/>
      <c r="C314" s="546"/>
      <c r="D314" s="546"/>
      <c r="E314" s="546"/>
      <c r="F314" s="29" t="s">
        <v>0</v>
      </c>
      <c r="G314" s="281">
        <v>0</v>
      </c>
      <c r="H314" s="288">
        <v>0</v>
      </c>
      <c r="I314" s="282">
        <v>4056</v>
      </c>
      <c r="J314" s="282">
        <v>2426</v>
      </c>
      <c r="K314" s="282">
        <v>1185</v>
      </c>
      <c r="L314" s="282">
        <v>317</v>
      </c>
      <c r="M314" s="210">
        <v>7984</v>
      </c>
    </row>
    <row r="315" spans="1:13" x14ac:dyDescent="0.25">
      <c r="A315" s="567"/>
      <c r="B315" s="546"/>
      <c r="C315" s="546"/>
      <c r="D315" s="547"/>
      <c r="E315" s="549" t="s">
        <v>25</v>
      </c>
      <c r="F315" s="550"/>
      <c r="G315" s="283">
        <v>0</v>
      </c>
      <c r="H315" s="289">
        <v>0</v>
      </c>
      <c r="I315" s="284">
        <v>7400</v>
      </c>
      <c r="J315" s="284">
        <v>5604</v>
      </c>
      <c r="K315" s="284">
        <v>4583</v>
      </c>
      <c r="L315" s="284">
        <v>3073</v>
      </c>
      <c r="M315" s="211">
        <v>20660</v>
      </c>
    </row>
    <row r="316" spans="1:13" x14ac:dyDescent="0.25">
      <c r="A316" s="567"/>
      <c r="B316" s="546"/>
      <c r="C316" s="546"/>
      <c r="D316" s="545" t="s">
        <v>564</v>
      </c>
      <c r="E316" s="548" t="s">
        <v>159</v>
      </c>
      <c r="F316" s="30" t="s">
        <v>2</v>
      </c>
      <c r="G316" s="290">
        <v>0</v>
      </c>
      <c r="H316" s="286">
        <v>0</v>
      </c>
      <c r="I316" s="286">
        <v>2846</v>
      </c>
      <c r="J316" s="286">
        <v>0</v>
      </c>
      <c r="K316" s="286">
        <v>459</v>
      </c>
      <c r="L316" s="287">
        <v>0</v>
      </c>
      <c r="M316" s="212">
        <v>3305</v>
      </c>
    </row>
    <row r="317" spans="1:13" s="22" customFormat="1" x14ac:dyDescent="0.25">
      <c r="A317" s="567"/>
      <c r="B317" s="546"/>
      <c r="C317" s="546"/>
      <c r="D317" s="571"/>
      <c r="E317" s="571"/>
      <c r="F317" s="29"/>
      <c r="G317" s="291">
        <v>0</v>
      </c>
      <c r="H317" s="282">
        <v>0</v>
      </c>
      <c r="I317" s="282">
        <v>0</v>
      </c>
      <c r="J317" s="282">
        <v>0</v>
      </c>
      <c r="K317" s="282">
        <v>0</v>
      </c>
      <c r="L317" s="288">
        <v>0</v>
      </c>
      <c r="M317" s="210">
        <v>0</v>
      </c>
    </row>
    <row r="318" spans="1:13" x14ac:dyDescent="0.25">
      <c r="A318" s="567"/>
      <c r="B318" s="546"/>
      <c r="C318" s="546"/>
      <c r="D318" s="546"/>
      <c r="E318" s="546"/>
      <c r="F318" s="29" t="s">
        <v>1</v>
      </c>
      <c r="G318" s="291">
        <v>0</v>
      </c>
      <c r="H318" s="282">
        <v>5054</v>
      </c>
      <c r="I318" s="282">
        <v>0</v>
      </c>
      <c r="J318" s="282">
        <v>0</v>
      </c>
      <c r="K318" s="282">
        <v>0</v>
      </c>
      <c r="L318" s="288">
        <v>0</v>
      </c>
      <c r="M318" s="210">
        <v>5054</v>
      </c>
    </row>
    <row r="319" spans="1:13" x14ac:dyDescent="0.25">
      <c r="A319" s="567"/>
      <c r="B319" s="546"/>
      <c r="C319" s="546"/>
      <c r="D319" s="546"/>
      <c r="E319" s="546"/>
      <c r="F319" s="29" t="s">
        <v>0</v>
      </c>
      <c r="G319" s="291">
        <v>639</v>
      </c>
      <c r="H319" s="282">
        <v>3690</v>
      </c>
      <c r="I319" s="282">
        <v>2655</v>
      </c>
      <c r="J319" s="282">
        <v>252</v>
      </c>
      <c r="K319" s="282">
        <v>0</v>
      </c>
      <c r="L319" s="288">
        <v>0</v>
      </c>
      <c r="M319" s="210">
        <v>7236</v>
      </c>
    </row>
    <row r="320" spans="1:13" x14ac:dyDescent="0.25">
      <c r="A320" s="567"/>
      <c r="B320" s="546"/>
      <c r="C320" s="546"/>
      <c r="D320" s="547"/>
      <c r="E320" s="549" t="s">
        <v>25</v>
      </c>
      <c r="F320" s="550"/>
      <c r="G320" s="292">
        <v>639</v>
      </c>
      <c r="H320" s="284">
        <v>8744</v>
      </c>
      <c r="I320" s="284">
        <v>5501</v>
      </c>
      <c r="J320" s="284">
        <v>252</v>
      </c>
      <c r="K320" s="284">
        <v>459</v>
      </c>
      <c r="L320" s="289">
        <v>0</v>
      </c>
      <c r="M320" s="211">
        <v>15595</v>
      </c>
    </row>
    <row r="321" spans="1:13" x14ac:dyDescent="0.25">
      <c r="A321" s="567"/>
      <c r="B321" s="546"/>
      <c r="C321" s="546"/>
      <c r="D321" s="545" t="s">
        <v>565</v>
      </c>
      <c r="E321" s="548" t="s">
        <v>159</v>
      </c>
      <c r="F321" s="30" t="s">
        <v>3</v>
      </c>
      <c r="G321" s="290">
        <v>0</v>
      </c>
      <c r="H321" s="286">
        <v>0</v>
      </c>
      <c r="I321" s="286">
        <v>2402</v>
      </c>
      <c r="J321" s="286">
        <v>2211</v>
      </c>
      <c r="K321" s="286">
        <v>8367</v>
      </c>
      <c r="L321" s="286">
        <v>1687</v>
      </c>
      <c r="M321" s="212">
        <v>14667</v>
      </c>
    </row>
    <row r="322" spans="1:13" x14ac:dyDescent="0.25">
      <c r="A322" s="567"/>
      <c r="B322" s="546"/>
      <c r="C322" s="546"/>
      <c r="D322" s="546"/>
      <c r="E322" s="546"/>
      <c r="F322" s="29" t="s">
        <v>2</v>
      </c>
      <c r="G322" s="291">
        <v>0</v>
      </c>
      <c r="H322" s="282">
        <v>1815</v>
      </c>
      <c r="I322" s="282">
        <v>0</v>
      </c>
      <c r="J322" s="282">
        <v>7754</v>
      </c>
      <c r="K322" s="282">
        <v>5429</v>
      </c>
      <c r="L322" s="282">
        <v>1300</v>
      </c>
      <c r="M322" s="210">
        <v>16298</v>
      </c>
    </row>
    <row r="323" spans="1:13" x14ac:dyDescent="0.25">
      <c r="A323" s="567"/>
      <c r="B323" s="546"/>
      <c r="C323" s="546"/>
      <c r="D323" s="546"/>
      <c r="E323" s="546"/>
      <c r="F323" s="29" t="s">
        <v>1</v>
      </c>
      <c r="G323" s="291">
        <v>17094</v>
      </c>
      <c r="H323" s="282">
        <v>0</v>
      </c>
      <c r="I323" s="282">
        <v>0</v>
      </c>
      <c r="J323" s="282">
        <v>0</v>
      </c>
      <c r="K323" s="282">
        <v>0</v>
      </c>
      <c r="L323" s="282">
        <v>0</v>
      </c>
      <c r="M323" s="210">
        <v>17094</v>
      </c>
    </row>
    <row r="324" spans="1:13" x14ac:dyDescent="0.25">
      <c r="A324" s="567"/>
      <c r="B324" s="546"/>
      <c r="C324" s="546"/>
      <c r="D324" s="546"/>
      <c r="E324" s="546"/>
      <c r="F324" s="29" t="s">
        <v>0</v>
      </c>
      <c r="G324" s="291">
        <v>29050</v>
      </c>
      <c r="H324" s="282">
        <v>15440</v>
      </c>
      <c r="I324" s="282">
        <v>9163</v>
      </c>
      <c r="J324" s="282">
        <v>0</v>
      </c>
      <c r="K324" s="282">
        <v>0</v>
      </c>
      <c r="L324" s="282">
        <v>0</v>
      </c>
      <c r="M324" s="210">
        <v>53653</v>
      </c>
    </row>
    <row r="325" spans="1:13" x14ac:dyDescent="0.25">
      <c r="A325" s="567"/>
      <c r="B325" s="546"/>
      <c r="C325" s="546"/>
      <c r="D325" s="547"/>
      <c r="E325" s="549" t="s">
        <v>25</v>
      </c>
      <c r="F325" s="550"/>
      <c r="G325" s="292">
        <v>46144</v>
      </c>
      <c r="H325" s="284">
        <v>17255</v>
      </c>
      <c r="I325" s="284">
        <v>11565</v>
      </c>
      <c r="J325" s="284">
        <v>9965</v>
      </c>
      <c r="K325" s="284">
        <v>13796</v>
      </c>
      <c r="L325" s="284">
        <v>2987</v>
      </c>
      <c r="M325" s="211">
        <v>101712</v>
      </c>
    </row>
    <row r="326" spans="1:13" x14ac:dyDescent="0.25">
      <c r="A326" s="567"/>
      <c r="B326" s="546"/>
      <c r="C326" s="546"/>
      <c r="D326" s="545" t="s">
        <v>566</v>
      </c>
      <c r="E326" s="548" t="s">
        <v>159</v>
      </c>
      <c r="F326" s="30" t="s">
        <v>3</v>
      </c>
      <c r="G326" s="285">
        <v>0</v>
      </c>
      <c r="H326" s="287">
        <v>0</v>
      </c>
      <c r="I326" s="287">
        <v>0</v>
      </c>
      <c r="J326" s="286">
        <v>1476</v>
      </c>
      <c r="K326" s="286">
        <v>1564</v>
      </c>
      <c r="L326" s="286">
        <v>0</v>
      </c>
      <c r="M326" s="212">
        <v>3040</v>
      </c>
    </row>
    <row r="327" spans="1:13" x14ac:dyDescent="0.25">
      <c r="A327" s="567"/>
      <c r="B327" s="546"/>
      <c r="C327" s="546"/>
      <c r="D327" s="546"/>
      <c r="E327" s="546"/>
      <c r="F327" s="29" t="s">
        <v>2</v>
      </c>
      <c r="G327" s="281">
        <v>0</v>
      </c>
      <c r="H327" s="288">
        <v>0</v>
      </c>
      <c r="I327" s="288">
        <v>0</v>
      </c>
      <c r="J327" s="282">
        <v>0</v>
      </c>
      <c r="K327" s="282">
        <v>2359</v>
      </c>
      <c r="L327" s="282">
        <v>3010</v>
      </c>
      <c r="M327" s="210">
        <v>5369</v>
      </c>
    </row>
    <row r="328" spans="1:13" s="22" customFormat="1" x14ac:dyDescent="0.25">
      <c r="A328" s="567"/>
      <c r="B328" s="546"/>
      <c r="C328" s="546"/>
      <c r="D328" s="546"/>
      <c r="E328" s="207"/>
      <c r="F328" s="29" t="s">
        <v>1</v>
      </c>
      <c r="G328" s="281">
        <v>0</v>
      </c>
      <c r="H328" s="288">
        <v>0</v>
      </c>
      <c r="I328" s="288">
        <v>0</v>
      </c>
      <c r="J328" s="282">
        <v>0</v>
      </c>
      <c r="K328" s="282">
        <v>0</v>
      </c>
      <c r="L328" s="282">
        <v>0</v>
      </c>
      <c r="M328" s="210">
        <v>0</v>
      </c>
    </row>
    <row r="329" spans="1:13" s="22" customFormat="1" x14ac:dyDescent="0.25">
      <c r="A329" s="567"/>
      <c r="B329" s="546"/>
      <c r="C329" s="546"/>
      <c r="D329" s="546"/>
      <c r="E329" s="207"/>
      <c r="F329" s="29" t="s">
        <v>0</v>
      </c>
      <c r="G329" s="281">
        <v>0</v>
      </c>
      <c r="H329" s="288">
        <v>0</v>
      </c>
      <c r="I329" s="288">
        <v>0</v>
      </c>
      <c r="J329" s="282">
        <v>0</v>
      </c>
      <c r="K329" s="282">
        <v>0</v>
      </c>
      <c r="L329" s="282">
        <v>0</v>
      </c>
      <c r="M329" s="210">
        <v>0</v>
      </c>
    </row>
    <row r="330" spans="1:13" x14ac:dyDescent="0.25">
      <c r="A330" s="567"/>
      <c r="B330" s="546"/>
      <c r="C330" s="546"/>
      <c r="D330" s="547"/>
      <c r="E330" s="549" t="s">
        <v>25</v>
      </c>
      <c r="F330" s="550"/>
      <c r="G330" s="283">
        <v>0</v>
      </c>
      <c r="H330" s="289">
        <v>0</v>
      </c>
      <c r="I330" s="289">
        <v>0</v>
      </c>
      <c r="J330" s="284">
        <v>1476</v>
      </c>
      <c r="K330" s="284">
        <v>3923</v>
      </c>
      <c r="L330" s="284">
        <v>3010</v>
      </c>
      <c r="M330" s="211">
        <v>8409</v>
      </c>
    </row>
    <row r="331" spans="1:13" x14ac:dyDescent="0.25">
      <c r="A331" s="567"/>
      <c r="B331" s="546"/>
      <c r="C331" s="546"/>
      <c r="D331" s="545" t="s">
        <v>567</v>
      </c>
      <c r="E331" s="548" t="s">
        <v>159</v>
      </c>
      <c r="F331" s="30" t="s">
        <v>3</v>
      </c>
      <c r="G331" s="285">
        <v>0</v>
      </c>
      <c r="H331" s="287">
        <v>0</v>
      </c>
      <c r="I331" s="286">
        <v>0</v>
      </c>
      <c r="J331" s="287">
        <v>0</v>
      </c>
      <c r="K331" s="287">
        <v>0</v>
      </c>
      <c r="L331" s="287">
        <v>0</v>
      </c>
      <c r="M331" s="212">
        <v>0</v>
      </c>
    </row>
    <row r="332" spans="1:13" s="22" customFormat="1" x14ac:dyDescent="0.25">
      <c r="A332" s="567"/>
      <c r="B332" s="546"/>
      <c r="C332" s="546"/>
      <c r="D332" s="571"/>
      <c r="E332" s="571"/>
      <c r="F332" s="29" t="s">
        <v>2</v>
      </c>
      <c r="G332" s="281">
        <v>0</v>
      </c>
      <c r="H332" s="288">
        <v>0</v>
      </c>
      <c r="I332" s="282">
        <v>1006</v>
      </c>
      <c r="J332" s="288">
        <v>0</v>
      </c>
      <c r="K332" s="288">
        <v>0</v>
      </c>
      <c r="L332" s="288">
        <v>0</v>
      </c>
      <c r="M332" s="210">
        <v>1006</v>
      </c>
    </row>
    <row r="333" spans="1:13" s="22" customFormat="1" x14ac:dyDescent="0.25">
      <c r="A333" s="567"/>
      <c r="B333" s="546"/>
      <c r="C333" s="546"/>
      <c r="D333" s="571"/>
      <c r="E333" s="571"/>
      <c r="F333" s="29" t="s">
        <v>1</v>
      </c>
      <c r="G333" s="281">
        <v>0</v>
      </c>
      <c r="H333" s="288">
        <v>0</v>
      </c>
      <c r="I333" s="282">
        <v>0</v>
      </c>
      <c r="J333" s="288">
        <v>0</v>
      </c>
      <c r="K333" s="288">
        <v>0</v>
      </c>
      <c r="L333" s="288">
        <v>0</v>
      </c>
      <c r="M333" s="210">
        <v>0</v>
      </c>
    </row>
    <row r="334" spans="1:13" x14ac:dyDescent="0.25">
      <c r="A334" s="567"/>
      <c r="B334" s="546"/>
      <c r="C334" s="546"/>
      <c r="D334" s="546"/>
      <c r="E334" s="546"/>
      <c r="F334" s="29" t="s">
        <v>0</v>
      </c>
      <c r="G334" s="281">
        <v>0</v>
      </c>
      <c r="H334" s="288">
        <v>0</v>
      </c>
      <c r="I334" s="282">
        <v>3698</v>
      </c>
      <c r="J334" s="288">
        <v>0</v>
      </c>
      <c r="K334" s="288">
        <v>0</v>
      </c>
      <c r="L334" s="288">
        <v>0</v>
      </c>
      <c r="M334" s="210">
        <v>3698</v>
      </c>
    </row>
    <row r="335" spans="1:13" x14ac:dyDescent="0.25">
      <c r="A335" s="567"/>
      <c r="B335" s="546"/>
      <c r="C335" s="546"/>
      <c r="D335" s="547"/>
      <c r="E335" s="549" t="s">
        <v>25</v>
      </c>
      <c r="F335" s="550"/>
      <c r="G335" s="283">
        <v>0</v>
      </c>
      <c r="H335" s="289">
        <v>0</v>
      </c>
      <c r="I335" s="284">
        <v>4704</v>
      </c>
      <c r="J335" s="289">
        <v>0</v>
      </c>
      <c r="K335" s="289">
        <v>0</v>
      </c>
      <c r="L335" s="289">
        <v>0</v>
      </c>
      <c r="M335" s="211">
        <v>4704</v>
      </c>
    </row>
    <row r="336" spans="1:13" x14ac:dyDescent="0.25">
      <c r="A336" s="567"/>
      <c r="B336" s="546"/>
      <c r="C336" s="546"/>
      <c r="D336" s="545" t="s">
        <v>568</v>
      </c>
      <c r="E336" s="548" t="s">
        <v>159</v>
      </c>
      <c r="F336" s="30" t="s">
        <v>3</v>
      </c>
      <c r="G336" s="290">
        <v>0</v>
      </c>
      <c r="H336" s="286">
        <v>0</v>
      </c>
      <c r="I336" s="286">
        <v>1173</v>
      </c>
      <c r="J336" s="286">
        <v>0</v>
      </c>
      <c r="K336" s="286">
        <v>797</v>
      </c>
      <c r="L336" s="286">
        <v>101</v>
      </c>
      <c r="M336" s="212">
        <v>2071</v>
      </c>
    </row>
    <row r="337" spans="1:13" x14ac:dyDescent="0.25">
      <c r="A337" s="567"/>
      <c r="B337" s="546"/>
      <c r="C337" s="546"/>
      <c r="D337" s="546"/>
      <c r="E337" s="546"/>
      <c r="F337" s="29" t="s">
        <v>2</v>
      </c>
      <c r="G337" s="291">
        <v>0</v>
      </c>
      <c r="H337" s="282">
        <v>30063</v>
      </c>
      <c r="I337" s="282">
        <v>236</v>
      </c>
      <c r="J337" s="282">
        <v>6812</v>
      </c>
      <c r="K337" s="282">
        <v>0</v>
      </c>
      <c r="L337" s="282">
        <v>4031</v>
      </c>
      <c r="M337" s="210">
        <v>41142</v>
      </c>
    </row>
    <row r="338" spans="1:13" x14ac:dyDescent="0.25">
      <c r="A338" s="567"/>
      <c r="B338" s="546"/>
      <c r="C338" s="546"/>
      <c r="D338" s="546"/>
      <c r="E338" s="546"/>
      <c r="F338" s="29" t="s">
        <v>1</v>
      </c>
      <c r="G338" s="291">
        <v>9724</v>
      </c>
      <c r="H338" s="282">
        <v>4997</v>
      </c>
      <c r="I338" s="282">
        <v>0</v>
      </c>
      <c r="J338" s="282">
        <v>519</v>
      </c>
      <c r="K338" s="282">
        <v>0</v>
      </c>
      <c r="L338" s="282">
        <v>0</v>
      </c>
      <c r="M338" s="210">
        <v>15240</v>
      </c>
    </row>
    <row r="339" spans="1:13" x14ac:dyDescent="0.25">
      <c r="A339" s="567"/>
      <c r="B339" s="546"/>
      <c r="C339" s="546"/>
      <c r="D339" s="546"/>
      <c r="E339" s="546"/>
      <c r="F339" s="29" t="s">
        <v>0</v>
      </c>
      <c r="G339" s="291">
        <v>72202</v>
      </c>
      <c r="H339" s="282">
        <v>4864</v>
      </c>
      <c r="I339" s="282">
        <v>2703</v>
      </c>
      <c r="J339" s="282">
        <v>645</v>
      </c>
      <c r="K339" s="282">
        <v>0</v>
      </c>
      <c r="L339" s="282">
        <v>862</v>
      </c>
      <c r="M339" s="210">
        <v>81276</v>
      </c>
    </row>
    <row r="340" spans="1:13" x14ac:dyDescent="0.25">
      <c r="A340" s="567"/>
      <c r="B340" s="546"/>
      <c r="C340" s="546"/>
      <c r="D340" s="547"/>
      <c r="E340" s="549" t="s">
        <v>25</v>
      </c>
      <c r="F340" s="550"/>
      <c r="G340" s="292">
        <v>81926</v>
      </c>
      <c r="H340" s="284">
        <v>39924</v>
      </c>
      <c r="I340" s="284">
        <v>4112</v>
      </c>
      <c r="J340" s="284">
        <v>7976</v>
      </c>
      <c r="K340" s="284">
        <v>797</v>
      </c>
      <c r="L340" s="284">
        <v>4994</v>
      </c>
      <c r="M340" s="211">
        <v>139729</v>
      </c>
    </row>
    <row r="341" spans="1:13" x14ac:dyDescent="0.25">
      <c r="A341" s="567"/>
      <c r="B341" s="546"/>
      <c r="C341" s="546"/>
      <c r="D341" s="545" t="s">
        <v>569</v>
      </c>
      <c r="E341" s="548" t="s">
        <v>159</v>
      </c>
      <c r="F341" s="30" t="s">
        <v>3</v>
      </c>
      <c r="G341" s="285">
        <v>0</v>
      </c>
      <c r="H341" s="286">
        <v>299</v>
      </c>
      <c r="I341" s="286">
        <v>0</v>
      </c>
      <c r="J341" s="286">
        <v>1087</v>
      </c>
      <c r="K341" s="286">
        <v>1252</v>
      </c>
      <c r="L341" s="286">
        <v>0</v>
      </c>
      <c r="M341" s="212">
        <v>2638</v>
      </c>
    </row>
    <row r="342" spans="1:13" x14ac:dyDescent="0.25">
      <c r="A342" s="567"/>
      <c r="B342" s="546"/>
      <c r="C342" s="546"/>
      <c r="D342" s="546"/>
      <c r="E342" s="546"/>
      <c r="F342" s="29" t="s">
        <v>2</v>
      </c>
      <c r="G342" s="281">
        <v>0</v>
      </c>
      <c r="H342" s="282">
        <v>494</v>
      </c>
      <c r="I342" s="282">
        <v>427</v>
      </c>
      <c r="J342" s="282">
        <v>4120</v>
      </c>
      <c r="K342" s="282">
        <v>7067</v>
      </c>
      <c r="L342" s="282">
        <v>2381</v>
      </c>
      <c r="M342" s="210">
        <v>14489</v>
      </c>
    </row>
    <row r="343" spans="1:13" x14ac:dyDescent="0.25">
      <c r="A343" s="567"/>
      <c r="B343" s="546"/>
      <c r="C343" s="546"/>
      <c r="D343" s="546"/>
      <c r="E343" s="546"/>
      <c r="F343" s="29" t="s">
        <v>1</v>
      </c>
      <c r="G343" s="281">
        <v>0</v>
      </c>
      <c r="H343" s="282">
        <v>0</v>
      </c>
      <c r="I343" s="282">
        <v>0</v>
      </c>
      <c r="J343" s="282">
        <v>2113</v>
      </c>
      <c r="K343" s="282">
        <v>1624</v>
      </c>
      <c r="L343" s="282">
        <v>0</v>
      </c>
      <c r="M343" s="210">
        <v>3737</v>
      </c>
    </row>
    <row r="344" spans="1:13" x14ac:dyDescent="0.25">
      <c r="A344" s="567"/>
      <c r="B344" s="546"/>
      <c r="C344" s="546"/>
      <c r="D344" s="546"/>
      <c r="E344" s="546"/>
      <c r="F344" s="29" t="s">
        <v>0</v>
      </c>
      <c r="G344" s="281">
        <v>0</v>
      </c>
      <c r="H344" s="282">
        <v>0</v>
      </c>
      <c r="I344" s="282">
        <v>3895</v>
      </c>
      <c r="J344" s="282">
        <v>846</v>
      </c>
      <c r="K344" s="282">
        <v>1048</v>
      </c>
      <c r="L344" s="282">
        <v>1179</v>
      </c>
      <c r="M344" s="210">
        <v>6968</v>
      </c>
    </row>
    <row r="345" spans="1:13" x14ac:dyDescent="0.25">
      <c r="A345" s="567"/>
      <c r="B345" s="546"/>
      <c r="C345" s="546"/>
      <c r="D345" s="547"/>
      <c r="E345" s="549" t="s">
        <v>25</v>
      </c>
      <c r="F345" s="550"/>
      <c r="G345" s="283">
        <v>0</v>
      </c>
      <c r="H345" s="284">
        <v>793</v>
      </c>
      <c r="I345" s="284">
        <v>4322</v>
      </c>
      <c r="J345" s="284">
        <v>8166</v>
      </c>
      <c r="K345" s="284">
        <v>10991</v>
      </c>
      <c r="L345" s="284">
        <v>3560</v>
      </c>
      <c r="M345" s="211">
        <v>27832</v>
      </c>
    </row>
    <row r="346" spans="1:13" x14ac:dyDescent="0.25">
      <c r="A346" s="567"/>
      <c r="B346" s="546"/>
      <c r="C346" s="546"/>
      <c r="D346" s="545" t="s">
        <v>570</v>
      </c>
      <c r="E346" s="548" t="s">
        <v>159</v>
      </c>
      <c r="F346" s="30" t="s">
        <v>3</v>
      </c>
      <c r="G346" s="290">
        <v>0</v>
      </c>
      <c r="H346" s="286">
        <v>0</v>
      </c>
      <c r="I346" s="286">
        <v>2180</v>
      </c>
      <c r="J346" s="286">
        <v>11967</v>
      </c>
      <c r="K346" s="286">
        <v>250</v>
      </c>
      <c r="L346" s="286">
        <v>0</v>
      </c>
      <c r="M346" s="212">
        <v>14397</v>
      </c>
    </row>
    <row r="347" spans="1:13" x14ac:dyDescent="0.25">
      <c r="A347" s="567"/>
      <c r="B347" s="546"/>
      <c r="C347" s="546"/>
      <c r="D347" s="546"/>
      <c r="E347" s="546"/>
      <c r="F347" s="29" t="s">
        <v>2</v>
      </c>
      <c r="G347" s="291">
        <v>0</v>
      </c>
      <c r="H347" s="282">
        <v>8009</v>
      </c>
      <c r="I347" s="282">
        <v>5582</v>
      </c>
      <c r="J347" s="282">
        <v>2443</v>
      </c>
      <c r="K347" s="282">
        <v>1254</v>
      </c>
      <c r="L347" s="282">
        <v>2327</v>
      </c>
      <c r="M347" s="210">
        <v>19615</v>
      </c>
    </row>
    <row r="348" spans="1:13" x14ac:dyDescent="0.25">
      <c r="A348" s="567"/>
      <c r="B348" s="546"/>
      <c r="C348" s="546"/>
      <c r="D348" s="546"/>
      <c r="E348" s="546"/>
      <c r="F348" s="29" t="s">
        <v>1</v>
      </c>
      <c r="G348" s="291">
        <v>858</v>
      </c>
      <c r="H348" s="282">
        <v>0</v>
      </c>
      <c r="I348" s="282">
        <v>9924</v>
      </c>
      <c r="J348" s="282">
        <v>0</v>
      </c>
      <c r="K348" s="282">
        <v>0</v>
      </c>
      <c r="L348" s="282">
        <v>0</v>
      </c>
      <c r="M348" s="210">
        <v>10782</v>
      </c>
    </row>
    <row r="349" spans="1:13" x14ac:dyDescent="0.25">
      <c r="A349" s="567"/>
      <c r="B349" s="546"/>
      <c r="C349" s="546"/>
      <c r="D349" s="546"/>
      <c r="E349" s="546"/>
      <c r="F349" s="29" t="s">
        <v>0</v>
      </c>
      <c r="G349" s="291">
        <v>3139</v>
      </c>
      <c r="H349" s="282">
        <v>8159</v>
      </c>
      <c r="I349" s="282">
        <v>19832</v>
      </c>
      <c r="J349" s="282">
        <v>1004</v>
      </c>
      <c r="K349" s="282">
        <v>510</v>
      </c>
      <c r="L349" s="282">
        <v>1603</v>
      </c>
      <c r="M349" s="210">
        <v>34247</v>
      </c>
    </row>
    <row r="350" spans="1:13" x14ac:dyDescent="0.25">
      <c r="A350" s="567"/>
      <c r="B350" s="546"/>
      <c r="C350" s="546"/>
      <c r="D350" s="547"/>
      <c r="E350" s="549" t="s">
        <v>25</v>
      </c>
      <c r="F350" s="550"/>
      <c r="G350" s="292">
        <v>3997</v>
      </c>
      <c r="H350" s="284">
        <v>16168</v>
      </c>
      <c r="I350" s="284">
        <v>37518</v>
      </c>
      <c r="J350" s="284">
        <v>15414</v>
      </c>
      <c r="K350" s="284">
        <v>2014</v>
      </c>
      <c r="L350" s="284">
        <v>3930</v>
      </c>
      <c r="M350" s="211">
        <v>79041</v>
      </c>
    </row>
    <row r="351" spans="1:13" x14ac:dyDescent="0.25">
      <c r="A351" s="567"/>
      <c r="B351" s="546"/>
      <c r="C351" s="546"/>
      <c r="D351" s="545" t="s">
        <v>571</v>
      </c>
      <c r="E351" s="548" t="s">
        <v>159</v>
      </c>
      <c r="F351" s="30" t="s">
        <v>3</v>
      </c>
      <c r="G351" s="290">
        <v>0</v>
      </c>
      <c r="H351" s="286">
        <v>25586</v>
      </c>
      <c r="I351" s="286">
        <v>11412</v>
      </c>
      <c r="J351" s="286">
        <v>13562</v>
      </c>
      <c r="K351" s="286">
        <v>22297</v>
      </c>
      <c r="L351" s="286">
        <v>12755</v>
      </c>
      <c r="M351" s="212">
        <v>85612</v>
      </c>
    </row>
    <row r="352" spans="1:13" x14ac:dyDescent="0.25">
      <c r="A352" s="567"/>
      <c r="B352" s="546"/>
      <c r="C352" s="546"/>
      <c r="D352" s="546"/>
      <c r="E352" s="546"/>
      <c r="F352" s="29" t="s">
        <v>2</v>
      </c>
      <c r="G352" s="291">
        <v>0</v>
      </c>
      <c r="H352" s="282">
        <v>76331</v>
      </c>
      <c r="I352" s="282">
        <v>21221</v>
      </c>
      <c r="J352" s="282">
        <v>57779</v>
      </c>
      <c r="K352" s="282">
        <v>96381</v>
      </c>
      <c r="L352" s="282">
        <v>34637</v>
      </c>
      <c r="M352" s="210">
        <v>286349</v>
      </c>
    </row>
    <row r="353" spans="1:13" x14ac:dyDescent="0.25">
      <c r="A353" s="567"/>
      <c r="B353" s="546"/>
      <c r="C353" s="546"/>
      <c r="D353" s="546"/>
      <c r="E353" s="546"/>
      <c r="F353" s="29" t="s">
        <v>1</v>
      </c>
      <c r="G353" s="291">
        <v>76010</v>
      </c>
      <c r="H353" s="282">
        <v>18525</v>
      </c>
      <c r="I353" s="282">
        <v>12332</v>
      </c>
      <c r="J353" s="282">
        <v>4913</v>
      </c>
      <c r="K353" s="282">
        <v>1176</v>
      </c>
      <c r="L353" s="282">
        <v>549</v>
      </c>
      <c r="M353" s="210">
        <v>113505</v>
      </c>
    </row>
    <row r="354" spans="1:13" x14ac:dyDescent="0.25">
      <c r="A354" s="567"/>
      <c r="B354" s="546"/>
      <c r="C354" s="546"/>
      <c r="D354" s="546"/>
      <c r="E354" s="546"/>
      <c r="F354" s="29" t="s">
        <v>0</v>
      </c>
      <c r="G354" s="291">
        <v>522274</v>
      </c>
      <c r="H354" s="282">
        <v>154068</v>
      </c>
      <c r="I354" s="282">
        <v>73814</v>
      </c>
      <c r="J354" s="282">
        <v>58611</v>
      </c>
      <c r="K354" s="282">
        <v>3822</v>
      </c>
      <c r="L354" s="282">
        <v>2766</v>
      </c>
      <c r="M354" s="210">
        <v>815355</v>
      </c>
    </row>
    <row r="355" spans="1:13" x14ac:dyDescent="0.25">
      <c r="A355" s="567"/>
      <c r="B355" s="546"/>
      <c r="C355" s="546"/>
      <c r="D355" s="547"/>
      <c r="E355" s="549" t="s">
        <v>25</v>
      </c>
      <c r="F355" s="550"/>
      <c r="G355" s="292">
        <v>598284</v>
      </c>
      <c r="H355" s="284">
        <v>274510</v>
      </c>
      <c r="I355" s="284">
        <v>118779</v>
      </c>
      <c r="J355" s="284">
        <v>134865</v>
      </c>
      <c r="K355" s="284">
        <v>123676</v>
      </c>
      <c r="L355" s="284">
        <v>50707</v>
      </c>
      <c r="M355" s="211">
        <v>1300821</v>
      </c>
    </row>
    <row r="356" spans="1:13" x14ac:dyDescent="0.25">
      <c r="A356" s="567"/>
      <c r="B356" s="546"/>
      <c r="C356" s="546"/>
      <c r="D356" s="545" t="s">
        <v>572</v>
      </c>
      <c r="E356" s="548" t="s">
        <v>159</v>
      </c>
      <c r="F356" s="30" t="s">
        <v>3</v>
      </c>
      <c r="G356" s="285">
        <v>0</v>
      </c>
      <c r="H356" s="286">
        <v>450</v>
      </c>
      <c r="I356" s="286">
        <v>0</v>
      </c>
      <c r="J356" s="286">
        <v>661</v>
      </c>
      <c r="K356" s="286">
        <v>1941</v>
      </c>
      <c r="L356" s="286">
        <v>2130</v>
      </c>
      <c r="M356" s="212">
        <v>5182</v>
      </c>
    </row>
    <row r="357" spans="1:13" x14ac:dyDescent="0.25">
      <c r="A357" s="567"/>
      <c r="B357" s="546"/>
      <c r="C357" s="546"/>
      <c r="D357" s="546"/>
      <c r="E357" s="546"/>
      <c r="F357" s="29" t="s">
        <v>2</v>
      </c>
      <c r="G357" s="281">
        <v>0</v>
      </c>
      <c r="H357" s="282">
        <v>140</v>
      </c>
      <c r="I357" s="282">
        <v>0</v>
      </c>
      <c r="J357" s="282">
        <v>2202</v>
      </c>
      <c r="K357" s="282">
        <v>7980</v>
      </c>
      <c r="L357" s="282">
        <v>5042</v>
      </c>
      <c r="M357" s="210">
        <v>15364</v>
      </c>
    </row>
    <row r="358" spans="1:13" x14ac:dyDescent="0.25">
      <c r="A358" s="567"/>
      <c r="B358" s="546"/>
      <c r="C358" s="546"/>
      <c r="D358" s="546"/>
      <c r="E358" s="546"/>
      <c r="F358" s="29" t="s">
        <v>1</v>
      </c>
      <c r="G358" s="281">
        <v>0</v>
      </c>
      <c r="H358" s="282">
        <v>0</v>
      </c>
      <c r="I358" s="282">
        <v>0</v>
      </c>
      <c r="J358" s="282">
        <v>0</v>
      </c>
      <c r="K358" s="282">
        <v>41</v>
      </c>
      <c r="L358" s="282">
        <v>0</v>
      </c>
      <c r="M358" s="210">
        <v>41</v>
      </c>
    </row>
    <row r="359" spans="1:13" x14ac:dyDescent="0.25">
      <c r="A359" s="567"/>
      <c r="B359" s="546"/>
      <c r="C359" s="546"/>
      <c r="D359" s="546"/>
      <c r="E359" s="546"/>
      <c r="F359" s="29" t="s">
        <v>0</v>
      </c>
      <c r="G359" s="281">
        <v>0</v>
      </c>
      <c r="H359" s="282">
        <v>0</v>
      </c>
      <c r="I359" s="282">
        <v>15934</v>
      </c>
      <c r="J359" s="282">
        <v>1235</v>
      </c>
      <c r="K359" s="282">
        <v>0</v>
      </c>
      <c r="L359" s="282">
        <v>804</v>
      </c>
      <c r="M359" s="210">
        <v>17973</v>
      </c>
    </row>
    <row r="360" spans="1:13" x14ac:dyDescent="0.25">
      <c r="A360" s="567"/>
      <c r="B360" s="546"/>
      <c r="C360" s="546"/>
      <c r="D360" s="547"/>
      <c r="E360" s="549" t="s">
        <v>25</v>
      </c>
      <c r="F360" s="550"/>
      <c r="G360" s="283">
        <v>0</v>
      </c>
      <c r="H360" s="284">
        <v>590</v>
      </c>
      <c r="I360" s="284">
        <v>15934</v>
      </c>
      <c r="J360" s="284">
        <v>4098</v>
      </c>
      <c r="K360" s="284">
        <v>9962</v>
      </c>
      <c r="L360" s="284">
        <v>7976</v>
      </c>
      <c r="M360" s="211">
        <v>38560</v>
      </c>
    </row>
    <row r="361" spans="1:13" x14ac:dyDescent="0.25">
      <c r="A361" s="567"/>
      <c r="B361" s="546"/>
      <c r="C361" s="546"/>
      <c r="D361" s="545" t="s">
        <v>573</v>
      </c>
      <c r="E361" s="548" t="s">
        <v>159</v>
      </c>
      <c r="F361" s="30" t="s">
        <v>3</v>
      </c>
      <c r="G361" s="290">
        <v>0</v>
      </c>
      <c r="H361" s="286">
        <v>2222</v>
      </c>
      <c r="I361" s="286">
        <v>0</v>
      </c>
      <c r="J361" s="286">
        <v>1364</v>
      </c>
      <c r="K361" s="286">
        <v>0</v>
      </c>
      <c r="L361" s="286">
        <v>0</v>
      </c>
      <c r="M361" s="212">
        <v>3586</v>
      </c>
    </row>
    <row r="362" spans="1:13" x14ac:dyDescent="0.25">
      <c r="A362" s="567"/>
      <c r="B362" s="546"/>
      <c r="C362" s="546"/>
      <c r="D362" s="546"/>
      <c r="E362" s="546"/>
      <c r="F362" s="29" t="s">
        <v>2</v>
      </c>
      <c r="G362" s="291">
        <v>0</v>
      </c>
      <c r="H362" s="282">
        <v>15720</v>
      </c>
      <c r="I362" s="282">
        <v>6347</v>
      </c>
      <c r="J362" s="282">
        <v>2405</v>
      </c>
      <c r="K362" s="282">
        <v>6839</v>
      </c>
      <c r="L362" s="282">
        <v>531</v>
      </c>
      <c r="M362" s="210">
        <v>31842</v>
      </c>
    </row>
    <row r="363" spans="1:13" x14ac:dyDescent="0.25">
      <c r="A363" s="567"/>
      <c r="B363" s="546"/>
      <c r="C363" s="546"/>
      <c r="D363" s="546"/>
      <c r="E363" s="546"/>
      <c r="F363" s="29" t="s">
        <v>1</v>
      </c>
      <c r="G363" s="291">
        <v>2135</v>
      </c>
      <c r="H363" s="282">
        <v>686</v>
      </c>
      <c r="I363" s="282">
        <v>3987</v>
      </c>
      <c r="J363" s="282">
        <v>0</v>
      </c>
      <c r="K363" s="282">
        <v>0</v>
      </c>
      <c r="L363" s="282">
        <v>0</v>
      </c>
      <c r="M363" s="210">
        <v>6808</v>
      </c>
    </row>
    <row r="364" spans="1:13" x14ac:dyDescent="0.25">
      <c r="A364" s="567"/>
      <c r="B364" s="546"/>
      <c r="C364" s="546"/>
      <c r="D364" s="546"/>
      <c r="E364" s="546"/>
      <c r="F364" s="29" t="s">
        <v>0</v>
      </c>
      <c r="G364" s="291">
        <v>3686</v>
      </c>
      <c r="H364" s="282">
        <v>4262</v>
      </c>
      <c r="I364" s="282">
        <v>15315</v>
      </c>
      <c r="J364" s="282">
        <v>10096</v>
      </c>
      <c r="K364" s="282">
        <v>913</v>
      </c>
      <c r="L364" s="282">
        <v>1598</v>
      </c>
      <c r="M364" s="210">
        <v>35870</v>
      </c>
    </row>
    <row r="365" spans="1:13" x14ac:dyDescent="0.25">
      <c r="A365" s="568"/>
      <c r="B365" s="547"/>
      <c r="C365" s="547"/>
      <c r="D365" s="547"/>
      <c r="E365" s="549" t="s">
        <v>25</v>
      </c>
      <c r="F365" s="550"/>
      <c r="G365" s="292">
        <v>5821</v>
      </c>
      <c r="H365" s="284">
        <v>22890</v>
      </c>
      <c r="I365" s="284">
        <v>25649</v>
      </c>
      <c r="J365" s="284">
        <v>13865</v>
      </c>
      <c r="K365" s="284">
        <v>7752</v>
      </c>
      <c r="L365" s="284">
        <v>2129</v>
      </c>
      <c r="M365" s="211">
        <v>78106</v>
      </c>
    </row>
    <row r="366" spans="1:13" x14ac:dyDescent="0.25">
      <c r="A366" s="572" t="s">
        <v>11</v>
      </c>
      <c r="B366" s="545" t="s">
        <v>9</v>
      </c>
      <c r="C366" s="545" t="s">
        <v>7</v>
      </c>
      <c r="D366" s="545" t="s">
        <v>562</v>
      </c>
      <c r="E366" s="548" t="s">
        <v>159</v>
      </c>
      <c r="F366" s="30" t="s">
        <v>3</v>
      </c>
      <c r="G366" s="285">
        <v>0</v>
      </c>
      <c r="H366" s="286">
        <v>102819</v>
      </c>
      <c r="I366" s="286">
        <v>104305</v>
      </c>
      <c r="J366" s="286">
        <v>92917</v>
      </c>
      <c r="K366" s="286">
        <v>27760</v>
      </c>
      <c r="L366" s="286">
        <v>8003</v>
      </c>
      <c r="M366" s="212">
        <v>335804</v>
      </c>
    </row>
    <row r="367" spans="1:13" x14ac:dyDescent="0.25">
      <c r="A367" s="567"/>
      <c r="B367" s="546"/>
      <c r="C367" s="546"/>
      <c r="D367" s="546"/>
      <c r="E367" s="546"/>
      <c r="F367" s="29" t="s">
        <v>2</v>
      </c>
      <c r="G367" s="281">
        <v>0</v>
      </c>
      <c r="H367" s="282">
        <v>96764</v>
      </c>
      <c r="I367" s="282">
        <v>48177</v>
      </c>
      <c r="J367" s="282">
        <v>56519</v>
      </c>
      <c r="K367" s="282">
        <v>20587</v>
      </c>
      <c r="L367" s="282">
        <v>948</v>
      </c>
      <c r="M367" s="210">
        <v>222995</v>
      </c>
    </row>
    <row r="368" spans="1:13" x14ac:dyDescent="0.25">
      <c r="A368" s="567"/>
      <c r="B368" s="546"/>
      <c r="C368" s="546"/>
      <c r="D368" s="546"/>
      <c r="E368" s="546"/>
      <c r="F368" s="29" t="s">
        <v>1</v>
      </c>
      <c r="G368" s="281">
        <v>0</v>
      </c>
      <c r="H368" s="282">
        <v>153691</v>
      </c>
      <c r="I368" s="282">
        <v>87216</v>
      </c>
      <c r="J368" s="282">
        <v>25602</v>
      </c>
      <c r="K368" s="282">
        <v>1934</v>
      </c>
      <c r="L368" s="282">
        <v>0</v>
      </c>
      <c r="M368" s="210">
        <v>268443</v>
      </c>
    </row>
    <row r="369" spans="1:13" x14ac:dyDescent="0.25">
      <c r="A369" s="567"/>
      <c r="B369" s="546"/>
      <c r="C369" s="546"/>
      <c r="D369" s="546"/>
      <c r="E369" s="546"/>
      <c r="F369" s="29" t="s">
        <v>0</v>
      </c>
      <c r="G369" s="281">
        <v>0</v>
      </c>
      <c r="H369" s="282">
        <v>164810</v>
      </c>
      <c r="I369" s="282">
        <v>179354</v>
      </c>
      <c r="J369" s="282">
        <v>22914</v>
      </c>
      <c r="K369" s="282">
        <v>6566</v>
      </c>
      <c r="L369" s="282">
        <v>0</v>
      </c>
      <c r="M369" s="210">
        <v>373644</v>
      </c>
    </row>
    <row r="370" spans="1:13" x14ac:dyDescent="0.25">
      <c r="A370" s="567"/>
      <c r="B370" s="546"/>
      <c r="C370" s="546"/>
      <c r="D370" s="547"/>
      <c r="E370" s="549" t="s">
        <v>25</v>
      </c>
      <c r="F370" s="550"/>
      <c r="G370" s="283">
        <v>0</v>
      </c>
      <c r="H370" s="284">
        <v>518084</v>
      </c>
      <c r="I370" s="284">
        <v>419052</v>
      </c>
      <c r="J370" s="284">
        <v>197952</v>
      </c>
      <c r="K370" s="284">
        <v>56847</v>
      </c>
      <c r="L370" s="284">
        <v>8951</v>
      </c>
      <c r="M370" s="211">
        <v>1200886</v>
      </c>
    </row>
    <row r="371" spans="1:13" x14ac:dyDescent="0.25">
      <c r="A371" s="567"/>
      <c r="B371" s="546"/>
      <c r="C371" s="546"/>
      <c r="D371" s="545" t="s">
        <v>563</v>
      </c>
      <c r="E371" s="548" t="s">
        <v>159</v>
      </c>
      <c r="F371" s="30" t="s">
        <v>3</v>
      </c>
      <c r="G371" s="285">
        <v>0</v>
      </c>
      <c r="H371" s="286">
        <v>1476</v>
      </c>
      <c r="I371" s="286">
        <v>12692</v>
      </c>
      <c r="J371" s="286">
        <v>27538</v>
      </c>
      <c r="K371" s="286">
        <v>58985</v>
      </c>
      <c r="L371" s="286">
        <v>456</v>
      </c>
      <c r="M371" s="212">
        <v>101147</v>
      </c>
    </row>
    <row r="372" spans="1:13" x14ac:dyDescent="0.25">
      <c r="A372" s="567"/>
      <c r="B372" s="546"/>
      <c r="C372" s="546"/>
      <c r="D372" s="546"/>
      <c r="E372" s="546"/>
      <c r="F372" s="29" t="s">
        <v>2</v>
      </c>
      <c r="G372" s="281">
        <v>0</v>
      </c>
      <c r="H372" s="282">
        <v>9496</v>
      </c>
      <c r="I372" s="282">
        <v>8853</v>
      </c>
      <c r="J372" s="282">
        <v>43514</v>
      </c>
      <c r="K372" s="282">
        <v>38068</v>
      </c>
      <c r="L372" s="282">
        <v>7040</v>
      </c>
      <c r="M372" s="210">
        <v>106971</v>
      </c>
    </row>
    <row r="373" spans="1:13" x14ac:dyDescent="0.25">
      <c r="A373" s="567"/>
      <c r="B373" s="546"/>
      <c r="C373" s="546"/>
      <c r="D373" s="546"/>
      <c r="E373" s="546"/>
      <c r="F373" s="29" t="s">
        <v>1</v>
      </c>
      <c r="G373" s="281">
        <v>0</v>
      </c>
      <c r="H373" s="282">
        <v>8662</v>
      </c>
      <c r="I373" s="282">
        <v>46472</v>
      </c>
      <c r="J373" s="282">
        <v>41564</v>
      </c>
      <c r="K373" s="282">
        <v>7195</v>
      </c>
      <c r="L373" s="282">
        <v>0</v>
      </c>
      <c r="M373" s="210">
        <v>103893</v>
      </c>
    </row>
    <row r="374" spans="1:13" x14ac:dyDescent="0.25">
      <c r="A374" s="567"/>
      <c r="B374" s="546"/>
      <c r="C374" s="546"/>
      <c r="D374" s="546"/>
      <c r="E374" s="546"/>
      <c r="F374" s="29" t="s">
        <v>0</v>
      </c>
      <c r="G374" s="281">
        <v>0</v>
      </c>
      <c r="H374" s="282">
        <v>11136</v>
      </c>
      <c r="I374" s="282">
        <v>175154</v>
      </c>
      <c r="J374" s="282">
        <v>116865</v>
      </c>
      <c r="K374" s="282">
        <v>15674</v>
      </c>
      <c r="L374" s="282">
        <v>0</v>
      </c>
      <c r="M374" s="210">
        <v>318829</v>
      </c>
    </row>
    <row r="375" spans="1:13" x14ac:dyDescent="0.25">
      <c r="A375" s="567"/>
      <c r="B375" s="546"/>
      <c r="C375" s="546"/>
      <c r="D375" s="547"/>
      <c r="E375" s="549" t="s">
        <v>25</v>
      </c>
      <c r="F375" s="550"/>
      <c r="G375" s="283">
        <v>0</v>
      </c>
      <c r="H375" s="284">
        <v>30770</v>
      </c>
      <c r="I375" s="284">
        <v>243171</v>
      </c>
      <c r="J375" s="284">
        <v>229481</v>
      </c>
      <c r="K375" s="284">
        <v>119922</v>
      </c>
      <c r="L375" s="284">
        <v>7496</v>
      </c>
      <c r="M375" s="211">
        <v>630840</v>
      </c>
    </row>
    <row r="376" spans="1:13" x14ac:dyDescent="0.25">
      <c r="A376" s="567"/>
      <c r="B376" s="546"/>
      <c r="C376" s="546"/>
      <c r="D376" s="545" t="s">
        <v>564</v>
      </c>
      <c r="E376" s="548" t="s">
        <v>159</v>
      </c>
      <c r="F376" s="30" t="s">
        <v>3</v>
      </c>
      <c r="G376" s="285">
        <v>0</v>
      </c>
      <c r="H376" s="286">
        <v>66521</v>
      </c>
      <c r="I376" s="286">
        <v>61951</v>
      </c>
      <c r="J376" s="286">
        <v>56749</v>
      </c>
      <c r="K376" s="286">
        <v>9513</v>
      </c>
      <c r="L376" s="287">
        <v>0</v>
      </c>
      <c r="M376" s="212">
        <v>194734</v>
      </c>
    </row>
    <row r="377" spans="1:13" x14ac:dyDescent="0.25">
      <c r="A377" s="567"/>
      <c r="B377" s="546"/>
      <c r="C377" s="546"/>
      <c r="D377" s="546"/>
      <c r="E377" s="546"/>
      <c r="F377" s="29" t="s">
        <v>2</v>
      </c>
      <c r="G377" s="281">
        <v>0</v>
      </c>
      <c r="H377" s="282">
        <v>45689</v>
      </c>
      <c r="I377" s="282">
        <v>52242</v>
      </c>
      <c r="J377" s="282">
        <v>30626</v>
      </c>
      <c r="K377" s="282">
        <v>25411</v>
      </c>
      <c r="L377" s="288">
        <v>0</v>
      </c>
      <c r="M377" s="210">
        <v>153968</v>
      </c>
    </row>
    <row r="378" spans="1:13" x14ac:dyDescent="0.25">
      <c r="A378" s="567"/>
      <c r="B378" s="546"/>
      <c r="C378" s="546"/>
      <c r="D378" s="546"/>
      <c r="E378" s="546"/>
      <c r="F378" s="29" t="s">
        <v>1</v>
      </c>
      <c r="G378" s="281">
        <v>0</v>
      </c>
      <c r="H378" s="282">
        <v>228179</v>
      </c>
      <c r="I378" s="282">
        <v>196434</v>
      </c>
      <c r="J378" s="282">
        <v>49120</v>
      </c>
      <c r="K378" s="282">
        <v>1918</v>
      </c>
      <c r="L378" s="288">
        <v>0</v>
      </c>
      <c r="M378" s="210">
        <v>475651</v>
      </c>
    </row>
    <row r="379" spans="1:13" x14ac:dyDescent="0.25">
      <c r="A379" s="567"/>
      <c r="B379" s="546"/>
      <c r="C379" s="546"/>
      <c r="D379" s="546"/>
      <c r="E379" s="546"/>
      <c r="F379" s="29" t="s">
        <v>0</v>
      </c>
      <c r="G379" s="281">
        <v>0</v>
      </c>
      <c r="H379" s="282">
        <v>180214</v>
      </c>
      <c r="I379" s="282">
        <v>603271</v>
      </c>
      <c r="J379" s="282">
        <v>77233</v>
      </c>
      <c r="K379" s="282">
        <v>4837</v>
      </c>
      <c r="L379" s="288">
        <v>0</v>
      </c>
      <c r="M379" s="210">
        <v>865555</v>
      </c>
    </row>
    <row r="380" spans="1:13" x14ac:dyDescent="0.25">
      <c r="A380" s="567"/>
      <c r="B380" s="546"/>
      <c r="C380" s="546"/>
      <c r="D380" s="547"/>
      <c r="E380" s="549" t="s">
        <v>25</v>
      </c>
      <c r="F380" s="550"/>
      <c r="G380" s="283">
        <v>0</v>
      </c>
      <c r="H380" s="284">
        <v>520603</v>
      </c>
      <c r="I380" s="284">
        <v>913898</v>
      </c>
      <c r="J380" s="284">
        <v>213728</v>
      </c>
      <c r="K380" s="284">
        <v>41679</v>
      </c>
      <c r="L380" s="289">
        <v>0</v>
      </c>
      <c r="M380" s="211">
        <v>1689908</v>
      </c>
    </row>
    <row r="381" spans="1:13" x14ac:dyDescent="0.25">
      <c r="A381" s="567"/>
      <c r="B381" s="546"/>
      <c r="C381" s="546"/>
      <c r="D381" s="545" t="s">
        <v>565</v>
      </c>
      <c r="E381" s="548" t="s">
        <v>159</v>
      </c>
      <c r="F381" s="30" t="s">
        <v>3</v>
      </c>
      <c r="G381" s="285">
        <v>0</v>
      </c>
      <c r="H381" s="286">
        <v>216397</v>
      </c>
      <c r="I381" s="286">
        <v>238197</v>
      </c>
      <c r="J381" s="286">
        <v>404295</v>
      </c>
      <c r="K381" s="286">
        <v>252058</v>
      </c>
      <c r="L381" s="286">
        <v>74339</v>
      </c>
      <c r="M381" s="212">
        <v>1185286</v>
      </c>
    </row>
    <row r="382" spans="1:13" x14ac:dyDescent="0.25">
      <c r="A382" s="567"/>
      <c r="B382" s="546"/>
      <c r="C382" s="546"/>
      <c r="D382" s="546"/>
      <c r="E382" s="546"/>
      <c r="F382" s="29" t="s">
        <v>2</v>
      </c>
      <c r="G382" s="281">
        <v>0</v>
      </c>
      <c r="H382" s="282">
        <v>47905</v>
      </c>
      <c r="I382" s="282">
        <v>29388</v>
      </c>
      <c r="J382" s="282">
        <v>127301</v>
      </c>
      <c r="K382" s="282">
        <v>85965</v>
      </c>
      <c r="L382" s="282">
        <v>15287</v>
      </c>
      <c r="M382" s="210">
        <v>305846</v>
      </c>
    </row>
    <row r="383" spans="1:13" x14ac:dyDescent="0.25">
      <c r="A383" s="567"/>
      <c r="B383" s="546"/>
      <c r="C383" s="546"/>
      <c r="D383" s="546"/>
      <c r="E383" s="546"/>
      <c r="F383" s="29" t="s">
        <v>1</v>
      </c>
      <c r="G383" s="281">
        <v>0</v>
      </c>
      <c r="H383" s="282">
        <v>255886</v>
      </c>
      <c r="I383" s="282">
        <v>339253</v>
      </c>
      <c r="J383" s="282">
        <v>100417</v>
      </c>
      <c r="K383" s="282">
        <v>49181</v>
      </c>
      <c r="L383" s="282">
        <v>661</v>
      </c>
      <c r="M383" s="210">
        <v>745398</v>
      </c>
    </row>
    <row r="384" spans="1:13" x14ac:dyDescent="0.25">
      <c r="A384" s="567"/>
      <c r="B384" s="546"/>
      <c r="C384" s="546"/>
      <c r="D384" s="546"/>
      <c r="E384" s="546"/>
      <c r="F384" s="29" t="s">
        <v>0</v>
      </c>
      <c r="G384" s="281">
        <v>0</v>
      </c>
      <c r="H384" s="282">
        <v>56828</v>
      </c>
      <c r="I384" s="282">
        <v>92729</v>
      </c>
      <c r="J384" s="282">
        <v>63454</v>
      </c>
      <c r="K384" s="282">
        <v>7401</v>
      </c>
      <c r="L384" s="282">
        <v>4743</v>
      </c>
      <c r="M384" s="210">
        <v>225155</v>
      </c>
    </row>
    <row r="385" spans="1:13" x14ac:dyDescent="0.25">
      <c r="A385" s="567"/>
      <c r="B385" s="546"/>
      <c r="C385" s="546"/>
      <c r="D385" s="547"/>
      <c r="E385" s="549" t="s">
        <v>25</v>
      </c>
      <c r="F385" s="550"/>
      <c r="G385" s="283">
        <v>0</v>
      </c>
      <c r="H385" s="284">
        <v>577016</v>
      </c>
      <c r="I385" s="284">
        <v>699567</v>
      </c>
      <c r="J385" s="284">
        <v>695467</v>
      </c>
      <c r="K385" s="284">
        <v>394605</v>
      </c>
      <c r="L385" s="284">
        <v>95030</v>
      </c>
      <c r="M385" s="211">
        <v>2461685</v>
      </c>
    </row>
    <row r="386" spans="1:13" x14ac:dyDescent="0.25">
      <c r="A386" s="567"/>
      <c r="B386" s="546"/>
      <c r="C386" s="546"/>
      <c r="D386" s="545" t="s">
        <v>566</v>
      </c>
      <c r="E386" s="548" t="s">
        <v>159</v>
      </c>
      <c r="F386" s="30" t="s">
        <v>3</v>
      </c>
      <c r="G386" s="285">
        <v>0</v>
      </c>
      <c r="H386" s="286">
        <v>0</v>
      </c>
      <c r="I386" s="286">
        <v>0</v>
      </c>
      <c r="J386" s="286">
        <v>12677</v>
      </c>
      <c r="K386" s="286">
        <v>23496</v>
      </c>
      <c r="L386" s="287">
        <v>0</v>
      </c>
      <c r="M386" s="212">
        <v>36173</v>
      </c>
    </row>
    <row r="387" spans="1:13" x14ac:dyDescent="0.25">
      <c r="A387" s="567"/>
      <c r="B387" s="546"/>
      <c r="C387" s="546"/>
      <c r="D387" s="546"/>
      <c r="E387" s="546"/>
      <c r="F387" s="29" t="s">
        <v>2</v>
      </c>
      <c r="G387" s="281">
        <v>0</v>
      </c>
      <c r="H387" s="282">
        <v>0</v>
      </c>
      <c r="I387" s="282">
        <v>965</v>
      </c>
      <c r="J387" s="282">
        <v>0</v>
      </c>
      <c r="K387" s="282">
        <v>3528</v>
      </c>
      <c r="L387" s="288">
        <v>0</v>
      </c>
      <c r="M387" s="210">
        <v>4493</v>
      </c>
    </row>
    <row r="388" spans="1:13" x14ac:dyDescent="0.25">
      <c r="A388" s="567"/>
      <c r="B388" s="546"/>
      <c r="C388" s="546"/>
      <c r="D388" s="546"/>
      <c r="E388" s="546"/>
      <c r="F388" s="29" t="s">
        <v>1</v>
      </c>
      <c r="G388" s="281">
        <v>0</v>
      </c>
      <c r="H388" s="282">
        <v>1020</v>
      </c>
      <c r="I388" s="282">
        <v>2380</v>
      </c>
      <c r="J388" s="282">
        <v>10014</v>
      </c>
      <c r="K388" s="282">
        <v>0</v>
      </c>
      <c r="L388" s="288">
        <v>0</v>
      </c>
      <c r="M388" s="210">
        <v>13414</v>
      </c>
    </row>
    <row r="389" spans="1:13" x14ac:dyDescent="0.25">
      <c r="A389" s="567"/>
      <c r="B389" s="546"/>
      <c r="C389" s="546"/>
      <c r="D389" s="546"/>
      <c r="E389" s="546"/>
      <c r="F389" s="29" t="s">
        <v>0</v>
      </c>
      <c r="G389" s="281">
        <v>0</v>
      </c>
      <c r="H389" s="282">
        <v>0</v>
      </c>
      <c r="I389" s="282">
        <v>4270</v>
      </c>
      <c r="J389" s="282">
        <v>13823</v>
      </c>
      <c r="K389" s="282">
        <v>0</v>
      </c>
      <c r="L389" s="288">
        <v>0</v>
      </c>
      <c r="M389" s="210">
        <v>18093</v>
      </c>
    </row>
    <row r="390" spans="1:13" x14ac:dyDescent="0.25">
      <c r="A390" s="567"/>
      <c r="B390" s="546"/>
      <c r="C390" s="546"/>
      <c r="D390" s="547"/>
      <c r="E390" s="549" t="s">
        <v>25</v>
      </c>
      <c r="F390" s="550"/>
      <c r="G390" s="283">
        <v>0</v>
      </c>
      <c r="H390" s="284">
        <v>1020</v>
      </c>
      <c r="I390" s="284">
        <v>7615</v>
      </c>
      <c r="J390" s="284">
        <v>36514</v>
      </c>
      <c r="K390" s="284">
        <v>27024</v>
      </c>
      <c r="L390" s="289">
        <v>0</v>
      </c>
      <c r="M390" s="211">
        <v>72173</v>
      </c>
    </row>
    <row r="391" spans="1:13" x14ac:dyDescent="0.25">
      <c r="A391" s="567"/>
      <c r="B391" s="546"/>
      <c r="C391" s="546"/>
      <c r="D391" s="545" t="s">
        <v>567</v>
      </c>
      <c r="E391" s="548" t="s">
        <v>159</v>
      </c>
      <c r="F391" s="30" t="s">
        <v>3</v>
      </c>
      <c r="G391" s="285">
        <v>0</v>
      </c>
      <c r="H391" s="286">
        <v>2789</v>
      </c>
      <c r="I391" s="286">
        <v>15714</v>
      </c>
      <c r="J391" s="286">
        <v>994</v>
      </c>
      <c r="K391" s="286">
        <v>4148</v>
      </c>
      <c r="L391" s="287">
        <v>0</v>
      </c>
      <c r="M391" s="212">
        <v>23645</v>
      </c>
    </row>
    <row r="392" spans="1:13" x14ac:dyDescent="0.25">
      <c r="A392" s="567"/>
      <c r="B392" s="546"/>
      <c r="C392" s="546"/>
      <c r="D392" s="546"/>
      <c r="E392" s="546"/>
      <c r="F392" s="29" t="s">
        <v>2</v>
      </c>
      <c r="G392" s="281">
        <v>0</v>
      </c>
      <c r="H392" s="282">
        <v>0</v>
      </c>
      <c r="I392" s="282">
        <v>6955</v>
      </c>
      <c r="J392" s="282">
        <v>2257</v>
      </c>
      <c r="K392" s="282">
        <v>0</v>
      </c>
      <c r="L392" s="288">
        <v>0</v>
      </c>
      <c r="M392" s="210">
        <v>9212</v>
      </c>
    </row>
    <row r="393" spans="1:13" x14ac:dyDescent="0.25">
      <c r="A393" s="567"/>
      <c r="B393" s="546"/>
      <c r="C393" s="546"/>
      <c r="D393" s="546"/>
      <c r="E393" s="546"/>
      <c r="F393" s="29" t="s">
        <v>1</v>
      </c>
      <c r="G393" s="281">
        <v>0</v>
      </c>
      <c r="H393" s="282">
        <v>5747</v>
      </c>
      <c r="I393" s="282">
        <v>60299</v>
      </c>
      <c r="J393" s="282">
        <v>11381</v>
      </c>
      <c r="K393" s="282">
        <v>369</v>
      </c>
      <c r="L393" s="288">
        <v>0</v>
      </c>
      <c r="M393" s="210">
        <v>77796</v>
      </c>
    </row>
    <row r="394" spans="1:13" x14ac:dyDescent="0.25">
      <c r="A394" s="567"/>
      <c r="B394" s="546"/>
      <c r="C394" s="546"/>
      <c r="D394" s="546"/>
      <c r="E394" s="546"/>
      <c r="F394" s="29" t="s">
        <v>0</v>
      </c>
      <c r="G394" s="281">
        <v>0</v>
      </c>
      <c r="H394" s="282">
        <v>2283</v>
      </c>
      <c r="I394" s="282">
        <v>11645</v>
      </c>
      <c r="J394" s="282">
        <v>6957</v>
      </c>
      <c r="K394" s="282">
        <v>0</v>
      </c>
      <c r="L394" s="288">
        <v>0</v>
      </c>
      <c r="M394" s="210">
        <v>20885</v>
      </c>
    </row>
    <row r="395" spans="1:13" x14ac:dyDescent="0.25">
      <c r="A395" s="567"/>
      <c r="B395" s="546"/>
      <c r="C395" s="546"/>
      <c r="D395" s="547"/>
      <c r="E395" s="549" t="s">
        <v>25</v>
      </c>
      <c r="F395" s="550"/>
      <c r="G395" s="283">
        <v>0</v>
      </c>
      <c r="H395" s="284">
        <v>10819</v>
      </c>
      <c r="I395" s="284">
        <v>94613</v>
      </c>
      <c r="J395" s="284">
        <v>21589</v>
      </c>
      <c r="K395" s="284">
        <v>4517</v>
      </c>
      <c r="L395" s="289">
        <v>0</v>
      </c>
      <c r="M395" s="211">
        <v>131538</v>
      </c>
    </row>
    <row r="396" spans="1:13" x14ac:dyDescent="0.25">
      <c r="A396" s="567"/>
      <c r="B396" s="546"/>
      <c r="C396" s="546"/>
      <c r="D396" s="545" t="s">
        <v>568</v>
      </c>
      <c r="E396" s="548" t="s">
        <v>159</v>
      </c>
      <c r="F396" s="30" t="s">
        <v>3</v>
      </c>
      <c r="G396" s="285">
        <v>0</v>
      </c>
      <c r="H396" s="286">
        <v>10095</v>
      </c>
      <c r="I396" s="286">
        <v>15686</v>
      </c>
      <c r="J396" s="286">
        <v>547</v>
      </c>
      <c r="K396" s="286">
        <v>1623</v>
      </c>
      <c r="L396" s="287">
        <v>0</v>
      </c>
      <c r="M396" s="212">
        <v>27951</v>
      </c>
    </row>
    <row r="397" spans="1:13" x14ac:dyDescent="0.25">
      <c r="A397" s="567"/>
      <c r="B397" s="546"/>
      <c r="C397" s="546"/>
      <c r="D397" s="546"/>
      <c r="E397" s="546"/>
      <c r="F397" s="29" t="s">
        <v>2</v>
      </c>
      <c r="G397" s="281">
        <v>0</v>
      </c>
      <c r="H397" s="282">
        <v>5298</v>
      </c>
      <c r="I397" s="282">
        <v>178</v>
      </c>
      <c r="J397" s="282">
        <v>86</v>
      </c>
      <c r="K397" s="282">
        <v>161</v>
      </c>
      <c r="L397" s="288">
        <v>0</v>
      </c>
      <c r="M397" s="210">
        <v>5723</v>
      </c>
    </row>
    <row r="398" spans="1:13" x14ac:dyDescent="0.25">
      <c r="A398" s="567"/>
      <c r="B398" s="546"/>
      <c r="C398" s="546"/>
      <c r="D398" s="546"/>
      <c r="E398" s="546"/>
      <c r="F398" s="29" t="s">
        <v>1</v>
      </c>
      <c r="G398" s="281">
        <v>0</v>
      </c>
      <c r="H398" s="282">
        <v>1700</v>
      </c>
      <c r="I398" s="282">
        <v>0</v>
      </c>
      <c r="J398" s="282">
        <v>125</v>
      </c>
      <c r="K398" s="282">
        <v>0</v>
      </c>
      <c r="L398" s="288">
        <v>0</v>
      </c>
      <c r="M398" s="210">
        <v>1825</v>
      </c>
    </row>
    <row r="399" spans="1:13" x14ac:dyDescent="0.25">
      <c r="A399" s="567"/>
      <c r="B399" s="546"/>
      <c r="C399" s="546"/>
      <c r="D399" s="546"/>
      <c r="E399" s="546"/>
      <c r="F399" s="29" t="s">
        <v>0</v>
      </c>
      <c r="G399" s="281">
        <v>0</v>
      </c>
      <c r="H399" s="282">
        <v>16690</v>
      </c>
      <c r="I399" s="282">
        <v>2312</v>
      </c>
      <c r="J399" s="282">
        <v>0</v>
      </c>
      <c r="K399" s="282">
        <v>0</v>
      </c>
      <c r="L399" s="288">
        <v>0</v>
      </c>
      <c r="M399" s="210">
        <v>19002</v>
      </c>
    </row>
    <row r="400" spans="1:13" x14ac:dyDescent="0.25">
      <c r="A400" s="567"/>
      <c r="B400" s="546"/>
      <c r="C400" s="546"/>
      <c r="D400" s="547"/>
      <c r="E400" s="549" t="s">
        <v>25</v>
      </c>
      <c r="F400" s="550"/>
      <c r="G400" s="283">
        <v>0</v>
      </c>
      <c r="H400" s="284">
        <v>33783</v>
      </c>
      <c r="I400" s="284">
        <v>18176</v>
      </c>
      <c r="J400" s="284">
        <v>758</v>
      </c>
      <c r="K400" s="284">
        <v>1784</v>
      </c>
      <c r="L400" s="289">
        <v>0</v>
      </c>
      <c r="M400" s="211">
        <v>54501</v>
      </c>
    </row>
    <row r="401" spans="1:13" x14ac:dyDescent="0.25">
      <c r="A401" s="567"/>
      <c r="B401" s="546"/>
      <c r="C401" s="546"/>
      <c r="D401" s="545" t="s">
        <v>569</v>
      </c>
      <c r="E401" s="548" t="s">
        <v>159</v>
      </c>
      <c r="F401" s="30" t="s">
        <v>3</v>
      </c>
      <c r="G401" s="285">
        <v>0</v>
      </c>
      <c r="H401" s="286">
        <v>4005</v>
      </c>
      <c r="I401" s="286">
        <v>1824</v>
      </c>
      <c r="J401" s="286">
        <v>4100</v>
      </c>
      <c r="K401" s="286">
        <v>1033</v>
      </c>
      <c r="L401" s="287">
        <v>0</v>
      </c>
      <c r="M401" s="212">
        <v>10962</v>
      </c>
    </row>
    <row r="402" spans="1:13" x14ac:dyDescent="0.25">
      <c r="A402" s="567"/>
      <c r="B402" s="546"/>
      <c r="C402" s="546"/>
      <c r="D402" s="546"/>
      <c r="E402" s="546"/>
      <c r="F402" s="29" t="s">
        <v>2</v>
      </c>
      <c r="G402" s="281">
        <v>0</v>
      </c>
      <c r="H402" s="282">
        <v>1749</v>
      </c>
      <c r="I402" s="282">
        <v>2523</v>
      </c>
      <c r="J402" s="282">
        <v>4603</v>
      </c>
      <c r="K402" s="282">
        <v>5011</v>
      </c>
      <c r="L402" s="288">
        <v>0</v>
      </c>
      <c r="M402" s="210">
        <v>13886</v>
      </c>
    </row>
    <row r="403" spans="1:13" x14ac:dyDescent="0.25">
      <c r="A403" s="567"/>
      <c r="B403" s="546"/>
      <c r="C403" s="546"/>
      <c r="D403" s="546"/>
      <c r="E403" s="546"/>
      <c r="F403" s="29" t="s">
        <v>1</v>
      </c>
      <c r="G403" s="281">
        <v>0</v>
      </c>
      <c r="H403" s="282">
        <v>0</v>
      </c>
      <c r="I403" s="282">
        <v>1781</v>
      </c>
      <c r="J403" s="282">
        <v>2479</v>
      </c>
      <c r="K403" s="282">
        <v>1068</v>
      </c>
      <c r="L403" s="288">
        <v>0</v>
      </c>
      <c r="M403" s="210">
        <v>5328</v>
      </c>
    </row>
    <row r="404" spans="1:13" x14ac:dyDescent="0.25">
      <c r="A404" s="567"/>
      <c r="B404" s="546"/>
      <c r="C404" s="546"/>
      <c r="D404" s="546"/>
      <c r="E404" s="546"/>
      <c r="F404" s="29" t="s">
        <v>0</v>
      </c>
      <c r="G404" s="281">
        <v>0</v>
      </c>
      <c r="H404" s="282">
        <v>6050</v>
      </c>
      <c r="I404" s="282">
        <v>7101</v>
      </c>
      <c r="J404" s="282">
        <v>3146</v>
      </c>
      <c r="K404" s="282">
        <v>0</v>
      </c>
      <c r="L404" s="288">
        <v>0</v>
      </c>
      <c r="M404" s="210">
        <v>16297</v>
      </c>
    </row>
    <row r="405" spans="1:13" x14ac:dyDescent="0.25">
      <c r="A405" s="567"/>
      <c r="B405" s="546"/>
      <c r="C405" s="546"/>
      <c r="D405" s="547"/>
      <c r="E405" s="549" t="s">
        <v>25</v>
      </c>
      <c r="F405" s="550"/>
      <c r="G405" s="283">
        <v>0</v>
      </c>
      <c r="H405" s="284">
        <v>11804</v>
      </c>
      <c r="I405" s="284">
        <v>13229</v>
      </c>
      <c r="J405" s="284">
        <v>14328</v>
      </c>
      <c r="K405" s="284">
        <v>7112</v>
      </c>
      <c r="L405" s="289">
        <v>0</v>
      </c>
      <c r="M405" s="211">
        <v>46473</v>
      </c>
    </row>
    <row r="406" spans="1:13" x14ac:dyDescent="0.25">
      <c r="A406" s="567"/>
      <c r="B406" s="546"/>
      <c r="C406" s="546"/>
      <c r="D406" s="545" t="s">
        <v>570</v>
      </c>
      <c r="E406" s="548" t="s">
        <v>159</v>
      </c>
      <c r="F406" s="30" t="s">
        <v>3</v>
      </c>
      <c r="G406" s="285">
        <v>0</v>
      </c>
      <c r="H406" s="286">
        <v>15856</v>
      </c>
      <c r="I406" s="286">
        <v>3377</v>
      </c>
      <c r="J406" s="286">
        <v>6619</v>
      </c>
      <c r="K406" s="286">
        <v>943</v>
      </c>
      <c r="L406" s="286">
        <v>1215</v>
      </c>
      <c r="M406" s="212">
        <v>28010</v>
      </c>
    </row>
    <row r="407" spans="1:13" x14ac:dyDescent="0.25">
      <c r="A407" s="567"/>
      <c r="B407" s="546"/>
      <c r="C407" s="546"/>
      <c r="D407" s="546"/>
      <c r="E407" s="546"/>
      <c r="F407" s="29" t="s">
        <v>2</v>
      </c>
      <c r="G407" s="281">
        <v>0</v>
      </c>
      <c r="H407" s="282">
        <v>64175</v>
      </c>
      <c r="I407" s="282">
        <v>5013</v>
      </c>
      <c r="J407" s="282">
        <v>20527</v>
      </c>
      <c r="K407" s="282">
        <v>5606</v>
      </c>
      <c r="L407" s="282">
        <v>0</v>
      </c>
      <c r="M407" s="210">
        <v>95321</v>
      </c>
    </row>
    <row r="408" spans="1:13" x14ac:dyDescent="0.25">
      <c r="A408" s="567"/>
      <c r="B408" s="546"/>
      <c r="C408" s="546"/>
      <c r="D408" s="546"/>
      <c r="E408" s="546"/>
      <c r="F408" s="29" t="s">
        <v>1</v>
      </c>
      <c r="G408" s="281">
        <v>0</v>
      </c>
      <c r="H408" s="282">
        <v>19927</v>
      </c>
      <c r="I408" s="282">
        <v>16224</v>
      </c>
      <c r="J408" s="282">
        <v>8202</v>
      </c>
      <c r="K408" s="282">
        <v>0</v>
      </c>
      <c r="L408" s="282">
        <v>0</v>
      </c>
      <c r="M408" s="210">
        <v>44353</v>
      </c>
    </row>
    <row r="409" spans="1:13" x14ac:dyDescent="0.25">
      <c r="A409" s="567"/>
      <c r="B409" s="546"/>
      <c r="C409" s="546"/>
      <c r="D409" s="546"/>
      <c r="E409" s="546"/>
      <c r="F409" s="29" t="s">
        <v>0</v>
      </c>
      <c r="G409" s="281">
        <v>0</v>
      </c>
      <c r="H409" s="282">
        <v>18738</v>
      </c>
      <c r="I409" s="282">
        <v>38332</v>
      </c>
      <c r="J409" s="282">
        <v>10855</v>
      </c>
      <c r="K409" s="282">
        <v>0</v>
      </c>
      <c r="L409" s="282">
        <v>0</v>
      </c>
      <c r="M409" s="210">
        <v>67925</v>
      </c>
    </row>
    <row r="410" spans="1:13" x14ac:dyDescent="0.25">
      <c r="A410" s="567"/>
      <c r="B410" s="546"/>
      <c r="C410" s="546"/>
      <c r="D410" s="547"/>
      <c r="E410" s="549" t="s">
        <v>25</v>
      </c>
      <c r="F410" s="550"/>
      <c r="G410" s="283">
        <v>0</v>
      </c>
      <c r="H410" s="284">
        <v>118696</v>
      </c>
      <c r="I410" s="284">
        <v>62946</v>
      </c>
      <c r="J410" s="284">
        <v>46203</v>
      </c>
      <c r="K410" s="284">
        <v>6549</v>
      </c>
      <c r="L410" s="284">
        <v>1215</v>
      </c>
      <c r="M410" s="211">
        <v>235609</v>
      </c>
    </row>
    <row r="411" spans="1:13" x14ac:dyDescent="0.25">
      <c r="A411" s="567"/>
      <c r="B411" s="546"/>
      <c r="C411" s="546"/>
      <c r="D411" s="545" t="s">
        <v>571</v>
      </c>
      <c r="E411" s="548" t="s">
        <v>159</v>
      </c>
      <c r="F411" s="30" t="s">
        <v>3</v>
      </c>
      <c r="G411" s="285">
        <v>0</v>
      </c>
      <c r="H411" s="286">
        <v>499532</v>
      </c>
      <c r="I411" s="286">
        <v>936812</v>
      </c>
      <c r="J411" s="286">
        <v>1362143</v>
      </c>
      <c r="K411" s="286">
        <v>849016</v>
      </c>
      <c r="L411" s="286">
        <v>206312</v>
      </c>
      <c r="M411" s="212">
        <v>3853815</v>
      </c>
    </row>
    <row r="412" spans="1:13" x14ac:dyDescent="0.25">
      <c r="A412" s="567"/>
      <c r="B412" s="546"/>
      <c r="C412" s="546"/>
      <c r="D412" s="546"/>
      <c r="E412" s="546"/>
      <c r="F412" s="29" t="s">
        <v>2</v>
      </c>
      <c r="G412" s="281">
        <v>0</v>
      </c>
      <c r="H412" s="282">
        <v>631651</v>
      </c>
      <c r="I412" s="282">
        <v>347356</v>
      </c>
      <c r="J412" s="282">
        <v>550961</v>
      </c>
      <c r="K412" s="282">
        <v>417677</v>
      </c>
      <c r="L412" s="282">
        <v>53737</v>
      </c>
      <c r="M412" s="210">
        <v>2001382</v>
      </c>
    </row>
    <row r="413" spans="1:13" x14ac:dyDescent="0.25">
      <c r="A413" s="567"/>
      <c r="B413" s="546"/>
      <c r="C413" s="546"/>
      <c r="D413" s="546"/>
      <c r="E413" s="546"/>
      <c r="F413" s="29" t="s">
        <v>1</v>
      </c>
      <c r="G413" s="281">
        <v>0</v>
      </c>
      <c r="H413" s="282">
        <v>387602</v>
      </c>
      <c r="I413" s="282">
        <v>387332</v>
      </c>
      <c r="J413" s="282">
        <v>151651</v>
      </c>
      <c r="K413" s="282">
        <v>28880</v>
      </c>
      <c r="L413" s="282">
        <v>864</v>
      </c>
      <c r="M413" s="210">
        <v>956329</v>
      </c>
    </row>
    <row r="414" spans="1:13" x14ac:dyDescent="0.25">
      <c r="A414" s="567"/>
      <c r="B414" s="546"/>
      <c r="C414" s="546"/>
      <c r="D414" s="546"/>
      <c r="E414" s="546"/>
      <c r="F414" s="29" t="s">
        <v>0</v>
      </c>
      <c r="G414" s="281">
        <v>0</v>
      </c>
      <c r="H414" s="282">
        <v>662789</v>
      </c>
      <c r="I414" s="282">
        <v>913333</v>
      </c>
      <c r="J414" s="282">
        <v>160366</v>
      </c>
      <c r="K414" s="282">
        <v>13199</v>
      </c>
      <c r="L414" s="282">
        <v>395</v>
      </c>
      <c r="M414" s="210">
        <v>1750082</v>
      </c>
    </row>
    <row r="415" spans="1:13" x14ac:dyDescent="0.25">
      <c r="A415" s="567"/>
      <c r="B415" s="546"/>
      <c r="C415" s="546"/>
      <c r="D415" s="547"/>
      <c r="E415" s="549" t="s">
        <v>25</v>
      </c>
      <c r="F415" s="550"/>
      <c r="G415" s="283">
        <v>0</v>
      </c>
      <c r="H415" s="284">
        <v>2181574</v>
      </c>
      <c r="I415" s="284">
        <v>2584833</v>
      </c>
      <c r="J415" s="284">
        <v>2225121</v>
      </c>
      <c r="K415" s="284">
        <v>1308772</v>
      </c>
      <c r="L415" s="284">
        <v>261308</v>
      </c>
      <c r="M415" s="211">
        <v>8561608</v>
      </c>
    </row>
    <row r="416" spans="1:13" x14ac:dyDescent="0.25">
      <c r="A416" s="567"/>
      <c r="B416" s="546"/>
      <c r="C416" s="546"/>
      <c r="D416" s="545" t="s">
        <v>572</v>
      </c>
      <c r="E416" s="548" t="s">
        <v>159</v>
      </c>
      <c r="F416" s="30" t="s">
        <v>3</v>
      </c>
      <c r="G416" s="285">
        <v>0</v>
      </c>
      <c r="H416" s="286">
        <v>1356</v>
      </c>
      <c r="I416" s="286">
        <v>26059</v>
      </c>
      <c r="J416" s="286">
        <v>36283</v>
      </c>
      <c r="K416" s="286">
        <v>25077</v>
      </c>
      <c r="L416" s="286">
        <v>8885</v>
      </c>
      <c r="M416" s="212">
        <v>97660</v>
      </c>
    </row>
    <row r="417" spans="1:13" x14ac:dyDescent="0.25">
      <c r="A417" s="567"/>
      <c r="B417" s="546"/>
      <c r="C417" s="546"/>
      <c r="D417" s="546"/>
      <c r="E417" s="546"/>
      <c r="F417" s="29" t="s">
        <v>2</v>
      </c>
      <c r="G417" s="281">
        <v>0</v>
      </c>
      <c r="H417" s="282">
        <v>2503</v>
      </c>
      <c r="I417" s="282">
        <v>434</v>
      </c>
      <c r="J417" s="282">
        <v>26084</v>
      </c>
      <c r="K417" s="282">
        <v>11555</v>
      </c>
      <c r="L417" s="282">
        <v>1020</v>
      </c>
      <c r="M417" s="210">
        <v>41596</v>
      </c>
    </row>
    <row r="418" spans="1:13" x14ac:dyDescent="0.25">
      <c r="A418" s="567"/>
      <c r="B418" s="546"/>
      <c r="C418" s="546"/>
      <c r="D418" s="546"/>
      <c r="E418" s="546"/>
      <c r="F418" s="29" t="s">
        <v>1</v>
      </c>
      <c r="G418" s="281">
        <v>0</v>
      </c>
      <c r="H418" s="282">
        <v>546</v>
      </c>
      <c r="I418" s="282">
        <v>12965</v>
      </c>
      <c r="J418" s="282">
        <v>8596</v>
      </c>
      <c r="K418" s="282">
        <v>0</v>
      </c>
      <c r="L418" s="282">
        <v>0</v>
      </c>
      <c r="M418" s="210">
        <v>22107</v>
      </c>
    </row>
    <row r="419" spans="1:13" x14ac:dyDescent="0.25">
      <c r="A419" s="567"/>
      <c r="B419" s="546"/>
      <c r="C419" s="546"/>
      <c r="D419" s="546"/>
      <c r="E419" s="546"/>
      <c r="F419" s="29" t="s">
        <v>0</v>
      </c>
      <c r="G419" s="281">
        <v>0</v>
      </c>
      <c r="H419" s="282">
        <v>45404</v>
      </c>
      <c r="I419" s="282">
        <v>10477</v>
      </c>
      <c r="J419" s="282">
        <v>9985</v>
      </c>
      <c r="K419" s="282">
        <v>1068</v>
      </c>
      <c r="L419" s="282">
        <v>0</v>
      </c>
      <c r="M419" s="210">
        <v>66934</v>
      </c>
    </row>
    <row r="420" spans="1:13" x14ac:dyDescent="0.25">
      <c r="A420" s="567"/>
      <c r="B420" s="546"/>
      <c r="C420" s="546"/>
      <c r="D420" s="547"/>
      <c r="E420" s="549" t="s">
        <v>25</v>
      </c>
      <c r="F420" s="550"/>
      <c r="G420" s="283">
        <v>0</v>
      </c>
      <c r="H420" s="284">
        <v>49809</v>
      </c>
      <c r="I420" s="284">
        <v>49935</v>
      </c>
      <c r="J420" s="284">
        <v>80948</v>
      </c>
      <c r="K420" s="284">
        <v>37700</v>
      </c>
      <c r="L420" s="284">
        <v>9905</v>
      </c>
      <c r="M420" s="211">
        <v>228297</v>
      </c>
    </row>
    <row r="421" spans="1:13" x14ac:dyDescent="0.25">
      <c r="A421" s="567"/>
      <c r="B421" s="546"/>
      <c r="C421" s="546"/>
      <c r="D421" s="545" t="s">
        <v>573</v>
      </c>
      <c r="E421" s="548" t="s">
        <v>159</v>
      </c>
      <c r="F421" s="30" t="s">
        <v>3</v>
      </c>
      <c r="G421" s="285">
        <v>0</v>
      </c>
      <c r="H421" s="286">
        <v>2149</v>
      </c>
      <c r="I421" s="286">
        <v>5930</v>
      </c>
      <c r="J421" s="286">
        <v>16246</v>
      </c>
      <c r="K421" s="286">
        <v>939</v>
      </c>
      <c r="L421" s="287">
        <v>0</v>
      </c>
      <c r="M421" s="212">
        <v>25264</v>
      </c>
    </row>
    <row r="422" spans="1:13" x14ac:dyDescent="0.25">
      <c r="A422" s="567"/>
      <c r="B422" s="546"/>
      <c r="C422" s="546"/>
      <c r="D422" s="546"/>
      <c r="E422" s="546"/>
      <c r="F422" s="29" t="s">
        <v>2</v>
      </c>
      <c r="G422" s="281">
        <v>0</v>
      </c>
      <c r="H422" s="282">
        <v>9363</v>
      </c>
      <c r="I422" s="282">
        <v>11761</v>
      </c>
      <c r="J422" s="282">
        <v>25179</v>
      </c>
      <c r="K422" s="282">
        <v>812</v>
      </c>
      <c r="L422" s="288">
        <v>0</v>
      </c>
      <c r="M422" s="210">
        <v>47115</v>
      </c>
    </row>
    <row r="423" spans="1:13" x14ac:dyDescent="0.25">
      <c r="A423" s="567"/>
      <c r="B423" s="546"/>
      <c r="C423" s="546"/>
      <c r="D423" s="546"/>
      <c r="E423" s="546"/>
      <c r="F423" s="29" t="s">
        <v>1</v>
      </c>
      <c r="G423" s="281">
        <v>0</v>
      </c>
      <c r="H423" s="282">
        <v>6753</v>
      </c>
      <c r="I423" s="282">
        <v>7395</v>
      </c>
      <c r="J423" s="282">
        <v>2251</v>
      </c>
      <c r="K423" s="282">
        <v>0</v>
      </c>
      <c r="L423" s="288">
        <v>0</v>
      </c>
      <c r="M423" s="210">
        <v>16399</v>
      </c>
    </row>
    <row r="424" spans="1:13" x14ac:dyDescent="0.25">
      <c r="A424" s="567"/>
      <c r="B424" s="546"/>
      <c r="C424" s="546"/>
      <c r="D424" s="546"/>
      <c r="E424" s="546"/>
      <c r="F424" s="29" t="s">
        <v>0</v>
      </c>
      <c r="G424" s="281">
        <v>0</v>
      </c>
      <c r="H424" s="282">
        <v>15233</v>
      </c>
      <c r="I424" s="282">
        <v>38782</v>
      </c>
      <c r="J424" s="282">
        <v>3237</v>
      </c>
      <c r="K424" s="282">
        <v>0</v>
      </c>
      <c r="L424" s="288">
        <v>0</v>
      </c>
      <c r="M424" s="210">
        <v>57252</v>
      </c>
    </row>
    <row r="425" spans="1:13" x14ac:dyDescent="0.25">
      <c r="A425" s="567"/>
      <c r="B425" s="546"/>
      <c r="C425" s="547"/>
      <c r="D425" s="547"/>
      <c r="E425" s="549" t="s">
        <v>25</v>
      </c>
      <c r="F425" s="550"/>
      <c r="G425" s="283">
        <v>0</v>
      </c>
      <c r="H425" s="284">
        <v>33498</v>
      </c>
      <c r="I425" s="284">
        <v>63868</v>
      </c>
      <c r="J425" s="284">
        <v>46913</v>
      </c>
      <c r="K425" s="284">
        <v>1751</v>
      </c>
      <c r="L425" s="289">
        <v>0</v>
      </c>
      <c r="M425" s="211">
        <v>146030</v>
      </c>
    </row>
    <row r="426" spans="1:13" x14ac:dyDescent="0.25">
      <c r="A426" s="567"/>
      <c r="B426" s="546"/>
      <c r="C426" s="545" t="s">
        <v>6</v>
      </c>
      <c r="D426" s="545" t="s">
        <v>562</v>
      </c>
      <c r="E426" s="548" t="s">
        <v>159</v>
      </c>
      <c r="F426" s="30" t="s">
        <v>3</v>
      </c>
      <c r="G426" s="285">
        <v>0</v>
      </c>
      <c r="H426" s="286">
        <v>235891</v>
      </c>
      <c r="I426" s="286">
        <v>172270</v>
      </c>
      <c r="J426" s="286">
        <v>179161</v>
      </c>
      <c r="K426" s="286">
        <v>49940</v>
      </c>
      <c r="L426" s="286">
        <v>21047</v>
      </c>
      <c r="M426" s="212">
        <v>658309</v>
      </c>
    </row>
    <row r="427" spans="1:13" x14ac:dyDescent="0.25">
      <c r="A427" s="567"/>
      <c r="B427" s="546"/>
      <c r="C427" s="546"/>
      <c r="D427" s="546"/>
      <c r="E427" s="546"/>
      <c r="F427" s="29" t="s">
        <v>2</v>
      </c>
      <c r="G427" s="281">
        <v>0</v>
      </c>
      <c r="H427" s="282">
        <v>282262</v>
      </c>
      <c r="I427" s="282">
        <v>185074</v>
      </c>
      <c r="J427" s="282">
        <v>312953</v>
      </c>
      <c r="K427" s="282">
        <v>78575</v>
      </c>
      <c r="L427" s="282">
        <v>2002</v>
      </c>
      <c r="M427" s="210">
        <v>860866</v>
      </c>
    </row>
    <row r="428" spans="1:13" x14ac:dyDescent="0.25">
      <c r="A428" s="567"/>
      <c r="B428" s="546"/>
      <c r="C428" s="546"/>
      <c r="D428" s="546"/>
      <c r="E428" s="546"/>
      <c r="F428" s="29" t="s">
        <v>1</v>
      </c>
      <c r="G428" s="281">
        <v>0</v>
      </c>
      <c r="H428" s="282">
        <v>139434</v>
      </c>
      <c r="I428" s="282">
        <v>209972</v>
      </c>
      <c r="J428" s="282">
        <v>52644</v>
      </c>
      <c r="K428" s="282">
        <v>4971</v>
      </c>
      <c r="L428" s="282">
        <v>590</v>
      </c>
      <c r="M428" s="210">
        <v>407611</v>
      </c>
    </row>
    <row r="429" spans="1:13" x14ac:dyDescent="0.25">
      <c r="A429" s="567"/>
      <c r="B429" s="546"/>
      <c r="C429" s="546"/>
      <c r="D429" s="546"/>
      <c r="E429" s="546"/>
      <c r="F429" s="29" t="s">
        <v>0</v>
      </c>
      <c r="G429" s="281">
        <v>0</v>
      </c>
      <c r="H429" s="282">
        <v>402927</v>
      </c>
      <c r="I429" s="282">
        <v>703399</v>
      </c>
      <c r="J429" s="282">
        <v>239074</v>
      </c>
      <c r="K429" s="282">
        <v>14788</v>
      </c>
      <c r="L429" s="282">
        <v>0</v>
      </c>
      <c r="M429" s="210">
        <v>1360188</v>
      </c>
    </row>
    <row r="430" spans="1:13" x14ac:dyDescent="0.25">
      <c r="A430" s="567"/>
      <c r="B430" s="546"/>
      <c r="C430" s="546"/>
      <c r="D430" s="547"/>
      <c r="E430" s="549" t="s">
        <v>25</v>
      </c>
      <c r="F430" s="550"/>
      <c r="G430" s="283">
        <v>0</v>
      </c>
      <c r="H430" s="284">
        <v>1060514</v>
      </c>
      <c r="I430" s="284">
        <v>1270715</v>
      </c>
      <c r="J430" s="284">
        <v>783832</v>
      </c>
      <c r="K430" s="284">
        <v>148274</v>
      </c>
      <c r="L430" s="284">
        <v>23639</v>
      </c>
      <c r="M430" s="211">
        <v>3286974</v>
      </c>
    </row>
    <row r="431" spans="1:13" x14ac:dyDescent="0.25">
      <c r="A431" s="567"/>
      <c r="B431" s="546"/>
      <c r="C431" s="546"/>
      <c r="D431" s="545" t="s">
        <v>563</v>
      </c>
      <c r="E431" s="548" t="s">
        <v>159</v>
      </c>
      <c r="F431" s="30" t="s">
        <v>3</v>
      </c>
      <c r="G431" s="285">
        <v>0</v>
      </c>
      <c r="H431" s="286">
        <v>6270</v>
      </c>
      <c r="I431" s="286">
        <v>23855</v>
      </c>
      <c r="J431" s="286">
        <v>79347</v>
      </c>
      <c r="K431" s="286">
        <v>20779</v>
      </c>
      <c r="L431" s="286">
        <v>1452</v>
      </c>
      <c r="M431" s="212">
        <v>131703</v>
      </c>
    </row>
    <row r="432" spans="1:13" x14ac:dyDescent="0.25">
      <c r="A432" s="567"/>
      <c r="B432" s="546"/>
      <c r="C432" s="546"/>
      <c r="D432" s="546"/>
      <c r="E432" s="546"/>
      <c r="F432" s="29" t="s">
        <v>2</v>
      </c>
      <c r="G432" s="281">
        <v>0</v>
      </c>
      <c r="H432" s="282">
        <v>7465</v>
      </c>
      <c r="I432" s="282">
        <v>77837</v>
      </c>
      <c r="J432" s="282">
        <v>123859</v>
      </c>
      <c r="K432" s="282">
        <v>68253</v>
      </c>
      <c r="L432" s="282">
        <v>302</v>
      </c>
      <c r="M432" s="210">
        <v>277716</v>
      </c>
    </row>
    <row r="433" spans="1:13" x14ac:dyDescent="0.25">
      <c r="A433" s="567"/>
      <c r="B433" s="546"/>
      <c r="C433" s="546"/>
      <c r="D433" s="546"/>
      <c r="E433" s="546"/>
      <c r="F433" s="29" t="s">
        <v>1</v>
      </c>
      <c r="G433" s="281">
        <v>0</v>
      </c>
      <c r="H433" s="282">
        <v>5030</v>
      </c>
      <c r="I433" s="282">
        <v>117130</v>
      </c>
      <c r="J433" s="282">
        <v>45779</v>
      </c>
      <c r="K433" s="282">
        <v>2754</v>
      </c>
      <c r="L433" s="282">
        <v>0</v>
      </c>
      <c r="M433" s="210">
        <v>170693</v>
      </c>
    </row>
    <row r="434" spans="1:13" x14ac:dyDescent="0.25">
      <c r="A434" s="567"/>
      <c r="B434" s="546"/>
      <c r="C434" s="546"/>
      <c r="D434" s="546"/>
      <c r="E434" s="546"/>
      <c r="F434" s="29" t="s">
        <v>0</v>
      </c>
      <c r="G434" s="281">
        <v>0</v>
      </c>
      <c r="H434" s="282">
        <v>23871</v>
      </c>
      <c r="I434" s="282">
        <v>173073</v>
      </c>
      <c r="J434" s="282">
        <v>120469</v>
      </c>
      <c r="K434" s="282">
        <v>27427</v>
      </c>
      <c r="L434" s="282">
        <v>0</v>
      </c>
      <c r="M434" s="210">
        <v>344840</v>
      </c>
    </row>
    <row r="435" spans="1:13" x14ac:dyDescent="0.25">
      <c r="A435" s="567"/>
      <c r="B435" s="546"/>
      <c r="C435" s="546"/>
      <c r="D435" s="547"/>
      <c r="E435" s="549" t="s">
        <v>25</v>
      </c>
      <c r="F435" s="550"/>
      <c r="G435" s="283">
        <v>0</v>
      </c>
      <c r="H435" s="284">
        <v>42636</v>
      </c>
      <c r="I435" s="284">
        <v>391895</v>
      </c>
      <c r="J435" s="284">
        <v>369454</v>
      </c>
      <c r="K435" s="284">
        <v>119213</v>
      </c>
      <c r="L435" s="284">
        <v>1754</v>
      </c>
      <c r="M435" s="211">
        <v>924952</v>
      </c>
    </row>
    <row r="436" spans="1:13" x14ac:dyDescent="0.25">
      <c r="A436" s="567"/>
      <c r="B436" s="546"/>
      <c r="C436" s="546"/>
      <c r="D436" s="545" t="s">
        <v>564</v>
      </c>
      <c r="E436" s="548" t="s">
        <v>159</v>
      </c>
      <c r="F436" s="30" t="s">
        <v>3</v>
      </c>
      <c r="G436" s="285">
        <v>0</v>
      </c>
      <c r="H436" s="286">
        <v>71821</v>
      </c>
      <c r="I436" s="286">
        <v>32468</v>
      </c>
      <c r="J436" s="286">
        <v>36731</v>
      </c>
      <c r="K436" s="286">
        <v>16548</v>
      </c>
      <c r="L436" s="287">
        <v>0</v>
      </c>
      <c r="M436" s="212">
        <v>157568</v>
      </c>
    </row>
    <row r="437" spans="1:13" x14ac:dyDescent="0.25">
      <c r="A437" s="567"/>
      <c r="B437" s="546"/>
      <c r="C437" s="546"/>
      <c r="D437" s="546"/>
      <c r="E437" s="546"/>
      <c r="F437" s="29" t="s">
        <v>2</v>
      </c>
      <c r="G437" s="281">
        <v>0</v>
      </c>
      <c r="H437" s="282">
        <v>42751</v>
      </c>
      <c r="I437" s="282">
        <v>61102</v>
      </c>
      <c r="J437" s="282">
        <v>38984</v>
      </c>
      <c r="K437" s="282">
        <v>7726</v>
      </c>
      <c r="L437" s="288">
        <v>0</v>
      </c>
      <c r="M437" s="210">
        <v>150563</v>
      </c>
    </row>
    <row r="438" spans="1:13" x14ac:dyDescent="0.25">
      <c r="A438" s="567"/>
      <c r="B438" s="546"/>
      <c r="C438" s="546"/>
      <c r="D438" s="546"/>
      <c r="E438" s="546"/>
      <c r="F438" s="29" t="s">
        <v>1</v>
      </c>
      <c r="G438" s="281">
        <v>0</v>
      </c>
      <c r="H438" s="282">
        <v>23958</v>
      </c>
      <c r="I438" s="282">
        <v>72826</v>
      </c>
      <c r="J438" s="282">
        <v>20166</v>
      </c>
      <c r="K438" s="282">
        <v>7427</v>
      </c>
      <c r="L438" s="288">
        <v>0</v>
      </c>
      <c r="M438" s="210">
        <v>124377</v>
      </c>
    </row>
    <row r="439" spans="1:13" x14ac:dyDescent="0.25">
      <c r="A439" s="567"/>
      <c r="B439" s="546"/>
      <c r="C439" s="546"/>
      <c r="D439" s="546"/>
      <c r="E439" s="546"/>
      <c r="F439" s="29" t="s">
        <v>0</v>
      </c>
      <c r="G439" s="281">
        <v>0</v>
      </c>
      <c r="H439" s="282">
        <v>72248</v>
      </c>
      <c r="I439" s="282">
        <v>453098</v>
      </c>
      <c r="J439" s="282">
        <v>81503</v>
      </c>
      <c r="K439" s="282">
        <v>2240</v>
      </c>
      <c r="L439" s="288">
        <v>0</v>
      </c>
      <c r="M439" s="210">
        <v>609089</v>
      </c>
    </row>
    <row r="440" spans="1:13" x14ac:dyDescent="0.25">
      <c r="A440" s="567"/>
      <c r="B440" s="546"/>
      <c r="C440" s="546"/>
      <c r="D440" s="547"/>
      <c r="E440" s="549" t="s">
        <v>25</v>
      </c>
      <c r="F440" s="550"/>
      <c r="G440" s="283">
        <v>0</v>
      </c>
      <c r="H440" s="284">
        <v>210778</v>
      </c>
      <c r="I440" s="284">
        <v>619494</v>
      </c>
      <c r="J440" s="284">
        <v>177384</v>
      </c>
      <c r="K440" s="284">
        <v>33941</v>
      </c>
      <c r="L440" s="289">
        <v>0</v>
      </c>
      <c r="M440" s="211">
        <v>1041597</v>
      </c>
    </row>
    <row r="441" spans="1:13" x14ac:dyDescent="0.25">
      <c r="A441" s="567"/>
      <c r="B441" s="546"/>
      <c r="C441" s="546"/>
      <c r="D441" s="545" t="s">
        <v>565</v>
      </c>
      <c r="E441" s="548" t="s">
        <v>159</v>
      </c>
      <c r="F441" s="30" t="s">
        <v>3</v>
      </c>
      <c r="G441" s="285">
        <v>0</v>
      </c>
      <c r="H441" s="286">
        <v>194739</v>
      </c>
      <c r="I441" s="286">
        <v>393973</v>
      </c>
      <c r="J441" s="286">
        <v>524598</v>
      </c>
      <c r="K441" s="286">
        <v>303407</v>
      </c>
      <c r="L441" s="286">
        <v>13393</v>
      </c>
      <c r="M441" s="212">
        <v>1430110</v>
      </c>
    </row>
    <row r="442" spans="1:13" x14ac:dyDescent="0.25">
      <c r="A442" s="567"/>
      <c r="B442" s="546"/>
      <c r="C442" s="546"/>
      <c r="D442" s="546"/>
      <c r="E442" s="546"/>
      <c r="F442" s="29" t="s">
        <v>2</v>
      </c>
      <c r="G442" s="281">
        <v>0</v>
      </c>
      <c r="H442" s="282">
        <v>105792</v>
      </c>
      <c r="I442" s="282">
        <v>143749</v>
      </c>
      <c r="J442" s="282">
        <v>490401</v>
      </c>
      <c r="K442" s="282">
        <v>145681</v>
      </c>
      <c r="L442" s="282">
        <v>2709</v>
      </c>
      <c r="M442" s="210">
        <v>888332</v>
      </c>
    </row>
    <row r="443" spans="1:13" x14ac:dyDescent="0.25">
      <c r="A443" s="567"/>
      <c r="B443" s="546"/>
      <c r="C443" s="546"/>
      <c r="D443" s="546"/>
      <c r="E443" s="546"/>
      <c r="F443" s="29" t="s">
        <v>1</v>
      </c>
      <c r="G443" s="281">
        <v>0</v>
      </c>
      <c r="H443" s="282">
        <v>151447</v>
      </c>
      <c r="I443" s="282">
        <v>488925</v>
      </c>
      <c r="J443" s="282">
        <v>109906</v>
      </c>
      <c r="K443" s="282">
        <v>17433</v>
      </c>
      <c r="L443" s="282">
        <v>0</v>
      </c>
      <c r="M443" s="210">
        <v>767711</v>
      </c>
    </row>
    <row r="444" spans="1:13" x14ac:dyDescent="0.25">
      <c r="A444" s="567"/>
      <c r="B444" s="546"/>
      <c r="C444" s="546"/>
      <c r="D444" s="546"/>
      <c r="E444" s="546"/>
      <c r="F444" s="29" t="s">
        <v>0</v>
      </c>
      <c r="G444" s="281">
        <v>0</v>
      </c>
      <c r="H444" s="282">
        <v>270421</v>
      </c>
      <c r="I444" s="282">
        <v>630972</v>
      </c>
      <c r="J444" s="282">
        <v>311221</v>
      </c>
      <c r="K444" s="282">
        <v>19848</v>
      </c>
      <c r="L444" s="282">
        <v>0</v>
      </c>
      <c r="M444" s="210">
        <v>1232462</v>
      </c>
    </row>
    <row r="445" spans="1:13" x14ac:dyDescent="0.25">
      <c r="A445" s="567"/>
      <c r="B445" s="546"/>
      <c r="C445" s="546"/>
      <c r="D445" s="547"/>
      <c r="E445" s="549" t="s">
        <v>25</v>
      </c>
      <c r="F445" s="550"/>
      <c r="G445" s="283">
        <v>0</v>
      </c>
      <c r="H445" s="284">
        <v>722399</v>
      </c>
      <c r="I445" s="284">
        <v>1657619</v>
      </c>
      <c r="J445" s="284">
        <v>1436126</v>
      </c>
      <c r="K445" s="284">
        <v>486369</v>
      </c>
      <c r="L445" s="284">
        <v>16102</v>
      </c>
      <c r="M445" s="211">
        <v>4318615</v>
      </c>
    </row>
    <row r="446" spans="1:13" x14ac:dyDescent="0.25">
      <c r="A446" s="567"/>
      <c r="B446" s="546"/>
      <c r="C446" s="546"/>
      <c r="D446" s="545" t="s">
        <v>566</v>
      </c>
      <c r="E446" s="548" t="s">
        <v>159</v>
      </c>
      <c r="F446" s="30" t="s">
        <v>3</v>
      </c>
      <c r="G446" s="285">
        <v>0</v>
      </c>
      <c r="H446" s="286">
        <v>0</v>
      </c>
      <c r="I446" s="286">
        <v>6410</v>
      </c>
      <c r="J446" s="286">
        <v>42556</v>
      </c>
      <c r="K446" s="286">
        <v>331</v>
      </c>
      <c r="L446" s="287">
        <v>0</v>
      </c>
      <c r="M446" s="212">
        <v>49297</v>
      </c>
    </row>
    <row r="447" spans="1:13" x14ac:dyDescent="0.25">
      <c r="A447" s="567"/>
      <c r="B447" s="546"/>
      <c r="C447" s="546"/>
      <c r="D447" s="546"/>
      <c r="E447" s="546"/>
      <c r="F447" s="29" t="s">
        <v>2</v>
      </c>
      <c r="G447" s="281">
        <v>0</v>
      </c>
      <c r="H447" s="282">
        <v>1822</v>
      </c>
      <c r="I447" s="282">
        <v>3451</v>
      </c>
      <c r="J447" s="282">
        <v>17343</v>
      </c>
      <c r="K447" s="282">
        <v>9488</v>
      </c>
      <c r="L447" s="288">
        <v>0</v>
      </c>
      <c r="M447" s="210">
        <v>32104</v>
      </c>
    </row>
    <row r="448" spans="1:13" x14ac:dyDescent="0.25">
      <c r="A448" s="567"/>
      <c r="B448" s="546"/>
      <c r="C448" s="546"/>
      <c r="D448" s="546"/>
      <c r="E448" s="546"/>
      <c r="F448" s="29" t="s">
        <v>1</v>
      </c>
      <c r="G448" s="281">
        <v>0</v>
      </c>
      <c r="H448" s="282">
        <v>0</v>
      </c>
      <c r="I448" s="282">
        <v>16496</v>
      </c>
      <c r="J448" s="282">
        <v>13505</v>
      </c>
      <c r="K448" s="282">
        <v>1417</v>
      </c>
      <c r="L448" s="288">
        <v>0</v>
      </c>
      <c r="M448" s="210">
        <v>31418</v>
      </c>
    </row>
    <row r="449" spans="1:13" x14ac:dyDescent="0.25">
      <c r="A449" s="567"/>
      <c r="B449" s="546"/>
      <c r="C449" s="546"/>
      <c r="D449" s="546"/>
      <c r="E449" s="546"/>
      <c r="F449" s="29" t="s">
        <v>0</v>
      </c>
      <c r="G449" s="281">
        <v>0</v>
      </c>
      <c r="H449" s="282">
        <v>4203</v>
      </c>
      <c r="I449" s="282">
        <v>46240</v>
      </c>
      <c r="J449" s="282">
        <v>35147</v>
      </c>
      <c r="K449" s="282">
        <v>2038</v>
      </c>
      <c r="L449" s="288">
        <v>0</v>
      </c>
      <c r="M449" s="210">
        <v>87628</v>
      </c>
    </row>
    <row r="450" spans="1:13" x14ac:dyDescent="0.25">
      <c r="A450" s="567"/>
      <c r="B450" s="546"/>
      <c r="C450" s="546"/>
      <c r="D450" s="547"/>
      <c r="E450" s="549" t="s">
        <v>25</v>
      </c>
      <c r="F450" s="550"/>
      <c r="G450" s="283">
        <v>0</v>
      </c>
      <c r="H450" s="284">
        <v>6025</v>
      </c>
      <c r="I450" s="284">
        <v>72597</v>
      </c>
      <c r="J450" s="284">
        <v>108551</v>
      </c>
      <c r="K450" s="284">
        <v>13274</v>
      </c>
      <c r="L450" s="289">
        <v>0</v>
      </c>
      <c r="M450" s="211">
        <v>200447</v>
      </c>
    </row>
    <row r="451" spans="1:13" x14ac:dyDescent="0.25">
      <c r="A451" s="567"/>
      <c r="B451" s="546"/>
      <c r="C451" s="546"/>
      <c r="D451" s="545" t="s">
        <v>567</v>
      </c>
      <c r="E451" s="548" t="s">
        <v>159</v>
      </c>
      <c r="F451" s="30" t="s">
        <v>3</v>
      </c>
      <c r="G451" s="285">
        <v>0</v>
      </c>
      <c r="H451" s="286">
        <v>30005</v>
      </c>
      <c r="I451" s="286">
        <v>16487</v>
      </c>
      <c r="J451" s="286">
        <v>7356</v>
      </c>
      <c r="K451" s="286">
        <v>0</v>
      </c>
      <c r="L451" s="286">
        <v>0</v>
      </c>
      <c r="M451" s="212">
        <v>53848</v>
      </c>
    </row>
    <row r="452" spans="1:13" x14ac:dyDescent="0.25">
      <c r="A452" s="567"/>
      <c r="B452" s="546"/>
      <c r="C452" s="546"/>
      <c r="D452" s="546"/>
      <c r="E452" s="546"/>
      <c r="F452" s="29" t="s">
        <v>2</v>
      </c>
      <c r="G452" s="281">
        <v>0</v>
      </c>
      <c r="H452" s="282">
        <v>2040</v>
      </c>
      <c r="I452" s="282">
        <v>4509</v>
      </c>
      <c r="J452" s="282">
        <v>2743</v>
      </c>
      <c r="K452" s="282">
        <v>2138</v>
      </c>
      <c r="L452" s="282">
        <v>0</v>
      </c>
      <c r="M452" s="210">
        <v>11430</v>
      </c>
    </row>
    <row r="453" spans="1:13" x14ac:dyDescent="0.25">
      <c r="A453" s="567"/>
      <c r="B453" s="546"/>
      <c r="C453" s="546"/>
      <c r="D453" s="546"/>
      <c r="E453" s="546"/>
      <c r="F453" s="29" t="s">
        <v>1</v>
      </c>
      <c r="G453" s="281">
        <v>0</v>
      </c>
      <c r="H453" s="282">
        <v>4897</v>
      </c>
      <c r="I453" s="282">
        <v>15296</v>
      </c>
      <c r="J453" s="282">
        <v>1461</v>
      </c>
      <c r="K453" s="282">
        <v>0</v>
      </c>
      <c r="L453" s="282">
        <v>1252</v>
      </c>
      <c r="M453" s="210">
        <v>22906</v>
      </c>
    </row>
    <row r="454" spans="1:13" x14ac:dyDescent="0.25">
      <c r="A454" s="567"/>
      <c r="B454" s="546"/>
      <c r="C454" s="546"/>
      <c r="D454" s="546"/>
      <c r="E454" s="546"/>
      <c r="F454" s="29" t="s">
        <v>0</v>
      </c>
      <c r="G454" s="281">
        <v>0</v>
      </c>
      <c r="H454" s="282">
        <v>18357</v>
      </c>
      <c r="I454" s="282">
        <v>58701</v>
      </c>
      <c r="J454" s="282">
        <v>25744</v>
      </c>
      <c r="K454" s="282">
        <v>0</v>
      </c>
      <c r="L454" s="282">
        <v>0</v>
      </c>
      <c r="M454" s="210">
        <v>102802</v>
      </c>
    </row>
    <row r="455" spans="1:13" x14ac:dyDescent="0.25">
      <c r="A455" s="567"/>
      <c r="B455" s="546"/>
      <c r="C455" s="546"/>
      <c r="D455" s="547"/>
      <c r="E455" s="549" t="s">
        <v>25</v>
      </c>
      <c r="F455" s="550"/>
      <c r="G455" s="283">
        <v>0</v>
      </c>
      <c r="H455" s="284">
        <v>55299</v>
      </c>
      <c r="I455" s="284">
        <v>94993</v>
      </c>
      <c r="J455" s="284">
        <v>37304</v>
      </c>
      <c r="K455" s="284">
        <v>2138</v>
      </c>
      <c r="L455" s="284">
        <v>1252</v>
      </c>
      <c r="M455" s="211">
        <v>190986</v>
      </c>
    </row>
    <row r="456" spans="1:13" x14ac:dyDescent="0.25">
      <c r="A456" s="567"/>
      <c r="B456" s="546"/>
      <c r="C456" s="546"/>
      <c r="D456" s="545" t="s">
        <v>568</v>
      </c>
      <c r="E456" s="548" t="s">
        <v>159</v>
      </c>
      <c r="F456" s="30" t="s">
        <v>3</v>
      </c>
      <c r="G456" s="285">
        <v>0</v>
      </c>
      <c r="H456" s="286">
        <v>53724</v>
      </c>
      <c r="I456" s="286">
        <v>12649</v>
      </c>
      <c r="J456" s="286">
        <v>23479</v>
      </c>
      <c r="K456" s="286">
        <v>1536</v>
      </c>
      <c r="L456" s="286">
        <v>904</v>
      </c>
      <c r="M456" s="212">
        <v>92292</v>
      </c>
    </row>
    <row r="457" spans="1:13" x14ac:dyDescent="0.25">
      <c r="A457" s="567"/>
      <c r="B457" s="546"/>
      <c r="C457" s="546"/>
      <c r="D457" s="546"/>
      <c r="E457" s="546"/>
      <c r="F457" s="29" t="s">
        <v>2</v>
      </c>
      <c r="G457" s="281">
        <v>0</v>
      </c>
      <c r="H457" s="282">
        <v>84186</v>
      </c>
      <c r="I457" s="282">
        <v>93385</v>
      </c>
      <c r="J457" s="282">
        <v>47789</v>
      </c>
      <c r="K457" s="282">
        <v>19812</v>
      </c>
      <c r="L457" s="282">
        <v>1118</v>
      </c>
      <c r="M457" s="210">
        <v>246290</v>
      </c>
    </row>
    <row r="458" spans="1:13" x14ac:dyDescent="0.25">
      <c r="A458" s="567"/>
      <c r="B458" s="546"/>
      <c r="C458" s="546"/>
      <c r="D458" s="546"/>
      <c r="E458" s="546"/>
      <c r="F458" s="29" t="s">
        <v>1</v>
      </c>
      <c r="G458" s="281">
        <v>0</v>
      </c>
      <c r="H458" s="282">
        <v>18301</v>
      </c>
      <c r="I458" s="282">
        <v>8698</v>
      </c>
      <c r="J458" s="282">
        <v>2051</v>
      </c>
      <c r="K458" s="282">
        <v>0</v>
      </c>
      <c r="L458" s="282">
        <v>0</v>
      </c>
      <c r="M458" s="210">
        <v>29050</v>
      </c>
    </row>
    <row r="459" spans="1:13" x14ac:dyDescent="0.25">
      <c r="A459" s="567"/>
      <c r="B459" s="546"/>
      <c r="C459" s="546"/>
      <c r="D459" s="546"/>
      <c r="E459" s="546"/>
      <c r="F459" s="29" t="s">
        <v>0</v>
      </c>
      <c r="G459" s="281">
        <v>0</v>
      </c>
      <c r="H459" s="282">
        <v>27748</v>
      </c>
      <c r="I459" s="282">
        <v>20676</v>
      </c>
      <c r="J459" s="282">
        <v>21311</v>
      </c>
      <c r="K459" s="282">
        <v>1215</v>
      </c>
      <c r="L459" s="282">
        <v>630</v>
      </c>
      <c r="M459" s="210">
        <v>71580</v>
      </c>
    </row>
    <row r="460" spans="1:13" x14ac:dyDescent="0.25">
      <c r="A460" s="567"/>
      <c r="B460" s="546"/>
      <c r="C460" s="546"/>
      <c r="D460" s="547"/>
      <c r="E460" s="549" t="s">
        <v>25</v>
      </c>
      <c r="F460" s="550"/>
      <c r="G460" s="283">
        <v>0</v>
      </c>
      <c r="H460" s="284">
        <v>183959</v>
      </c>
      <c r="I460" s="284">
        <v>135408</v>
      </c>
      <c r="J460" s="284">
        <v>94630</v>
      </c>
      <c r="K460" s="284">
        <v>22563</v>
      </c>
      <c r="L460" s="284">
        <v>2652</v>
      </c>
      <c r="M460" s="211">
        <v>439212</v>
      </c>
    </row>
    <row r="461" spans="1:13" x14ac:dyDescent="0.25">
      <c r="A461" s="567"/>
      <c r="B461" s="546"/>
      <c r="C461" s="546"/>
      <c r="D461" s="545" t="s">
        <v>569</v>
      </c>
      <c r="E461" s="548" t="s">
        <v>159</v>
      </c>
      <c r="F461" s="30" t="s">
        <v>3</v>
      </c>
      <c r="G461" s="285">
        <v>0</v>
      </c>
      <c r="H461" s="286">
        <v>2282</v>
      </c>
      <c r="I461" s="286">
        <v>15344</v>
      </c>
      <c r="J461" s="286">
        <v>38853</v>
      </c>
      <c r="K461" s="286">
        <v>9467</v>
      </c>
      <c r="L461" s="286">
        <v>2152</v>
      </c>
      <c r="M461" s="212">
        <v>68098</v>
      </c>
    </row>
    <row r="462" spans="1:13" x14ac:dyDescent="0.25">
      <c r="A462" s="567"/>
      <c r="B462" s="546"/>
      <c r="C462" s="546"/>
      <c r="D462" s="546"/>
      <c r="E462" s="546"/>
      <c r="F462" s="29" t="s">
        <v>2</v>
      </c>
      <c r="G462" s="281">
        <v>0</v>
      </c>
      <c r="H462" s="282">
        <v>0</v>
      </c>
      <c r="I462" s="282">
        <v>9239</v>
      </c>
      <c r="J462" s="282">
        <v>69596</v>
      </c>
      <c r="K462" s="282">
        <v>32755</v>
      </c>
      <c r="L462" s="282">
        <v>869</v>
      </c>
      <c r="M462" s="210">
        <v>112459</v>
      </c>
    </row>
    <row r="463" spans="1:13" x14ac:dyDescent="0.25">
      <c r="A463" s="567"/>
      <c r="B463" s="546"/>
      <c r="C463" s="546"/>
      <c r="D463" s="546"/>
      <c r="E463" s="546"/>
      <c r="F463" s="29" t="s">
        <v>1</v>
      </c>
      <c r="G463" s="281">
        <v>0</v>
      </c>
      <c r="H463" s="282">
        <v>3200</v>
      </c>
      <c r="I463" s="282">
        <v>13126</v>
      </c>
      <c r="J463" s="282">
        <v>26654</v>
      </c>
      <c r="K463" s="282">
        <v>435</v>
      </c>
      <c r="L463" s="282">
        <v>0</v>
      </c>
      <c r="M463" s="210">
        <v>43415</v>
      </c>
    </row>
    <row r="464" spans="1:13" x14ac:dyDescent="0.25">
      <c r="A464" s="567"/>
      <c r="B464" s="546"/>
      <c r="C464" s="546"/>
      <c r="D464" s="546"/>
      <c r="E464" s="546"/>
      <c r="F464" s="29" t="s">
        <v>0</v>
      </c>
      <c r="G464" s="281">
        <v>0</v>
      </c>
      <c r="H464" s="282">
        <v>268</v>
      </c>
      <c r="I464" s="282">
        <v>71845</v>
      </c>
      <c r="J464" s="282">
        <v>35646</v>
      </c>
      <c r="K464" s="282">
        <v>2106</v>
      </c>
      <c r="L464" s="282">
        <v>0</v>
      </c>
      <c r="M464" s="210">
        <v>109865</v>
      </c>
    </row>
    <row r="465" spans="1:13" x14ac:dyDescent="0.25">
      <c r="A465" s="567"/>
      <c r="B465" s="546"/>
      <c r="C465" s="546"/>
      <c r="D465" s="547"/>
      <c r="E465" s="549" t="s">
        <v>25</v>
      </c>
      <c r="F465" s="550"/>
      <c r="G465" s="283">
        <v>0</v>
      </c>
      <c r="H465" s="284">
        <v>5750</v>
      </c>
      <c r="I465" s="284">
        <v>109554</v>
      </c>
      <c r="J465" s="284">
        <v>170749</v>
      </c>
      <c r="K465" s="284">
        <v>44763</v>
      </c>
      <c r="L465" s="284">
        <v>3021</v>
      </c>
      <c r="M465" s="211">
        <v>333837</v>
      </c>
    </row>
    <row r="466" spans="1:13" x14ac:dyDescent="0.25">
      <c r="A466" s="567"/>
      <c r="B466" s="546"/>
      <c r="C466" s="546"/>
      <c r="D466" s="545" t="s">
        <v>570</v>
      </c>
      <c r="E466" s="548" t="s">
        <v>159</v>
      </c>
      <c r="F466" s="30" t="s">
        <v>3</v>
      </c>
      <c r="G466" s="285">
        <v>0</v>
      </c>
      <c r="H466" s="286">
        <v>35288</v>
      </c>
      <c r="I466" s="286">
        <v>48591</v>
      </c>
      <c r="J466" s="286">
        <v>15099</v>
      </c>
      <c r="K466" s="286">
        <v>1098</v>
      </c>
      <c r="L466" s="287">
        <v>0</v>
      </c>
      <c r="M466" s="212">
        <v>100076</v>
      </c>
    </row>
    <row r="467" spans="1:13" x14ac:dyDescent="0.25">
      <c r="A467" s="567"/>
      <c r="B467" s="546"/>
      <c r="C467" s="546"/>
      <c r="D467" s="546"/>
      <c r="E467" s="546"/>
      <c r="F467" s="29" t="s">
        <v>2</v>
      </c>
      <c r="G467" s="281">
        <v>0</v>
      </c>
      <c r="H467" s="282">
        <v>15246</v>
      </c>
      <c r="I467" s="282">
        <v>37526</v>
      </c>
      <c r="J467" s="282">
        <v>13929</v>
      </c>
      <c r="K467" s="282">
        <v>4465</v>
      </c>
      <c r="L467" s="288">
        <v>0</v>
      </c>
      <c r="M467" s="210">
        <v>71166</v>
      </c>
    </row>
    <row r="468" spans="1:13" x14ac:dyDescent="0.25">
      <c r="A468" s="567"/>
      <c r="B468" s="546"/>
      <c r="C468" s="546"/>
      <c r="D468" s="546"/>
      <c r="E468" s="546"/>
      <c r="F468" s="29" t="s">
        <v>1</v>
      </c>
      <c r="G468" s="281">
        <v>0</v>
      </c>
      <c r="H468" s="282">
        <v>1493</v>
      </c>
      <c r="I468" s="282">
        <v>31788</v>
      </c>
      <c r="J468" s="282">
        <v>3142</v>
      </c>
      <c r="K468" s="282">
        <v>0</v>
      </c>
      <c r="L468" s="288">
        <v>0</v>
      </c>
      <c r="M468" s="210">
        <v>36423</v>
      </c>
    </row>
    <row r="469" spans="1:13" x14ac:dyDescent="0.25">
      <c r="A469" s="567"/>
      <c r="B469" s="546"/>
      <c r="C469" s="546"/>
      <c r="D469" s="546"/>
      <c r="E469" s="546"/>
      <c r="F469" s="29" t="s">
        <v>0</v>
      </c>
      <c r="G469" s="281">
        <v>0</v>
      </c>
      <c r="H469" s="282">
        <v>15827</v>
      </c>
      <c r="I469" s="282">
        <v>244364</v>
      </c>
      <c r="J469" s="282">
        <v>33130</v>
      </c>
      <c r="K469" s="282">
        <v>8226</v>
      </c>
      <c r="L469" s="288">
        <v>0</v>
      </c>
      <c r="M469" s="210">
        <v>301547</v>
      </c>
    </row>
    <row r="470" spans="1:13" x14ac:dyDescent="0.25">
      <c r="A470" s="567"/>
      <c r="B470" s="546"/>
      <c r="C470" s="546"/>
      <c r="D470" s="547"/>
      <c r="E470" s="549" t="s">
        <v>25</v>
      </c>
      <c r="F470" s="550"/>
      <c r="G470" s="283">
        <v>0</v>
      </c>
      <c r="H470" s="284">
        <v>67854</v>
      </c>
      <c r="I470" s="284">
        <v>362269</v>
      </c>
      <c r="J470" s="284">
        <v>65300</v>
      </c>
      <c r="K470" s="284">
        <v>13789</v>
      </c>
      <c r="L470" s="289">
        <v>0</v>
      </c>
      <c r="M470" s="211">
        <v>509212</v>
      </c>
    </row>
    <row r="471" spans="1:13" x14ac:dyDescent="0.25">
      <c r="A471" s="567"/>
      <c r="B471" s="546"/>
      <c r="C471" s="546"/>
      <c r="D471" s="545" t="s">
        <v>571</v>
      </c>
      <c r="E471" s="548" t="s">
        <v>159</v>
      </c>
      <c r="F471" s="30" t="s">
        <v>3</v>
      </c>
      <c r="G471" s="285">
        <v>0</v>
      </c>
      <c r="H471" s="286">
        <v>921804</v>
      </c>
      <c r="I471" s="286">
        <v>1478383</v>
      </c>
      <c r="J471" s="286">
        <v>2439309</v>
      </c>
      <c r="K471" s="286">
        <v>1240323</v>
      </c>
      <c r="L471" s="286">
        <v>158121</v>
      </c>
      <c r="M471" s="212">
        <v>6237940</v>
      </c>
    </row>
    <row r="472" spans="1:13" x14ac:dyDescent="0.25">
      <c r="A472" s="567"/>
      <c r="B472" s="546"/>
      <c r="C472" s="546"/>
      <c r="D472" s="546"/>
      <c r="E472" s="546"/>
      <c r="F472" s="29" t="s">
        <v>2</v>
      </c>
      <c r="G472" s="281">
        <v>0</v>
      </c>
      <c r="H472" s="282">
        <v>2275731</v>
      </c>
      <c r="I472" s="282">
        <v>1790814</v>
      </c>
      <c r="J472" s="282">
        <v>4042987</v>
      </c>
      <c r="K472" s="282">
        <v>2164346</v>
      </c>
      <c r="L472" s="282">
        <v>192231</v>
      </c>
      <c r="M472" s="210">
        <v>10466109</v>
      </c>
    </row>
    <row r="473" spans="1:13" x14ac:dyDescent="0.25">
      <c r="A473" s="567"/>
      <c r="B473" s="546"/>
      <c r="C473" s="546"/>
      <c r="D473" s="546"/>
      <c r="E473" s="546"/>
      <c r="F473" s="29" t="s">
        <v>1</v>
      </c>
      <c r="G473" s="281">
        <v>0</v>
      </c>
      <c r="H473" s="282">
        <v>410830</v>
      </c>
      <c r="I473" s="282">
        <v>821917</v>
      </c>
      <c r="J473" s="282">
        <v>414751</v>
      </c>
      <c r="K473" s="282">
        <v>65126</v>
      </c>
      <c r="L473" s="282">
        <v>13185</v>
      </c>
      <c r="M473" s="210">
        <v>1725809</v>
      </c>
    </row>
    <row r="474" spans="1:13" x14ac:dyDescent="0.25">
      <c r="A474" s="567"/>
      <c r="B474" s="546"/>
      <c r="C474" s="546"/>
      <c r="D474" s="546"/>
      <c r="E474" s="546"/>
      <c r="F474" s="29" t="s">
        <v>0</v>
      </c>
      <c r="G474" s="281">
        <v>0</v>
      </c>
      <c r="H474" s="282">
        <v>1961254</v>
      </c>
      <c r="I474" s="282">
        <v>5524814</v>
      </c>
      <c r="J474" s="282">
        <v>2279228</v>
      </c>
      <c r="K474" s="282">
        <v>101400</v>
      </c>
      <c r="L474" s="282">
        <v>1928</v>
      </c>
      <c r="M474" s="210">
        <v>9868624</v>
      </c>
    </row>
    <row r="475" spans="1:13" x14ac:dyDescent="0.25">
      <c r="A475" s="567"/>
      <c r="B475" s="546"/>
      <c r="C475" s="546"/>
      <c r="D475" s="547"/>
      <c r="E475" s="549" t="s">
        <v>25</v>
      </c>
      <c r="F475" s="550"/>
      <c r="G475" s="283">
        <v>0</v>
      </c>
      <c r="H475" s="284">
        <v>5569619</v>
      </c>
      <c r="I475" s="284">
        <v>9615928</v>
      </c>
      <c r="J475" s="284">
        <v>9176275</v>
      </c>
      <c r="K475" s="284">
        <v>3571195</v>
      </c>
      <c r="L475" s="284">
        <v>365465</v>
      </c>
      <c r="M475" s="211">
        <v>28298482</v>
      </c>
    </row>
    <row r="476" spans="1:13" x14ac:dyDescent="0.25">
      <c r="A476" s="567"/>
      <c r="B476" s="546"/>
      <c r="C476" s="546"/>
      <c r="D476" s="545" t="s">
        <v>572</v>
      </c>
      <c r="E476" s="548" t="s">
        <v>159</v>
      </c>
      <c r="F476" s="30" t="s">
        <v>3</v>
      </c>
      <c r="G476" s="285">
        <v>0</v>
      </c>
      <c r="H476" s="286">
        <v>16250</v>
      </c>
      <c r="I476" s="286">
        <v>85169</v>
      </c>
      <c r="J476" s="286">
        <v>121205</v>
      </c>
      <c r="K476" s="286">
        <v>50422</v>
      </c>
      <c r="L476" s="286">
        <v>8354</v>
      </c>
      <c r="M476" s="212">
        <v>281400</v>
      </c>
    </row>
    <row r="477" spans="1:13" x14ac:dyDescent="0.25">
      <c r="A477" s="567"/>
      <c r="B477" s="546"/>
      <c r="C477" s="546"/>
      <c r="D477" s="546"/>
      <c r="E477" s="546"/>
      <c r="F477" s="29" t="s">
        <v>2</v>
      </c>
      <c r="G477" s="281">
        <v>0</v>
      </c>
      <c r="H477" s="282">
        <v>13947</v>
      </c>
      <c r="I477" s="282">
        <v>52485</v>
      </c>
      <c r="J477" s="282">
        <v>142498</v>
      </c>
      <c r="K477" s="282">
        <v>89672</v>
      </c>
      <c r="L477" s="282">
        <v>4572</v>
      </c>
      <c r="M477" s="210">
        <v>303174</v>
      </c>
    </row>
    <row r="478" spans="1:13" x14ac:dyDescent="0.25">
      <c r="A478" s="567"/>
      <c r="B478" s="546"/>
      <c r="C478" s="546"/>
      <c r="D478" s="546"/>
      <c r="E478" s="546"/>
      <c r="F478" s="29" t="s">
        <v>1</v>
      </c>
      <c r="G478" s="281">
        <v>0</v>
      </c>
      <c r="H478" s="282">
        <v>4395</v>
      </c>
      <c r="I478" s="282">
        <v>68238</v>
      </c>
      <c r="J478" s="282">
        <v>44289</v>
      </c>
      <c r="K478" s="282">
        <v>743</v>
      </c>
      <c r="L478" s="282">
        <v>0</v>
      </c>
      <c r="M478" s="210">
        <v>117665</v>
      </c>
    </row>
    <row r="479" spans="1:13" x14ac:dyDescent="0.25">
      <c r="A479" s="567"/>
      <c r="B479" s="546"/>
      <c r="C479" s="546"/>
      <c r="D479" s="546"/>
      <c r="E479" s="546"/>
      <c r="F479" s="29" t="s">
        <v>0</v>
      </c>
      <c r="G479" s="281">
        <v>0</v>
      </c>
      <c r="H479" s="282">
        <v>16316</v>
      </c>
      <c r="I479" s="282">
        <v>187825</v>
      </c>
      <c r="J479" s="282">
        <v>119193</v>
      </c>
      <c r="K479" s="282">
        <v>11757</v>
      </c>
      <c r="L479" s="282">
        <v>0</v>
      </c>
      <c r="M479" s="210">
        <v>335091</v>
      </c>
    </row>
    <row r="480" spans="1:13" x14ac:dyDescent="0.25">
      <c r="A480" s="567"/>
      <c r="B480" s="546"/>
      <c r="C480" s="546"/>
      <c r="D480" s="547"/>
      <c r="E480" s="549" t="s">
        <v>25</v>
      </c>
      <c r="F480" s="550"/>
      <c r="G480" s="283">
        <v>0</v>
      </c>
      <c r="H480" s="284">
        <v>50908</v>
      </c>
      <c r="I480" s="284">
        <v>393717</v>
      </c>
      <c r="J480" s="284">
        <v>427185</v>
      </c>
      <c r="K480" s="284">
        <v>152594</v>
      </c>
      <c r="L480" s="284">
        <v>12926</v>
      </c>
      <c r="M480" s="211">
        <v>1037330</v>
      </c>
    </row>
    <row r="481" spans="1:13" x14ac:dyDescent="0.25">
      <c r="A481" s="567"/>
      <c r="B481" s="546"/>
      <c r="C481" s="546"/>
      <c r="D481" s="545" t="s">
        <v>573</v>
      </c>
      <c r="E481" s="548" t="s">
        <v>159</v>
      </c>
      <c r="F481" s="30" t="s">
        <v>3</v>
      </c>
      <c r="G481" s="285">
        <v>0</v>
      </c>
      <c r="H481" s="286">
        <v>21570</v>
      </c>
      <c r="I481" s="286">
        <v>27457</v>
      </c>
      <c r="J481" s="286">
        <v>21499</v>
      </c>
      <c r="K481" s="286">
        <v>5914</v>
      </c>
      <c r="L481" s="286">
        <v>0</v>
      </c>
      <c r="M481" s="212">
        <v>76440</v>
      </c>
    </row>
    <row r="482" spans="1:13" x14ac:dyDescent="0.25">
      <c r="A482" s="567"/>
      <c r="B482" s="546"/>
      <c r="C482" s="546"/>
      <c r="D482" s="546"/>
      <c r="E482" s="546"/>
      <c r="F482" s="29" t="s">
        <v>2</v>
      </c>
      <c r="G482" s="281">
        <v>0</v>
      </c>
      <c r="H482" s="282">
        <v>36556</v>
      </c>
      <c r="I482" s="282">
        <v>60347</v>
      </c>
      <c r="J482" s="282">
        <v>46606</v>
      </c>
      <c r="K482" s="282">
        <v>16673</v>
      </c>
      <c r="L482" s="282">
        <v>136</v>
      </c>
      <c r="M482" s="210">
        <v>160318</v>
      </c>
    </row>
    <row r="483" spans="1:13" x14ac:dyDescent="0.25">
      <c r="A483" s="567"/>
      <c r="B483" s="546"/>
      <c r="C483" s="546"/>
      <c r="D483" s="546"/>
      <c r="E483" s="546"/>
      <c r="F483" s="29" t="s">
        <v>1</v>
      </c>
      <c r="G483" s="281">
        <v>0</v>
      </c>
      <c r="H483" s="282">
        <v>9920</v>
      </c>
      <c r="I483" s="282">
        <v>16002</v>
      </c>
      <c r="J483" s="282">
        <v>4022</v>
      </c>
      <c r="K483" s="282">
        <v>1556</v>
      </c>
      <c r="L483" s="282">
        <v>0</v>
      </c>
      <c r="M483" s="210">
        <v>31500</v>
      </c>
    </row>
    <row r="484" spans="1:13" x14ac:dyDescent="0.25">
      <c r="A484" s="567"/>
      <c r="B484" s="546"/>
      <c r="C484" s="546"/>
      <c r="D484" s="546"/>
      <c r="E484" s="546"/>
      <c r="F484" s="29" t="s">
        <v>0</v>
      </c>
      <c r="G484" s="281">
        <v>0</v>
      </c>
      <c r="H484" s="282">
        <v>36207</v>
      </c>
      <c r="I484" s="282">
        <v>264458</v>
      </c>
      <c r="J484" s="282">
        <v>36943</v>
      </c>
      <c r="K484" s="282">
        <v>225</v>
      </c>
      <c r="L484" s="282">
        <v>0</v>
      </c>
      <c r="M484" s="210">
        <v>337833</v>
      </c>
    </row>
    <row r="485" spans="1:13" x14ac:dyDescent="0.25">
      <c r="A485" s="567"/>
      <c r="B485" s="546"/>
      <c r="C485" s="547"/>
      <c r="D485" s="547"/>
      <c r="E485" s="549" t="s">
        <v>25</v>
      </c>
      <c r="F485" s="550"/>
      <c r="G485" s="283">
        <v>0</v>
      </c>
      <c r="H485" s="284">
        <v>104253</v>
      </c>
      <c r="I485" s="284">
        <v>368264</v>
      </c>
      <c r="J485" s="284">
        <v>109070</v>
      </c>
      <c r="K485" s="284">
        <v>24368</v>
      </c>
      <c r="L485" s="284">
        <v>136</v>
      </c>
      <c r="M485" s="211">
        <v>606091</v>
      </c>
    </row>
    <row r="486" spans="1:13" x14ac:dyDescent="0.25">
      <c r="A486" s="567"/>
      <c r="B486" s="546"/>
      <c r="C486" s="545" t="s">
        <v>5</v>
      </c>
      <c r="D486" s="545" t="s">
        <v>562</v>
      </c>
      <c r="E486" s="548" t="s">
        <v>159</v>
      </c>
      <c r="F486" s="30" t="s">
        <v>3</v>
      </c>
      <c r="G486" s="285">
        <v>0</v>
      </c>
      <c r="H486" s="286">
        <v>27823</v>
      </c>
      <c r="I486" s="286">
        <v>21572</v>
      </c>
      <c r="J486" s="286">
        <v>24090</v>
      </c>
      <c r="K486" s="286">
        <v>8767</v>
      </c>
      <c r="L486" s="286">
        <v>0</v>
      </c>
      <c r="M486" s="212">
        <v>82252</v>
      </c>
    </row>
    <row r="487" spans="1:13" x14ac:dyDescent="0.25">
      <c r="A487" s="567"/>
      <c r="B487" s="546"/>
      <c r="C487" s="546"/>
      <c r="D487" s="546"/>
      <c r="E487" s="546"/>
      <c r="F487" s="29" t="s">
        <v>2</v>
      </c>
      <c r="G487" s="281">
        <v>0</v>
      </c>
      <c r="H487" s="282">
        <v>105206</v>
      </c>
      <c r="I487" s="282">
        <v>94132</v>
      </c>
      <c r="J487" s="282">
        <v>209199</v>
      </c>
      <c r="K487" s="282">
        <v>42504</v>
      </c>
      <c r="L487" s="282">
        <v>922</v>
      </c>
      <c r="M487" s="210">
        <v>451963</v>
      </c>
    </row>
    <row r="488" spans="1:13" x14ac:dyDescent="0.25">
      <c r="A488" s="567"/>
      <c r="B488" s="546"/>
      <c r="C488" s="546"/>
      <c r="D488" s="546"/>
      <c r="E488" s="546"/>
      <c r="F488" s="29" t="s">
        <v>1</v>
      </c>
      <c r="G488" s="281">
        <v>0</v>
      </c>
      <c r="H488" s="282">
        <v>17170</v>
      </c>
      <c r="I488" s="282">
        <v>88324</v>
      </c>
      <c r="J488" s="282">
        <v>6812</v>
      </c>
      <c r="K488" s="282">
        <v>1360</v>
      </c>
      <c r="L488" s="282">
        <v>0</v>
      </c>
      <c r="M488" s="210">
        <v>113666</v>
      </c>
    </row>
    <row r="489" spans="1:13" x14ac:dyDescent="0.25">
      <c r="A489" s="567"/>
      <c r="B489" s="546"/>
      <c r="C489" s="546"/>
      <c r="D489" s="546"/>
      <c r="E489" s="546"/>
      <c r="F489" s="29" t="s">
        <v>0</v>
      </c>
      <c r="G489" s="281">
        <v>0</v>
      </c>
      <c r="H489" s="282">
        <v>89174</v>
      </c>
      <c r="I489" s="282">
        <v>527830</v>
      </c>
      <c r="J489" s="282">
        <v>159039</v>
      </c>
      <c r="K489" s="282">
        <v>9659</v>
      </c>
      <c r="L489" s="282">
        <v>0</v>
      </c>
      <c r="M489" s="210">
        <v>785702</v>
      </c>
    </row>
    <row r="490" spans="1:13" x14ac:dyDescent="0.25">
      <c r="A490" s="567"/>
      <c r="B490" s="546"/>
      <c r="C490" s="546"/>
      <c r="D490" s="547"/>
      <c r="E490" s="549" t="s">
        <v>25</v>
      </c>
      <c r="F490" s="550"/>
      <c r="G490" s="283">
        <v>0</v>
      </c>
      <c r="H490" s="284">
        <v>239373</v>
      </c>
      <c r="I490" s="284">
        <v>731858</v>
      </c>
      <c r="J490" s="284">
        <v>399140</v>
      </c>
      <c r="K490" s="284">
        <v>62290</v>
      </c>
      <c r="L490" s="284">
        <v>922</v>
      </c>
      <c r="M490" s="211">
        <v>1433583</v>
      </c>
    </row>
    <row r="491" spans="1:13" x14ac:dyDescent="0.25">
      <c r="A491" s="567"/>
      <c r="B491" s="546"/>
      <c r="C491" s="546"/>
      <c r="D491" s="545" t="s">
        <v>563</v>
      </c>
      <c r="E491" s="548" t="s">
        <v>159</v>
      </c>
      <c r="F491" s="30" t="s">
        <v>3</v>
      </c>
      <c r="G491" s="285">
        <v>0</v>
      </c>
      <c r="H491" s="286">
        <v>4245</v>
      </c>
      <c r="I491" s="286">
        <v>1307</v>
      </c>
      <c r="J491" s="286">
        <v>25491</v>
      </c>
      <c r="K491" s="286">
        <v>2275</v>
      </c>
      <c r="L491" s="286">
        <v>593</v>
      </c>
      <c r="M491" s="212">
        <v>33911</v>
      </c>
    </row>
    <row r="492" spans="1:13" x14ac:dyDescent="0.25">
      <c r="A492" s="567"/>
      <c r="B492" s="546"/>
      <c r="C492" s="546"/>
      <c r="D492" s="546"/>
      <c r="E492" s="546"/>
      <c r="F492" s="29" t="s">
        <v>2</v>
      </c>
      <c r="G492" s="281">
        <v>0</v>
      </c>
      <c r="H492" s="282">
        <v>0</v>
      </c>
      <c r="I492" s="282">
        <v>13630</v>
      </c>
      <c r="J492" s="282">
        <v>22152</v>
      </c>
      <c r="K492" s="282">
        <v>35463</v>
      </c>
      <c r="L492" s="282">
        <v>640</v>
      </c>
      <c r="M492" s="210">
        <v>71885</v>
      </c>
    </row>
    <row r="493" spans="1:13" x14ac:dyDescent="0.25">
      <c r="A493" s="567"/>
      <c r="B493" s="546"/>
      <c r="C493" s="546"/>
      <c r="D493" s="546"/>
      <c r="E493" s="546"/>
      <c r="F493" s="29" t="s">
        <v>1</v>
      </c>
      <c r="G493" s="281">
        <v>0</v>
      </c>
      <c r="H493" s="282">
        <v>0</v>
      </c>
      <c r="I493" s="282">
        <v>6531</v>
      </c>
      <c r="J493" s="282">
        <v>9240</v>
      </c>
      <c r="K493" s="282">
        <v>381</v>
      </c>
      <c r="L493" s="282">
        <v>0</v>
      </c>
      <c r="M493" s="210">
        <v>16152</v>
      </c>
    </row>
    <row r="494" spans="1:13" x14ac:dyDescent="0.25">
      <c r="A494" s="567"/>
      <c r="B494" s="546"/>
      <c r="C494" s="546"/>
      <c r="D494" s="546"/>
      <c r="E494" s="546"/>
      <c r="F494" s="29" t="s">
        <v>0</v>
      </c>
      <c r="G494" s="281">
        <v>0</v>
      </c>
      <c r="H494" s="282">
        <v>389</v>
      </c>
      <c r="I494" s="282">
        <v>44989</v>
      </c>
      <c r="J494" s="282">
        <v>32380</v>
      </c>
      <c r="K494" s="282">
        <v>4323</v>
      </c>
      <c r="L494" s="282">
        <v>0</v>
      </c>
      <c r="M494" s="210">
        <v>82081</v>
      </c>
    </row>
    <row r="495" spans="1:13" x14ac:dyDescent="0.25">
      <c r="A495" s="567"/>
      <c r="B495" s="546"/>
      <c r="C495" s="546"/>
      <c r="D495" s="547"/>
      <c r="E495" s="549" t="s">
        <v>25</v>
      </c>
      <c r="F495" s="550"/>
      <c r="G495" s="283">
        <v>0</v>
      </c>
      <c r="H495" s="284">
        <v>4634</v>
      </c>
      <c r="I495" s="284">
        <v>66457</v>
      </c>
      <c r="J495" s="284">
        <v>89263</v>
      </c>
      <c r="K495" s="284">
        <v>42442</v>
      </c>
      <c r="L495" s="284">
        <v>1233</v>
      </c>
      <c r="M495" s="211">
        <v>204029</v>
      </c>
    </row>
    <row r="496" spans="1:13" x14ac:dyDescent="0.25">
      <c r="A496" s="567"/>
      <c r="B496" s="546"/>
      <c r="C496" s="546"/>
      <c r="D496" s="545" t="s">
        <v>564</v>
      </c>
      <c r="E496" s="548" t="s">
        <v>159</v>
      </c>
      <c r="F496" s="30" t="s">
        <v>3</v>
      </c>
      <c r="G496" s="285">
        <v>0</v>
      </c>
      <c r="H496" s="286">
        <v>791</v>
      </c>
      <c r="I496" s="286">
        <v>2576</v>
      </c>
      <c r="J496" s="286">
        <v>114</v>
      </c>
      <c r="K496" s="286">
        <v>0</v>
      </c>
      <c r="L496" s="287">
        <v>0</v>
      </c>
      <c r="M496" s="212">
        <v>3481</v>
      </c>
    </row>
    <row r="497" spans="1:13" x14ac:dyDescent="0.25">
      <c r="A497" s="567"/>
      <c r="B497" s="546"/>
      <c r="C497" s="546"/>
      <c r="D497" s="546"/>
      <c r="E497" s="546"/>
      <c r="F497" s="29" t="s">
        <v>2</v>
      </c>
      <c r="G497" s="281">
        <v>0</v>
      </c>
      <c r="H497" s="282">
        <v>2586</v>
      </c>
      <c r="I497" s="282">
        <v>13456</v>
      </c>
      <c r="J497" s="282">
        <v>9641</v>
      </c>
      <c r="K497" s="282">
        <v>609</v>
      </c>
      <c r="L497" s="288">
        <v>0</v>
      </c>
      <c r="M497" s="210">
        <v>26292</v>
      </c>
    </row>
    <row r="498" spans="1:13" x14ac:dyDescent="0.25">
      <c r="A498" s="567"/>
      <c r="B498" s="546"/>
      <c r="C498" s="546"/>
      <c r="D498" s="546"/>
      <c r="E498" s="546"/>
      <c r="F498" s="29" t="s">
        <v>1</v>
      </c>
      <c r="G498" s="281">
        <v>0</v>
      </c>
      <c r="H498" s="282">
        <v>2596</v>
      </c>
      <c r="I498" s="282">
        <v>19333</v>
      </c>
      <c r="J498" s="282">
        <v>0</v>
      </c>
      <c r="K498" s="282">
        <v>0</v>
      </c>
      <c r="L498" s="288">
        <v>0</v>
      </c>
      <c r="M498" s="210">
        <v>21929</v>
      </c>
    </row>
    <row r="499" spans="1:13" x14ac:dyDescent="0.25">
      <c r="A499" s="567"/>
      <c r="B499" s="546"/>
      <c r="C499" s="546"/>
      <c r="D499" s="546"/>
      <c r="E499" s="546"/>
      <c r="F499" s="29" t="s">
        <v>0</v>
      </c>
      <c r="G499" s="281">
        <v>0</v>
      </c>
      <c r="H499" s="282">
        <v>1219</v>
      </c>
      <c r="I499" s="282">
        <v>59440</v>
      </c>
      <c r="J499" s="282">
        <v>4488</v>
      </c>
      <c r="K499" s="282">
        <v>0</v>
      </c>
      <c r="L499" s="288">
        <v>0</v>
      </c>
      <c r="M499" s="210">
        <v>65147</v>
      </c>
    </row>
    <row r="500" spans="1:13" x14ac:dyDescent="0.25">
      <c r="A500" s="567"/>
      <c r="B500" s="546"/>
      <c r="C500" s="546"/>
      <c r="D500" s="547"/>
      <c r="E500" s="549" t="s">
        <v>25</v>
      </c>
      <c r="F500" s="550"/>
      <c r="G500" s="283">
        <v>0</v>
      </c>
      <c r="H500" s="284">
        <v>7192</v>
      </c>
      <c r="I500" s="284">
        <v>94805</v>
      </c>
      <c r="J500" s="284">
        <v>14243</v>
      </c>
      <c r="K500" s="284">
        <v>609</v>
      </c>
      <c r="L500" s="289">
        <v>0</v>
      </c>
      <c r="M500" s="211">
        <v>116849</v>
      </c>
    </row>
    <row r="501" spans="1:13" x14ac:dyDescent="0.25">
      <c r="A501" s="567"/>
      <c r="B501" s="546"/>
      <c r="C501" s="546"/>
      <c r="D501" s="545" t="s">
        <v>565</v>
      </c>
      <c r="E501" s="548" t="s">
        <v>159</v>
      </c>
      <c r="F501" s="30" t="s">
        <v>3</v>
      </c>
      <c r="G501" s="285">
        <v>0</v>
      </c>
      <c r="H501" s="286">
        <v>88582</v>
      </c>
      <c r="I501" s="286">
        <v>35966</v>
      </c>
      <c r="J501" s="286">
        <v>142344</v>
      </c>
      <c r="K501" s="286">
        <v>12461</v>
      </c>
      <c r="L501" s="286">
        <v>0</v>
      </c>
      <c r="M501" s="212">
        <v>279353</v>
      </c>
    </row>
    <row r="502" spans="1:13" x14ac:dyDescent="0.25">
      <c r="A502" s="567"/>
      <c r="B502" s="546"/>
      <c r="C502" s="546"/>
      <c r="D502" s="546"/>
      <c r="E502" s="546"/>
      <c r="F502" s="29" t="s">
        <v>2</v>
      </c>
      <c r="G502" s="281">
        <v>0</v>
      </c>
      <c r="H502" s="282">
        <v>78714</v>
      </c>
      <c r="I502" s="282">
        <v>52864</v>
      </c>
      <c r="J502" s="282">
        <v>181625</v>
      </c>
      <c r="K502" s="282">
        <v>30357</v>
      </c>
      <c r="L502" s="282">
        <v>165</v>
      </c>
      <c r="M502" s="210">
        <v>343725</v>
      </c>
    </row>
    <row r="503" spans="1:13" x14ac:dyDescent="0.25">
      <c r="A503" s="567"/>
      <c r="B503" s="546"/>
      <c r="C503" s="546"/>
      <c r="D503" s="546"/>
      <c r="E503" s="546"/>
      <c r="F503" s="29" t="s">
        <v>1</v>
      </c>
      <c r="G503" s="281">
        <v>0</v>
      </c>
      <c r="H503" s="282">
        <v>7837</v>
      </c>
      <c r="I503" s="282">
        <v>96479</v>
      </c>
      <c r="J503" s="282">
        <v>68934</v>
      </c>
      <c r="K503" s="282">
        <v>9845</v>
      </c>
      <c r="L503" s="282">
        <v>0</v>
      </c>
      <c r="M503" s="210">
        <v>183095</v>
      </c>
    </row>
    <row r="504" spans="1:13" x14ac:dyDescent="0.25">
      <c r="A504" s="567"/>
      <c r="B504" s="546"/>
      <c r="C504" s="546"/>
      <c r="D504" s="546"/>
      <c r="E504" s="546"/>
      <c r="F504" s="29" t="s">
        <v>0</v>
      </c>
      <c r="G504" s="281">
        <v>0</v>
      </c>
      <c r="H504" s="282">
        <v>73396</v>
      </c>
      <c r="I504" s="282">
        <v>312902</v>
      </c>
      <c r="J504" s="282">
        <v>210104</v>
      </c>
      <c r="K504" s="282">
        <v>4764</v>
      </c>
      <c r="L504" s="282">
        <v>0</v>
      </c>
      <c r="M504" s="210">
        <v>601166</v>
      </c>
    </row>
    <row r="505" spans="1:13" x14ac:dyDescent="0.25">
      <c r="A505" s="567"/>
      <c r="B505" s="546"/>
      <c r="C505" s="546"/>
      <c r="D505" s="547"/>
      <c r="E505" s="549" t="s">
        <v>25</v>
      </c>
      <c r="F505" s="550"/>
      <c r="G505" s="283">
        <v>0</v>
      </c>
      <c r="H505" s="284">
        <v>248529</v>
      </c>
      <c r="I505" s="284">
        <v>498211</v>
      </c>
      <c r="J505" s="284">
        <v>603007</v>
      </c>
      <c r="K505" s="284">
        <v>57427</v>
      </c>
      <c r="L505" s="284">
        <v>165</v>
      </c>
      <c r="M505" s="211">
        <v>1407339</v>
      </c>
    </row>
    <row r="506" spans="1:13" x14ac:dyDescent="0.25">
      <c r="A506" s="567"/>
      <c r="B506" s="546"/>
      <c r="C506" s="546"/>
      <c r="D506" s="545" t="s">
        <v>566</v>
      </c>
      <c r="E506" s="548" t="s">
        <v>159</v>
      </c>
      <c r="F506" s="30" t="s">
        <v>3</v>
      </c>
      <c r="G506" s="285">
        <v>0</v>
      </c>
      <c r="H506" s="286">
        <v>0</v>
      </c>
      <c r="I506" s="286">
        <v>34649</v>
      </c>
      <c r="J506" s="286">
        <v>4096</v>
      </c>
      <c r="K506" s="286">
        <v>0</v>
      </c>
      <c r="L506" s="287">
        <v>0</v>
      </c>
      <c r="M506" s="212">
        <v>38745</v>
      </c>
    </row>
    <row r="507" spans="1:13" x14ac:dyDescent="0.25">
      <c r="A507" s="567"/>
      <c r="B507" s="546"/>
      <c r="C507" s="546"/>
      <c r="D507" s="546"/>
      <c r="E507" s="546"/>
      <c r="F507" s="29" t="s">
        <v>2</v>
      </c>
      <c r="G507" s="281">
        <v>0</v>
      </c>
      <c r="H507" s="282">
        <v>440</v>
      </c>
      <c r="I507" s="282">
        <v>3342</v>
      </c>
      <c r="J507" s="282">
        <v>15556</v>
      </c>
      <c r="K507" s="282">
        <v>466</v>
      </c>
      <c r="L507" s="288">
        <v>0</v>
      </c>
      <c r="M507" s="210">
        <v>19804</v>
      </c>
    </row>
    <row r="508" spans="1:13" x14ac:dyDescent="0.25">
      <c r="A508" s="567"/>
      <c r="B508" s="546"/>
      <c r="C508" s="546"/>
      <c r="D508" s="546"/>
      <c r="E508" s="546"/>
      <c r="F508" s="29" t="s">
        <v>1</v>
      </c>
      <c r="G508" s="281">
        <v>0</v>
      </c>
      <c r="H508" s="282">
        <v>0</v>
      </c>
      <c r="I508" s="282">
        <v>600</v>
      </c>
      <c r="J508" s="282">
        <v>5906</v>
      </c>
      <c r="K508" s="282">
        <v>0</v>
      </c>
      <c r="L508" s="288">
        <v>0</v>
      </c>
      <c r="M508" s="210">
        <v>6506</v>
      </c>
    </row>
    <row r="509" spans="1:13" x14ac:dyDescent="0.25">
      <c r="A509" s="567"/>
      <c r="B509" s="546"/>
      <c r="C509" s="546"/>
      <c r="D509" s="546"/>
      <c r="E509" s="546"/>
      <c r="F509" s="29" t="s">
        <v>0</v>
      </c>
      <c r="G509" s="281">
        <v>0</v>
      </c>
      <c r="H509" s="282">
        <v>271</v>
      </c>
      <c r="I509" s="282">
        <v>40567</v>
      </c>
      <c r="J509" s="282">
        <v>9363</v>
      </c>
      <c r="K509" s="282">
        <v>0</v>
      </c>
      <c r="L509" s="288">
        <v>0</v>
      </c>
      <c r="M509" s="210">
        <v>50201</v>
      </c>
    </row>
    <row r="510" spans="1:13" x14ac:dyDescent="0.25">
      <c r="A510" s="567"/>
      <c r="B510" s="546"/>
      <c r="C510" s="546"/>
      <c r="D510" s="547"/>
      <c r="E510" s="549" t="s">
        <v>25</v>
      </c>
      <c r="F510" s="550"/>
      <c r="G510" s="283">
        <v>0</v>
      </c>
      <c r="H510" s="284">
        <v>711</v>
      </c>
      <c r="I510" s="284">
        <v>79158</v>
      </c>
      <c r="J510" s="284">
        <v>34921</v>
      </c>
      <c r="K510" s="284">
        <v>466</v>
      </c>
      <c r="L510" s="289">
        <v>0</v>
      </c>
      <c r="M510" s="211">
        <v>115256</v>
      </c>
    </row>
    <row r="511" spans="1:13" x14ac:dyDescent="0.25">
      <c r="A511" s="567"/>
      <c r="B511" s="546"/>
      <c r="C511" s="546"/>
      <c r="D511" s="545" t="s">
        <v>567</v>
      </c>
      <c r="E511" s="548" t="s">
        <v>159</v>
      </c>
      <c r="F511" s="30" t="s">
        <v>3</v>
      </c>
      <c r="G511" s="285">
        <v>0</v>
      </c>
      <c r="H511" s="286">
        <v>1579</v>
      </c>
      <c r="I511" s="286">
        <v>0</v>
      </c>
      <c r="J511" s="286">
        <v>534</v>
      </c>
      <c r="K511" s="286">
        <v>1546</v>
      </c>
      <c r="L511" s="287">
        <v>0</v>
      </c>
      <c r="M511" s="212">
        <v>3659</v>
      </c>
    </row>
    <row r="512" spans="1:13" x14ac:dyDescent="0.25">
      <c r="A512" s="567"/>
      <c r="B512" s="546"/>
      <c r="C512" s="546"/>
      <c r="D512" s="546"/>
      <c r="E512" s="546"/>
      <c r="F512" s="29" t="s">
        <v>2</v>
      </c>
      <c r="G512" s="281">
        <v>0</v>
      </c>
      <c r="H512" s="282">
        <v>717</v>
      </c>
      <c r="I512" s="282">
        <v>0</v>
      </c>
      <c r="J512" s="282">
        <v>0</v>
      </c>
      <c r="K512" s="282">
        <v>0</v>
      </c>
      <c r="L512" s="288">
        <v>0</v>
      </c>
      <c r="M512" s="210">
        <v>717</v>
      </c>
    </row>
    <row r="513" spans="1:13" x14ac:dyDescent="0.25">
      <c r="A513" s="567"/>
      <c r="B513" s="546"/>
      <c r="C513" s="546"/>
      <c r="D513" s="546"/>
      <c r="E513" s="546"/>
      <c r="F513" s="29" t="s">
        <v>1</v>
      </c>
      <c r="G513" s="281">
        <v>0</v>
      </c>
      <c r="H513" s="282">
        <v>23061</v>
      </c>
      <c r="I513" s="282">
        <v>934</v>
      </c>
      <c r="J513" s="282">
        <v>11683</v>
      </c>
      <c r="K513" s="282">
        <v>0</v>
      </c>
      <c r="L513" s="288">
        <v>0</v>
      </c>
      <c r="M513" s="210">
        <v>35678</v>
      </c>
    </row>
    <row r="514" spans="1:13" x14ac:dyDescent="0.25">
      <c r="A514" s="567"/>
      <c r="B514" s="546"/>
      <c r="C514" s="546"/>
      <c r="D514" s="546"/>
      <c r="E514" s="546"/>
      <c r="F514" s="29" t="s">
        <v>0</v>
      </c>
      <c r="G514" s="281">
        <v>0</v>
      </c>
      <c r="H514" s="282">
        <v>11216</v>
      </c>
      <c r="I514" s="282">
        <v>12443</v>
      </c>
      <c r="J514" s="282">
        <v>386</v>
      </c>
      <c r="K514" s="282">
        <v>173</v>
      </c>
      <c r="L514" s="288">
        <v>0</v>
      </c>
      <c r="M514" s="210">
        <v>24218</v>
      </c>
    </row>
    <row r="515" spans="1:13" x14ac:dyDescent="0.25">
      <c r="A515" s="567"/>
      <c r="B515" s="546"/>
      <c r="C515" s="546"/>
      <c r="D515" s="547"/>
      <c r="E515" s="549" t="s">
        <v>25</v>
      </c>
      <c r="F515" s="550"/>
      <c r="G515" s="283">
        <v>0</v>
      </c>
      <c r="H515" s="284">
        <v>36573</v>
      </c>
      <c r="I515" s="284">
        <v>13377</v>
      </c>
      <c r="J515" s="284">
        <v>12603</v>
      </c>
      <c r="K515" s="284">
        <v>1719</v>
      </c>
      <c r="L515" s="289">
        <v>0</v>
      </c>
      <c r="M515" s="211">
        <v>64272</v>
      </c>
    </row>
    <row r="516" spans="1:13" x14ac:dyDescent="0.25">
      <c r="A516" s="567"/>
      <c r="B516" s="546"/>
      <c r="C516" s="546"/>
      <c r="D516" s="545" t="s">
        <v>568</v>
      </c>
      <c r="E516" s="548" t="s">
        <v>159</v>
      </c>
      <c r="F516" s="30" t="s">
        <v>3</v>
      </c>
      <c r="G516" s="285">
        <v>0</v>
      </c>
      <c r="H516" s="286">
        <v>2548</v>
      </c>
      <c r="I516" s="286">
        <v>9954</v>
      </c>
      <c r="J516" s="286">
        <v>2834</v>
      </c>
      <c r="K516" s="286">
        <v>6738</v>
      </c>
      <c r="L516" s="286">
        <v>0</v>
      </c>
      <c r="M516" s="212">
        <v>22074</v>
      </c>
    </row>
    <row r="517" spans="1:13" x14ac:dyDescent="0.25">
      <c r="A517" s="567"/>
      <c r="B517" s="546"/>
      <c r="C517" s="546"/>
      <c r="D517" s="546"/>
      <c r="E517" s="546"/>
      <c r="F517" s="29" t="s">
        <v>2</v>
      </c>
      <c r="G517" s="281">
        <v>0</v>
      </c>
      <c r="H517" s="282">
        <v>25883</v>
      </c>
      <c r="I517" s="282">
        <v>18643</v>
      </c>
      <c r="J517" s="282">
        <v>33415</v>
      </c>
      <c r="K517" s="282">
        <v>6613</v>
      </c>
      <c r="L517" s="282">
        <v>555</v>
      </c>
      <c r="M517" s="210">
        <v>85109</v>
      </c>
    </row>
    <row r="518" spans="1:13" x14ac:dyDescent="0.25">
      <c r="A518" s="567"/>
      <c r="B518" s="546"/>
      <c r="C518" s="546"/>
      <c r="D518" s="546"/>
      <c r="E518" s="546"/>
      <c r="F518" s="29" t="s">
        <v>1</v>
      </c>
      <c r="G518" s="281">
        <v>0</v>
      </c>
      <c r="H518" s="282">
        <v>2293</v>
      </c>
      <c r="I518" s="282">
        <v>20018</v>
      </c>
      <c r="J518" s="282">
        <v>4062</v>
      </c>
      <c r="K518" s="282">
        <v>0</v>
      </c>
      <c r="L518" s="282">
        <v>0</v>
      </c>
      <c r="M518" s="210">
        <v>26373</v>
      </c>
    </row>
    <row r="519" spans="1:13" x14ac:dyDescent="0.25">
      <c r="A519" s="567"/>
      <c r="B519" s="546"/>
      <c r="C519" s="546"/>
      <c r="D519" s="546"/>
      <c r="E519" s="546"/>
      <c r="F519" s="29" t="s">
        <v>0</v>
      </c>
      <c r="G519" s="281">
        <v>0</v>
      </c>
      <c r="H519" s="282">
        <v>29366</v>
      </c>
      <c r="I519" s="282">
        <v>45852</v>
      </c>
      <c r="J519" s="282">
        <v>36549</v>
      </c>
      <c r="K519" s="282">
        <v>625</v>
      </c>
      <c r="L519" s="282">
        <v>0</v>
      </c>
      <c r="M519" s="210">
        <v>112392</v>
      </c>
    </row>
    <row r="520" spans="1:13" x14ac:dyDescent="0.25">
      <c r="A520" s="567"/>
      <c r="B520" s="546"/>
      <c r="C520" s="546"/>
      <c r="D520" s="547"/>
      <c r="E520" s="549" t="s">
        <v>25</v>
      </c>
      <c r="F520" s="550"/>
      <c r="G520" s="283">
        <v>0</v>
      </c>
      <c r="H520" s="284">
        <v>60090</v>
      </c>
      <c r="I520" s="284">
        <v>94467</v>
      </c>
      <c r="J520" s="284">
        <v>76860</v>
      </c>
      <c r="K520" s="284">
        <v>13976</v>
      </c>
      <c r="L520" s="284">
        <v>555</v>
      </c>
      <c r="M520" s="211">
        <v>245948</v>
      </c>
    </row>
    <row r="521" spans="1:13" x14ac:dyDescent="0.25">
      <c r="A521" s="567"/>
      <c r="B521" s="546"/>
      <c r="C521" s="546"/>
      <c r="D521" s="545" t="s">
        <v>569</v>
      </c>
      <c r="E521" s="548" t="s">
        <v>159</v>
      </c>
      <c r="F521" s="30" t="s">
        <v>3</v>
      </c>
      <c r="G521" s="285">
        <v>0</v>
      </c>
      <c r="H521" s="286">
        <v>1050</v>
      </c>
      <c r="I521" s="286">
        <v>16506</v>
      </c>
      <c r="J521" s="286">
        <v>19576</v>
      </c>
      <c r="K521" s="286">
        <v>3347</v>
      </c>
      <c r="L521" s="286">
        <v>0</v>
      </c>
      <c r="M521" s="212">
        <v>40479</v>
      </c>
    </row>
    <row r="522" spans="1:13" x14ac:dyDescent="0.25">
      <c r="A522" s="567"/>
      <c r="B522" s="546"/>
      <c r="C522" s="546"/>
      <c r="D522" s="546"/>
      <c r="E522" s="546"/>
      <c r="F522" s="29" t="s">
        <v>2</v>
      </c>
      <c r="G522" s="281">
        <v>0</v>
      </c>
      <c r="H522" s="282">
        <v>2825</v>
      </c>
      <c r="I522" s="282">
        <v>6856</v>
      </c>
      <c r="J522" s="282">
        <v>74852</v>
      </c>
      <c r="K522" s="282">
        <v>24413</v>
      </c>
      <c r="L522" s="282">
        <v>49</v>
      </c>
      <c r="M522" s="210">
        <v>108995</v>
      </c>
    </row>
    <row r="523" spans="1:13" x14ac:dyDescent="0.25">
      <c r="A523" s="567"/>
      <c r="B523" s="546"/>
      <c r="C523" s="546"/>
      <c r="D523" s="546"/>
      <c r="E523" s="546"/>
      <c r="F523" s="29" t="s">
        <v>1</v>
      </c>
      <c r="G523" s="281">
        <v>0</v>
      </c>
      <c r="H523" s="282">
        <v>0</v>
      </c>
      <c r="I523" s="282">
        <v>9354</v>
      </c>
      <c r="J523" s="282">
        <v>4853</v>
      </c>
      <c r="K523" s="282">
        <v>0</v>
      </c>
      <c r="L523" s="282">
        <v>0</v>
      </c>
      <c r="M523" s="210">
        <v>14207</v>
      </c>
    </row>
    <row r="524" spans="1:13" x14ac:dyDescent="0.25">
      <c r="A524" s="567"/>
      <c r="B524" s="546"/>
      <c r="C524" s="546"/>
      <c r="D524" s="546"/>
      <c r="E524" s="546"/>
      <c r="F524" s="29" t="s">
        <v>0</v>
      </c>
      <c r="G524" s="281">
        <v>0</v>
      </c>
      <c r="H524" s="282">
        <v>1053</v>
      </c>
      <c r="I524" s="282">
        <v>88481</v>
      </c>
      <c r="J524" s="282">
        <v>90545</v>
      </c>
      <c r="K524" s="282">
        <v>884</v>
      </c>
      <c r="L524" s="282">
        <v>0</v>
      </c>
      <c r="M524" s="210">
        <v>180963</v>
      </c>
    </row>
    <row r="525" spans="1:13" x14ac:dyDescent="0.25">
      <c r="A525" s="567"/>
      <c r="B525" s="546"/>
      <c r="C525" s="546"/>
      <c r="D525" s="547"/>
      <c r="E525" s="549" t="s">
        <v>25</v>
      </c>
      <c r="F525" s="550"/>
      <c r="G525" s="283">
        <v>0</v>
      </c>
      <c r="H525" s="284">
        <v>4928</v>
      </c>
      <c r="I525" s="284">
        <v>121197</v>
      </c>
      <c r="J525" s="284">
        <v>189826</v>
      </c>
      <c r="K525" s="284">
        <v>28644</v>
      </c>
      <c r="L525" s="284">
        <v>49</v>
      </c>
      <c r="M525" s="211">
        <v>344644</v>
      </c>
    </row>
    <row r="526" spans="1:13" x14ac:dyDescent="0.25">
      <c r="A526" s="567"/>
      <c r="B526" s="546"/>
      <c r="C526" s="546"/>
      <c r="D526" s="545" t="s">
        <v>570</v>
      </c>
      <c r="E526" s="548" t="s">
        <v>159</v>
      </c>
      <c r="F526" s="30" t="s">
        <v>3</v>
      </c>
      <c r="G526" s="285">
        <v>0</v>
      </c>
      <c r="H526" s="286">
        <v>3026</v>
      </c>
      <c r="I526" s="286">
        <v>46565</v>
      </c>
      <c r="J526" s="286">
        <v>3587</v>
      </c>
      <c r="K526" s="286">
        <v>0</v>
      </c>
      <c r="L526" s="286">
        <v>0</v>
      </c>
      <c r="M526" s="212">
        <v>53178</v>
      </c>
    </row>
    <row r="527" spans="1:13" x14ac:dyDescent="0.25">
      <c r="A527" s="567"/>
      <c r="B527" s="546"/>
      <c r="C527" s="546"/>
      <c r="D527" s="546"/>
      <c r="E527" s="546"/>
      <c r="F527" s="29" t="s">
        <v>2</v>
      </c>
      <c r="G527" s="281">
        <v>0</v>
      </c>
      <c r="H527" s="282">
        <v>15952</v>
      </c>
      <c r="I527" s="282">
        <v>34226</v>
      </c>
      <c r="J527" s="282">
        <v>5218</v>
      </c>
      <c r="K527" s="282">
        <v>950</v>
      </c>
      <c r="L527" s="282">
        <v>0</v>
      </c>
      <c r="M527" s="210">
        <v>56346</v>
      </c>
    </row>
    <row r="528" spans="1:13" x14ac:dyDescent="0.25">
      <c r="A528" s="567"/>
      <c r="B528" s="546"/>
      <c r="C528" s="546"/>
      <c r="D528" s="546"/>
      <c r="E528" s="546"/>
      <c r="F528" s="29" t="s">
        <v>1</v>
      </c>
      <c r="G528" s="281">
        <v>0</v>
      </c>
      <c r="H528" s="282">
        <v>24907</v>
      </c>
      <c r="I528" s="282">
        <v>31960</v>
      </c>
      <c r="J528" s="282">
        <v>22296</v>
      </c>
      <c r="K528" s="282">
        <v>0</v>
      </c>
      <c r="L528" s="282">
        <v>0</v>
      </c>
      <c r="M528" s="210">
        <v>79163</v>
      </c>
    </row>
    <row r="529" spans="1:13" x14ac:dyDescent="0.25">
      <c r="A529" s="567"/>
      <c r="B529" s="546"/>
      <c r="C529" s="546"/>
      <c r="D529" s="546"/>
      <c r="E529" s="546"/>
      <c r="F529" s="29" t="s">
        <v>0</v>
      </c>
      <c r="G529" s="281">
        <v>0</v>
      </c>
      <c r="H529" s="282">
        <v>13805</v>
      </c>
      <c r="I529" s="282">
        <v>283961</v>
      </c>
      <c r="J529" s="282">
        <v>36134</v>
      </c>
      <c r="K529" s="282">
        <v>36</v>
      </c>
      <c r="L529" s="282">
        <v>243</v>
      </c>
      <c r="M529" s="210">
        <v>334179</v>
      </c>
    </row>
    <row r="530" spans="1:13" x14ac:dyDescent="0.25">
      <c r="A530" s="567"/>
      <c r="B530" s="546"/>
      <c r="C530" s="546"/>
      <c r="D530" s="547"/>
      <c r="E530" s="549" t="s">
        <v>25</v>
      </c>
      <c r="F530" s="550"/>
      <c r="G530" s="283">
        <v>0</v>
      </c>
      <c r="H530" s="284">
        <v>57690</v>
      </c>
      <c r="I530" s="284">
        <v>396712</v>
      </c>
      <c r="J530" s="284">
        <v>67235</v>
      </c>
      <c r="K530" s="284">
        <v>986</v>
      </c>
      <c r="L530" s="284">
        <v>243</v>
      </c>
      <c r="M530" s="211">
        <v>522866</v>
      </c>
    </row>
    <row r="531" spans="1:13" x14ac:dyDescent="0.25">
      <c r="A531" s="567"/>
      <c r="B531" s="546"/>
      <c r="C531" s="546"/>
      <c r="D531" s="545" t="s">
        <v>571</v>
      </c>
      <c r="E531" s="548" t="s">
        <v>159</v>
      </c>
      <c r="F531" s="30" t="s">
        <v>3</v>
      </c>
      <c r="G531" s="285">
        <v>0</v>
      </c>
      <c r="H531" s="286">
        <v>247871</v>
      </c>
      <c r="I531" s="286">
        <v>288332</v>
      </c>
      <c r="J531" s="286">
        <v>437502</v>
      </c>
      <c r="K531" s="286">
        <v>185280</v>
      </c>
      <c r="L531" s="286">
        <v>8071</v>
      </c>
      <c r="M531" s="212">
        <v>1167056</v>
      </c>
    </row>
    <row r="532" spans="1:13" x14ac:dyDescent="0.25">
      <c r="A532" s="567"/>
      <c r="B532" s="546"/>
      <c r="C532" s="546"/>
      <c r="D532" s="546"/>
      <c r="E532" s="546"/>
      <c r="F532" s="29" t="s">
        <v>2</v>
      </c>
      <c r="G532" s="281">
        <v>0</v>
      </c>
      <c r="H532" s="282">
        <v>1306615</v>
      </c>
      <c r="I532" s="282">
        <v>800582</v>
      </c>
      <c r="J532" s="282">
        <v>2721911</v>
      </c>
      <c r="K532" s="282">
        <v>1017367</v>
      </c>
      <c r="L532" s="282">
        <v>55080</v>
      </c>
      <c r="M532" s="210">
        <v>5901555</v>
      </c>
    </row>
    <row r="533" spans="1:13" x14ac:dyDescent="0.25">
      <c r="A533" s="567"/>
      <c r="B533" s="546"/>
      <c r="C533" s="546"/>
      <c r="D533" s="546"/>
      <c r="E533" s="546"/>
      <c r="F533" s="29" t="s">
        <v>1</v>
      </c>
      <c r="G533" s="281">
        <v>0</v>
      </c>
      <c r="H533" s="282">
        <v>182389</v>
      </c>
      <c r="I533" s="282">
        <v>348736</v>
      </c>
      <c r="J533" s="282">
        <v>170433</v>
      </c>
      <c r="K533" s="282">
        <v>14131</v>
      </c>
      <c r="L533" s="282">
        <v>546</v>
      </c>
      <c r="M533" s="210">
        <v>716235</v>
      </c>
    </row>
    <row r="534" spans="1:13" x14ac:dyDescent="0.25">
      <c r="A534" s="567"/>
      <c r="B534" s="546"/>
      <c r="C534" s="546"/>
      <c r="D534" s="546"/>
      <c r="E534" s="546"/>
      <c r="F534" s="29" t="s">
        <v>0</v>
      </c>
      <c r="G534" s="281">
        <v>0</v>
      </c>
      <c r="H534" s="282">
        <v>950198</v>
      </c>
      <c r="I534" s="282">
        <v>3731751</v>
      </c>
      <c r="J534" s="282">
        <v>1944221</v>
      </c>
      <c r="K534" s="282">
        <v>85717</v>
      </c>
      <c r="L534" s="282">
        <v>16142</v>
      </c>
      <c r="M534" s="210">
        <v>6728029</v>
      </c>
    </row>
    <row r="535" spans="1:13" x14ac:dyDescent="0.25">
      <c r="A535" s="567"/>
      <c r="B535" s="546"/>
      <c r="C535" s="546"/>
      <c r="D535" s="547"/>
      <c r="E535" s="549" t="s">
        <v>25</v>
      </c>
      <c r="F535" s="550"/>
      <c r="G535" s="283">
        <v>0</v>
      </c>
      <c r="H535" s="284">
        <v>2687073</v>
      </c>
      <c r="I535" s="284">
        <v>5169401</v>
      </c>
      <c r="J535" s="284">
        <v>5274067</v>
      </c>
      <c r="K535" s="284">
        <v>1302495</v>
      </c>
      <c r="L535" s="284">
        <v>79839</v>
      </c>
      <c r="M535" s="211">
        <v>14512875</v>
      </c>
    </row>
    <row r="536" spans="1:13" x14ac:dyDescent="0.25">
      <c r="A536" s="567"/>
      <c r="B536" s="546"/>
      <c r="C536" s="546"/>
      <c r="D536" s="545" t="s">
        <v>572</v>
      </c>
      <c r="E536" s="548" t="s">
        <v>159</v>
      </c>
      <c r="F536" s="30" t="s">
        <v>3</v>
      </c>
      <c r="G536" s="285">
        <v>0</v>
      </c>
      <c r="H536" s="286">
        <v>4556</v>
      </c>
      <c r="I536" s="286">
        <v>19078</v>
      </c>
      <c r="J536" s="286">
        <v>24222</v>
      </c>
      <c r="K536" s="286">
        <v>18382</v>
      </c>
      <c r="L536" s="286">
        <v>9251</v>
      </c>
      <c r="M536" s="212">
        <v>75489</v>
      </c>
    </row>
    <row r="537" spans="1:13" x14ac:dyDescent="0.25">
      <c r="A537" s="567"/>
      <c r="B537" s="546"/>
      <c r="C537" s="546"/>
      <c r="D537" s="546"/>
      <c r="E537" s="546"/>
      <c r="F537" s="29" t="s">
        <v>2</v>
      </c>
      <c r="G537" s="281">
        <v>0</v>
      </c>
      <c r="H537" s="282">
        <v>37460</v>
      </c>
      <c r="I537" s="282">
        <v>54987</v>
      </c>
      <c r="J537" s="282">
        <v>164811</v>
      </c>
      <c r="K537" s="282">
        <v>77464</v>
      </c>
      <c r="L537" s="282">
        <v>3274</v>
      </c>
      <c r="M537" s="210">
        <v>337996</v>
      </c>
    </row>
    <row r="538" spans="1:13" x14ac:dyDescent="0.25">
      <c r="A538" s="567"/>
      <c r="B538" s="546"/>
      <c r="C538" s="546"/>
      <c r="D538" s="546"/>
      <c r="E538" s="546"/>
      <c r="F538" s="29" t="s">
        <v>1</v>
      </c>
      <c r="G538" s="281">
        <v>0</v>
      </c>
      <c r="H538" s="282">
        <v>0</v>
      </c>
      <c r="I538" s="282">
        <v>11496</v>
      </c>
      <c r="J538" s="282">
        <v>20719</v>
      </c>
      <c r="K538" s="282">
        <v>1346</v>
      </c>
      <c r="L538" s="282">
        <v>0</v>
      </c>
      <c r="M538" s="210">
        <v>33561</v>
      </c>
    </row>
    <row r="539" spans="1:13" x14ac:dyDescent="0.25">
      <c r="A539" s="567"/>
      <c r="B539" s="546"/>
      <c r="C539" s="546"/>
      <c r="D539" s="546"/>
      <c r="E539" s="546"/>
      <c r="F539" s="29" t="s">
        <v>0</v>
      </c>
      <c r="G539" s="281">
        <v>0</v>
      </c>
      <c r="H539" s="282">
        <v>9261</v>
      </c>
      <c r="I539" s="282">
        <v>224425</v>
      </c>
      <c r="J539" s="282">
        <v>117410</v>
      </c>
      <c r="K539" s="282">
        <v>2255</v>
      </c>
      <c r="L539" s="282">
        <v>0</v>
      </c>
      <c r="M539" s="210">
        <v>353351</v>
      </c>
    </row>
    <row r="540" spans="1:13" x14ac:dyDescent="0.25">
      <c r="A540" s="567"/>
      <c r="B540" s="546"/>
      <c r="C540" s="546"/>
      <c r="D540" s="547"/>
      <c r="E540" s="549" t="s">
        <v>25</v>
      </c>
      <c r="F540" s="550"/>
      <c r="G540" s="283">
        <v>0</v>
      </c>
      <c r="H540" s="284">
        <v>51277</v>
      </c>
      <c r="I540" s="284">
        <v>309986</v>
      </c>
      <c r="J540" s="284">
        <v>327162</v>
      </c>
      <c r="K540" s="284">
        <v>99447</v>
      </c>
      <c r="L540" s="284">
        <v>12525</v>
      </c>
      <c r="M540" s="211">
        <v>800397</v>
      </c>
    </row>
    <row r="541" spans="1:13" x14ac:dyDescent="0.25">
      <c r="A541" s="567"/>
      <c r="B541" s="546"/>
      <c r="C541" s="546"/>
      <c r="D541" s="545" t="s">
        <v>573</v>
      </c>
      <c r="E541" s="548" t="s">
        <v>159</v>
      </c>
      <c r="F541" s="30" t="s">
        <v>3</v>
      </c>
      <c r="G541" s="285">
        <v>0</v>
      </c>
      <c r="H541" s="286">
        <v>6040</v>
      </c>
      <c r="I541" s="286">
        <v>11684</v>
      </c>
      <c r="J541" s="286">
        <v>2596</v>
      </c>
      <c r="K541" s="286">
        <v>951</v>
      </c>
      <c r="L541" s="286">
        <v>0</v>
      </c>
      <c r="M541" s="212">
        <v>21271</v>
      </c>
    </row>
    <row r="542" spans="1:13" x14ac:dyDescent="0.25">
      <c r="A542" s="567"/>
      <c r="B542" s="546"/>
      <c r="C542" s="546"/>
      <c r="D542" s="546"/>
      <c r="E542" s="546"/>
      <c r="F542" s="29" t="s">
        <v>2</v>
      </c>
      <c r="G542" s="281">
        <v>0</v>
      </c>
      <c r="H542" s="282">
        <v>30253</v>
      </c>
      <c r="I542" s="282">
        <v>27878</v>
      </c>
      <c r="J542" s="282">
        <v>69947</v>
      </c>
      <c r="K542" s="282">
        <v>15643</v>
      </c>
      <c r="L542" s="282">
        <v>595</v>
      </c>
      <c r="M542" s="210">
        <v>144316</v>
      </c>
    </row>
    <row r="543" spans="1:13" x14ac:dyDescent="0.25">
      <c r="A543" s="567"/>
      <c r="B543" s="546"/>
      <c r="C543" s="546"/>
      <c r="D543" s="546"/>
      <c r="E543" s="546"/>
      <c r="F543" s="29" t="s">
        <v>1</v>
      </c>
      <c r="G543" s="281">
        <v>0</v>
      </c>
      <c r="H543" s="282">
        <v>3263</v>
      </c>
      <c r="I543" s="282">
        <v>17245</v>
      </c>
      <c r="J543" s="282">
        <v>1800</v>
      </c>
      <c r="K543" s="282">
        <v>258</v>
      </c>
      <c r="L543" s="282">
        <v>0</v>
      </c>
      <c r="M543" s="210">
        <v>22566</v>
      </c>
    </row>
    <row r="544" spans="1:13" x14ac:dyDescent="0.25">
      <c r="A544" s="567"/>
      <c r="B544" s="546"/>
      <c r="C544" s="546"/>
      <c r="D544" s="546"/>
      <c r="E544" s="546"/>
      <c r="F544" s="29" t="s">
        <v>0</v>
      </c>
      <c r="G544" s="281">
        <v>0</v>
      </c>
      <c r="H544" s="282">
        <v>26067</v>
      </c>
      <c r="I544" s="282">
        <v>216326</v>
      </c>
      <c r="J544" s="282">
        <v>51580</v>
      </c>
      <c r="K544" s="282">
        <v>361</v>
      </c>
      <c r="L544" s="282">
        <v>1872</v>
      </c>
      <c r="M544" s="210">
        <v>296206</v>
      </c>
    </row>
    <row r="545" spans="1:13" x14ac:dyDescent="0.25">
      <c r="A545" s="567"/>
      <c r="B545" s="547"/>
      <c r="C545" s="547"/>
      <c r="D545" s="547"/>
      <c r="E545" s="549" t="s">
        <v>25</v>
      </c>
      <c r="F545" s="550"/>
      <c r="G545" s="283">
        <v>0</v>
      </c>
      <c r="H545" s="284">
        <v>65623</v>
      </c>
      <c r="I545" s="284">
        <v>273133</v>
      </c>
      <c r="J545" s="284">
        <v>125923</v>
      </c>
      <c r="K545" s="284">
        <v>17213</v>
      </c>
      <c r="L545" s="284">
        <v>2467</v>
      </c>
      <c r="M545" s="211">
        <v>484359</v>
      </c>
    </row>
    <row r="546" spans="1:13" x14ac:dyDescent="0.25">
      <c r="A546" s="567"/>
      <c r="B546" s="545" t="s">
        <v>8</v>
      </c>
      <c r="C546" s="545" t="s">
        <v>7</v>
      </c>
      <c r="D546" s="545" t="s">
        <v>562</v>
      </c>
      <c r="E546" s="548" t="s">
        <v>159</v>
      </c>
      <c r="F546" s="30" t="s">
        <v>3</v>
      </c>
      <c r="G546" s="290">
        <v>0</v>
      </c>
      <c r="H546" s="286">
        <v>56030</v>
      </c>
      <c r="I546" s="286">
        <v>34071</v>
      </c>
      <c r="J546" s="286">
        <v>114485</v>
      </c>
      <c r="K546" s="286">
        <v>137931</v>
      </c>
      <c r="L546" s="286">
        <v>203453</v>
      </c>
      <c r="M546" s="212">
        <v>545970</v>
      </c>
    </row>
    <row r="547" spans="1:13" x14ac:dyDescent="0.25">
      <c r="A547" s="567"/>
      <c r="B547" s="546"/>
      <c r="C547" s="546"/>
      <c r="D547" s="546"/>
      <c r="E547" s="546"/>
      <c r="F547" s="29" t="s">
        <v>2</v>
      </c>
      <c r="G547" s="291">
        <v>0</v>
      </c>
      <c r="H547" s="282">
        <v>78120</v>
      </c>
      <c r="I547" s="282">
        <v>12421</v>
      </c>
      <c r="J547" s="282">
        <v>38723</v>
      </c>
      <c r="K547" s="282">
        <v>89703</v>
      </c>
      <c r="L547" s="282">
        <v>68571</v>
      </c>
      <c r="M547" s="210">
        <v>287538</v>
      </c>
    </row>
    <row r="548" spans="1:13" x14ac:dyDescent="0.25">
      <c r="A548" s="567"/>
      <c r="B548" s="546"/>
      <c r="C548" s="546"/>
      <c r="D548" s="546"/>
      <c r="E548" s="546"/>
      <c r="F548" s="29" t="s">
        <v>1</v>
      </c>
      <c r="G548" s="291">
        <v>613436</v>
      </c>
      <c r="H548" s="282">
        <v>161382</v>
      </c>
      <c r="I548" s="282">
        <v>117157</v>
      </c>
      <c r="J548" s="282">
        <v>30313</v>
      </c>
      <c r="K548" s="282">
        <v>10963</v>
      </c>
      <c r="L548" s="282">
        <v>13300</v>
      </c>
      <c r="M548" s="210">
        <v>946551</v>
      </c>
    </row>
    <row r="549" spans="1:13" x14ac:dyDescent="0.25">
      <c r="A549" s="567"/>
      <c r="B549" s="546"/>
      <c r="C549" s="546"/>
      <c r="D549" s="546"/>
      <c r="E549" s="546"/>
      <c r="F549" s="29" t="s">
        <v>0</v>
      </c>
      <c r="G549" s="291">
        <v>970508</v>
      </c>
      <c r="H549" s="282">
        <v>170540</v>
      </c>
      <c r="I549" s="282">
        <v>92245</v>
      </c>
      <c r="J549" s="282">
        <v>19361</v>
      </c>
      <c r="K549" s="282">
        <v>12810</v>
      </c>
      <c r="L549" s="282">
        <v>7622</v>
      </c>
      <c r="M549" s="210">
        <v>1273086</v>
      </c>
    </row>
    <row r="550" spans="1:13" x14ac:dyDescent="0.25">
      <c r="A550" s="567"/>
      <c r="B550" s="546"/>
      <c r="C550" s="546"/>
      <c r="D550" s="547"/>
      <c r="E550" s="549" t="s">
        <v>25</v>
      </c>
      <c r="F550" s="550"/>
      <c r="G550" s="292">
        <v>1583944</v>
      </c>
      <c r="H550" s="284">
        <v>466072</v>
      </c>
      <c r="I550" s="284">
        <v>255894</v>
      </c>
      <c r="J550" s="284">
        <v>202882</v>
      </c>
      <c r="K550" s="284">
        <v>251407</v>
      </c>
      <c r="L550" s="284">
        <v>292946</v>
      </c>
      <c r="M550" s="211">
        <v>3053145</v>
      </c>
    </row>
    <row r="551" spans="1:13" x14ac:dyDescent="0.25">
      <c r="A551" s="567"/>
      <c r="B551" s="546"/>
      <c r="C551" s="546"/>
      <c r="D551" s="545" t="s">
        <v>563</v>
      </c>
      <c r="E551" s="548" t="s">
        <v>159</v>
      </c>
      <c r="F551" s="30" t="s">
        <v>3</v>
      </c>
      <c r="G551" s="285">
        <v>0</v>
      </c>
      <c r="H551" s="286">
        <v>9296</v>
      </c>
      <c r="I551" s="286">
        <v>8355</v>
      </c>
      <c r="J551" s="286">
        <v>23607</v>
      </c>
      <c r="K551" s="286">
        <v>61751</v>
      </c>
      <c r="L551" s="286">
        <v>52328</v>
      </c>
      <c r="M551" s="212">
        <v>155337</v>
      </c>
    </row>
    <row r="552" spans="1:13" x14ac:dyDescent="0.25">
      <c r="A552" s="567"/>
      <c r="B552" s="546"/>
      <c r="C552" s="546"/>
      <c r="D552" s="546"/>
      <c r="E552" s="546"/>
      <c r="F552" s="29" t="s">
        <v>2</v>
      </c>
      <c r="G552" s="281">
        <v>0</v>
      </c>
      <c r="H552" s="282">
        <v>6867</v>
      </c>
      <c r="I552" s="282">
        <v>1806</v>
      </c>
      <c r="J552" s="282">
        <v>45694</v>
      </c>
      <c r="K552" s="282">
        <v>117774</v>
      </c>
      <c r="L552" s="282">
        <v>75981</v>
      </c>
      <c r="M552" s="210">
        <v>248122</v>
      </c>
    </row>
    <row r="553" spans="1:13" x14ac:dyDescent="0.25">
      <c r="A553" s="567"/>
      <c r="B553" s="546"/>
      <c r="C553" s="546"/>
      <c r="D553" s="546"/>
      <c r="E553" s="546"/>
      <c r="F553" s="29" t="s">
        <v>1</v>
      </c>
      <c r="G553" s="281">
        <v>0</v>
      </c>
      <c r="H553" s="282">
        <v>2751</v>
      </c>
      <c r="I553" s="282">
        <v>31269</v>
      </c>
      <c r="J553" s="282">
        <v>21398</v>
      </c>
      <c r="K553" s="282">
        <v>18747</v>
      </c>
      <c r="L553" s="282">
        <v>9620</v>
      </c>
      <c r="M553" s="210">
        <v>83785</v>
      </c>
    </row>
    <row r="554" spans="1:13" x14ac:dyDescent="0.25">
      <c r="A554" s="567"/>
      <c r="B554" s="546"/>
      <c r="C554" s="546"/>
      <c r="D554" s="546"/>
      <c r="E554" s="546"/>
      <c r="F554" s="29" t="s">
        <v>0</v>
      </c>
      <c r="G554" s="281">
        <v>0</v>
      </c>
      <c r="H554" s="282">
        <v>9253</v>
      </c>
      <c r="I554" s="282">
        <v>85399</v>
      </c>
      <c r="J554" s="282">
        <v>58004</v>
      </c>
      <c r="K554" s="282">
        <v>23118</v>
      </c>
      <c r="L554" s="282">
        <v>9462</v>
      </c>
      <c r="M554" s="210">
        <v>185236</v>
      </c>
    </row>
    <row r="555" spans="1:13" x14ac:dyDescent="0.25">
      <c r="A555" s="567"/>
      <c r="B555" s="546"/>
      <c r="C555" s="546"/>
      <c r="D555" s="547"/>
      <c r="E555" s="549" t="s">
        <v>25</v>
      </c>
      <c r="F555" s="550"/>
      <c r="G555" s="283">
        <v>0</v>
      </c>
      <c r="H555" s="284">
        <v>28167</v>
      </c>
      <c r="I555" s="284">
        <v>126829</v>
      </c>
      <c r="J555" s="284">
        <v>148703</v>
      </c>
      <c r="K555" s="284">
        <v>221390</v>
      </c>
      <c r="L555" s="284">
        <v>147391</v>
      </c>
      <c r="M555" s="211">
        <v>672480</v>
      </c>
    </row>
    <row r="556" spans="1:13" x14ac:dyDescent="0.25">
      <c r="A556" s="567"/>
      <c r="B556" s="546"/>
      <c r="C556" s="546"/>
      <c r="D556" s="545" t="s">
        <v>564</v>
      </c>
      <c r="E556" s="548" t="s">
        <v>159</v>
      </c>
      <c r="F556" s="30" t="s">
        <v>3</v>
      </c>
      <c r="G556" s="290">
        <v>0</v>
      </c>
      <c r="H556" s="286">
        <v>34365</v>
      </c>
      <c r="I556" s="286">
        <v>16283</v>
      </c>
      <c r="J556" s="286">
        <v>16318</v>
      </c>
      <c r="K556" s="286">
        <v>18151</v>
      </c>
      <c r="L556" s="286">
        <v>13610</v>
      </c>
      <c r="M556" s="212">
        <v>98727</v>
      </c>
    </row>
    <row r="557" spans="1:13" x14ac:dyDescent="0.25">
      <c r="A557" s="567"/>
      <c r="B557" s="546"/>
      <c r="C557" s="546"/>
      <c r="D557" s="546"/>
      <c r="E557" s="546"/>
      <c r="F557" s="29" t="s">
        <v>2</v>
      </c>
      <c r="G557" s="291">
        <v>0</v>
      </c>
      <c r="H557" s="282">
        <v>33714</v>
      </c>
      <c r="I557" s="282">
        <v>8046</v>
      </c>
      <c r="J557" s="282">
        <v>32468</v>
      </c>
      <c r="K557" s="282">
        <v>20162</v>
      </c>
      <c r="L557" s="282">
        <v>6361</v>
      </c>
      <c r="M557" s="210">
        <v>100751</v>
      </c>
    </row>
    <row r="558" spans="1:13" x14ac:dyDescent="0.25">
      <c r="A558" s="567"/>
      <c r="B558" s="546"/>
      <c r="C558" s="546"/>
      <c r="D558" s="546"/>
      <c r="E558" s="546"/>
      <c r="F558" s="29" t="s">
        <v>1</v>
      </c>
      <c r="G558" s="291">
        <v>187566</v>
      </c>
      <c r="H558" s="282">
        <v>132061</v>
      </c>
      <c r="I558" s="282">
        <v>97587</v>
      </c>
      <c r="J558" s="282">
        <v>64947</v>
      </c>
      <c r="K558" s="282">
        <v>23404</v>
      </c>
      <c r="L558" s="282">
        <v>1507</v>
      </c>
      <c r="M558" s="210">
        <v>507072</v>
      </c>
    </row>
    <row r="559" spans="1:13" x14ac:dyDescent="0.25">
      <c r="A559" s="567"/>
      <c r="B559" s="546"/>
      <c r="C559" s="546"/>
      <c r="D559" s="546"/>
      <c r="E559" s="546"/>
      <c r="F559" s="29" t="s">
        <v>0</v>
      </c>
      <c r="G559" s="291">
        <v>223274</v>
      </c>
      <c r="H559" s="282">
        <v>199105</v>
      </c>
      <c r="I559" s="282">
        <v>289556</v>
      </c>
      <c r="J559" s="282">
        <v>40688</v>
      </c>
      <c r="K559" s="282">
        <v>8737</v>
      </c>
      <c r="L559" s="282">
        <v>3890</v>
      </c>
      <c r="M559" s="210">
        <v>765250</v>
      </c>
    </row>
    <row r="560" spans="1:13" x14ac:dyDescent="0.25">
      <c r="A560" s="567"/>
      <c r="B560" s="546"/>
      <c r="C560" s="546"/>
      <c r="D560" s="547"/>
      <c r="E560" s="549" t="s">
        <v>25</v>
      </c>
      <c r="F560" s="550"/>
      <c r="G560" s="292">
        <v>410840</v>
      </c>
      <c r="H560" s="284">
        <v>399245</v>
      </c>
      <c r="I560" s="284">
        <v>411472</v>
      </c>
      <c r="J560" s="284">
        <v>154421</v>
      </c>
      <c r="K560" s="284">
        <v>70454</v>
      </c>
      <c r="L560" s="284">
        <v>25368</v>
      </c>
      <c r="M560" s="211">
        <v>1471800</v>
      </c>
    </row>
    <row r="561" spans="1:13" x14ac:dyDescent="0.25">
      <c r="A561" s="567"/>
      <c r="B561" s="546"/>
      <c r="C561" s="546"/>
      <c r="D561" s="545" t="s">
        <v>565</v>
      </c>
      <c r="E561" s="548" t="s">
        <v>159</v>
      </c>
      <c r="F561" s="30" t="s">
        <v>3</v>
      </c>
      <c r="G561" s="290">
        <v>0</v>
      </c>
      <c r="H561" s="286">
        <v>166982</v>
      </c>
      <c r="I561" s="286">
        <v>219712</v>
      </c>
      <c r="J561" s="286">
        <v>330333</v>
      </c>
      <c r="K561" s="286">
        <v>564641</v>
      </c>
      <c r="L561" s="286">
        <v>527618</v>
      </c>
      <c r="M561" s="212">
        <v>1809286</v>
      </c>
    </row>
    <row r="562" spans="1:13" x14ac:dyDescent="0.25">
      <c r="A562" s="567"/>
      <c r="B562" s="546"/>
      <c r="C562" s="546"/>
      <c r="D562" s="546"/>
      <c r="E562" s="546"/>
      <c r="F562" s="29" t="s">
        <v>2</v>
      </c>
      <c r="G562" s="291">
        <v>0</v>
      </c>
      <c r="H562" s="282">
        <v>27313</v>
      </c>
      <c r="I562" s="282">
        <v>27880</v>
      </c>
      <c r="J562" s="282">
        <v>203468</v>
      </c>
      <c r="K562" s="282">
        <v>282472</v>
      </c>
      <c r="L562" s="282">
        <v>85023</v>
      </c>
      <c r="M562" s="210">
        <v>626156</v>
      </c>
    </row>
    <row r="563" spans="1:13" x14ac:dyDescent="0.25">
      <c r="A563" s="567"/>
      <c r="B563" s="546"/>
      <c r="C563" s="546"/>
      <c r="D563" s="546"/>
      <c r="E563" s="546"/>
      <c r="F563" s="29" t="s">
        <v>1</v>
      </c>
      <c r="G563" s="291">
        <v>1243379</v>
      </c>
      <c r="H563" s="282">
        <v>371961</v>
      </c>
      <c r="I563" s="282">
        <v>239913</v>
      </c>
      <c r="J563" s="282">
        <v>151154</v>
      </c>
      <c r="K563" s="282">
        <v>79771</v>
      </c>
      <c r="L563" s="282">
        <v>75211</v>
      </c>
      <c r="M563" s="210">
        <v>2161389</v>
      </c>
    </row>
    <row r="564" spans="1:13" x14ac:dyDescent="0.25">
      <c r="A564" s="567"/>
      <c r="B564" s="546"/>
      <c r="C564" s="546"/>
      <c r="D564" s="546"/>
      <c r="E564" s="546"/>
      <c r="F564" s="29" t="s">
        <v>0</v>
      </c>
      <c r="G564" s="291">
        <v>305397</v>
      </c>
      <c r="H564" s="282">
        <v>155888</v>
      </c>
      <c r="I564" s="282">
        <v>100925</v>
      </c>
      <c r="J564" s="282">
        <v>71221</v>
      </c>
      <c r="K564" s="282">
        <v>28887</v>
      </c>
      <c r="L564" s="282">
        <v>6543</v>
      </c>
      <c r="M564" s="210">
        <v>668861</v>
      </c>
    </row>
    <row r="565" spans="1:13" x14ac:dyDescent="0.25">
      <c r="A565" s="567"/>
      <c r="B565" s="546"/>
      <c r="C565" s="546"/>
      <c r="D565" s="547"/>
      <c r="E565" s="549" t="s">
        <v>25</v>
      </c>
      <c r="F565" s="550"/>
      <c r="G565" s="292">
        <v>1548776</v>
      </c>
      <c r="H565" s="284">
        <v>722144</v>
      </c>
      <c r="I565" s="284">
        <v>588430</v>
      </c>
      <c r="J565" s="284">
        <v>756176</v>
      </c>
      <c r="K565" s="284">
        <v>955771</v>
      </c>
      <c r="L565" s="284">
        <v>694395</v>
      </c>
      <c r="M565" s="211">
        <v>5265692</v>
      </c>
    </row>
    <row r="566" spans="1:13" x14ac:dyDescent="0.25">
      <c r="A566" s="567"/>
      <c r="B566" s="546"/>
      <c r="C566" s="546"/>
      <c r="D566" s="545" t="s">
        <v>566</v>
      </c>
      <c r="E566" s="548" t="s">
        <v>159</v>
      </c>
      <c r="F566" s="30" t="s">
        <v>3</v>
      </c>
      <c r="G566" s="285">
        <v>0</v>
      </c>
      <c r="H566" s="286">
        <v>2084</v>
      </c>
      <c r="I566" s="286">
        <v>231</v>
      </c>
      <c r="J566" s="286">
        <v>7294</v>
      </c>
      <c r="K566" s="286">
        <v>22235</v>
      </c>
      <c r="L566" s="286">
        <v>11466</v>
      </c>
      <c r="M566" s="212">
        <v>43310</v>
      </c>
    </row>
    <row r="567" spans="1:13" x14ac:dyDescent="0.25">
      <c r="A567" s="567"/>
      <c r="B567" s="546"/>
      <c r="C567" s="546"/>
      <c r="D567" s="546"/>
      <c r="E567" s="546"/>
      <c r="F567" s="29" t="s">
        <v>2</v>
      </c>
      <c r="G567" s="281">
        <v>0</v>
      </c>
      <c r="H567" s="282">
        <v>0</v>
      </c>
      <c r="I567" s="282">
        <v>0</v>
      </c>
      <c r="J567" s="282">
        <v>10466</v>
      </c>
      <c r="K567" s="282">
        <v>21254</v>
      </c>
      <c r="L567" s="282">
        <v>8242</v>
      </c>
      <c r="M567" s="210">
        <v>39962</v>
      </c>
    </row>
    <row r="568" spans="1:13" x14ac:dyDescent="0.25">
      <c r="A568" s="567"/>
      <c r="B568" s="546"/>
      <c r="C568" s="546"/>
      <c r="D568" s="546"/>
      <c r="E568" s="546"/>
      <c r="F568" s="29" t="s">
        <v>1</v>
      </c>
      <c r="G568" s="281">
        <v>0</v>
      </c>
      <c r="H568" s="282">
        <v>0</v>
      </c>
      <c r="I568" s="282">
        <v>19345</v>
      </c>
      <c r="J568" s="282">
        <v>1731</v>
      </c>
      <c r="K568" s="282">
        <v>1998</v>
      </c>
      <c r="L568" s="282">
        <v>1201</v>
      </c>
      <c r="M568" s="210">
        <v>24275</v>
      </c>
    </row>
    <row r="569" spans="1:13" x14ac:dyDescent="0.25">
      <c r="A569" s="567"/>
      <c r="B569" s="546"/>
      <c r="C569" s="546"/>
      <c r="D569" s="546"/>
      <c r="E569" s="546"/>
      <c r="F569" s="29" t="s">
        <v>0</v>
      </c>
      <c r="G569" s="281">
        <v>0</v>
      </c>
      <c r="H569" s="282">
        <v>0</v>
      </c>
      <c r="I569" s="282">
        <v>2060</v>
      </c>
      <c r="J569" s="282">
        <v>405</v>
      </c>
      <c r="K569" s="282">
        <v>308</v>
      </c>
      <c r="L569" s="282">
        <v>0</v>
      </c>
      <c r="M569" s="210">
        <v>2773</v>
      </c>
    </row>
    <row r="570" spans="1:13" x14ac:dyDescent="0.25">
      <c r="A570" s="567"/>
      <c r="B570" s="546"/>
      <c r="C570" s="546"/>
      <c r="D570" s="547"/>
      <c r="E570" s="549" t="s">
        <v>25</v>
      </c>
      <c r="F570" s="550"/>
      <c r="G570" s="283">
        <v>0</v>
      </c>
      <c r="H570" s="284">
        <v>2084</v>
      </c>
      <c r="I570" s="284">
        <v>21636</v>
      </c>
      <c r="J570" s="284">
        <v>19896</v>
      </c>
      <c r="K570" s="284">
        <v>45795</v>
      </c>
      <c r="L570" s="284">
        <v>20909</v>
      </c>
      <c r="M570" s="211">
        <v>110320</v>
      </c>
    </row>
    <row r="571" spans="1:13" x14ac:dyDescent="0.25">
      <c r="A571" s="567"/>
      <c r="B571" s="546"/>
      <c r="C571" s="546"/>
      <c r="D571" s="545" t="s">
        <v>567</v>
      </c>
      <c r="E571" s="548" t="s">
        <v>159</v>
      </c>
      <c r="F571" s="30" t="s">
        <v>3</v>
      </c>
      <c r="G571" s="290">
        <v>0</v>
      </c>
      <c r="H571" s="286">
        <v>3601</v>
      </c>
      <c r="I571" s="286">
        <v>2535</v>
      </c>
      <c r="J571" s="286">
        <v>531</v>
      </c>
      <c r="K571" s="286">
        <v>138</v>
      </c>
      <c r="L571" s="286">
        <v>0</v>
      </c>
      <c r="M571" s="212">
        <v>6805</v>
      </c>
    </row>
    <row r="572" spans="1:13" x14ac:dyDescent="0.25">
      <c r="A572" s="567"/>
      <c r="B572" s="546"/>
      <c r="C572" s="546"/>
      <c r="D572" s="546"/>
      <c r="E572" s="546"/>
      <c r="F572" s="29" t="s">
        <v>2</v>
      </c>
      <c r="G572" s="291">
        <v>0</v>
      </c>
      <c r="H572" s="282">
        <v>0</v>
      </c>
      <c r="I572" s="282">
        <v>5141</v>
      </c>
      <c r="J572" s="282">
        <v>380</v>
      </c>
      <c r="K572" s="282">
        <v>0</v>
      </c>
      <c r="L572" s="282">
        <v>0</v>
      </c>
      <c r="M572" s="210">
        <v>5521</v>
      </c>
    </row>
    <row r="573" spans="1:13" x14ac:dyDescent="0.25">
      <c r="A573" s="567"/>
      <c r="B573" s="546"/>
      <c r="C573" s="546"/>
      <c r="D573" s="546"/>
      <c r="E573" s="546"/>
      <c r="F573" s="29" t="s">
        <v>1</v>
      </c>
      <c r="G573" s="291">
        <v>3204</v>
      </c>
      <c r="H573" s="282">
        <v>0</v>
      </c>
      <c r="I573" s="282">
        <v>12635</v>
      </c>
      <c r="J573" s="282">
        <v>0</v>
      </c>
      <c r="K573" s="282">
        <v>1216</v>
      </c>
      <c r="L573" s="282">
        <v>2897</v>
      </c>
      <c r="M573" s="210">
        <v>19952</v>
      </c>
    </row>
    <row r="574" spans="1:13" x14ac:dyDescent="0.25">
      <c r="A574" s="567"/>
      <c r="B574" s="546"/>
      <c r="C574" s="546"/>
      <c r="D574" s="546"/>
      <c r="E574" s="546"/>
      <c r="F574" s="29" t="s">
        <v>0</v>
      </c>
      <c r="G574" s="291">
        <v>16923</v>
      </c>
      <c r="H574" s="282">
        <v>7058</v>
      </c>
      <c r="I574" s="282">
        <v>2450</v>
      </c>
      <c r="J574" s="282">
        <v>1667</v>
      </c>
      <c r="K574" s="282">
        <v>0</v>
      </c>
      <c r="L574" s="282">
        <v>0</v>
      </c>
      <c r="M574" s="210">
        <v>28098</v>
      </c>
    </row>
    <row r="575" spans="1:13" x14ac:dyDescent="0.25">
      <c r="A575" s="567"/>
      <c r="B575" s="546"/>
      <c r="C575" s="546"/>
      <c r="D575" s="547"/>
      <c r="E575" s="549" t="s">
        <v>25</v>
      </c>
      <c r="F575" s="550"/>
      <c r="G575" s="292">
        <v>20127</v>
      </c>
      <c r="H575" s="284">
        <v>10659</v>
      </c>
      <c r="I575" s="284">
        <v>22761</v>
      </c>
      <c r="J575" s="284">
        <v>2578</v>
      </c>
      <c r="K575" s="284">
        <v>1354</v>
      </c>
      <c r="L575" s="284">
        <v>2897</v>
      </c>
      <c r="M575" s="211">
        <v>60376</v>
      </c>
    </row>
    <row r="576" spans="1:13" x14ac:dyDescent="0.25">
      <c r="A576" s="567"/>
      <c r="B576" s="546"/>
      <c r="C576" s="546"/>
      <c r="D576" s="545" t="s">
        <v>568</v>
      </c>
      <c r="E576" s="548" t="s">
        <v>159</v>
      </c>
      <c r="F576" s="30" t="s">
        <v>3</v>
      </c>
      <c r="G576" s="290">
        <v>0</v>
      </c>
      <c r="H576" s="286">
        <v>7253</v>
      </c>
      <c r="I576" s="286">
        <v>342</v>
      </c>
      <c r="J576" s="286">
        <v>236</v>
      </c>
      <c r="K576" s="286">
        <v>4397</v>
      </c>
      <c r="L576" s="286">
        <v>9809</v>
      </c>
      <c r="M576" s="212">
        <v>22037</v>
      </c>
    </row>
    <row r="577" spans="1:13" x14ac:dyDescent="0.25">
      <c r="A577" s="567"/>
      <c r="B577" s="546"/>
      <c r="C577" s="546"/>
      <c r="D577" s="546"/>
      <c r="E577" s="546"/>
      <c r="F577" s="29" t="s">
        <v>2</v>
      </c>
      <c r="G577" s="291">
        <v>0</v>
      </c>
      <c r="H577" s="282">
        <v>1475</v>
      </c>
      <c r="I577" s="282">
        <v>0</v>
      </c>
      <c r="J577" s="282">
        <v>0</v>
      </c>
      <c r="K577" s="282">
        <v>976</v>
      </c>
      <c r="L577" s="282">
        <v>2675</v>
      </c>
      <c r="M577" s="210">
        <v>5126</v>
      </c>
    </row>
    <row r="578" spans="1:13" x14ac:dyDescent="0.25">
      <c r="A578" s="567"/>
      <c r="B578" s="546"/>
      <c r="C578" s="546"/>
      <c r="D578" s="546"/>
      <c r="E578" s="546"/>
      <c r="F578" s="29" t="s">
        <v>1</v>
      </c>
      <c r="G578" s="291">
        <v>10029</v>
      </c>
      <c r="H578" s="282">
        <v>3816</v>
      </c>
      <c r="I578" s="282">
        <v>0</v>
      </c>
      <c r="J578" s="282">
        <v>0</v>
      </c>
      <c r="K578" s="282">
        <v>0</v>
      </c>
      <c r="L578" s="282">
        <v>0</v>
      </c>
      <c r="M578" s="210">
        <v>13845</v>
      </c>
    </row>
    <row r="579" spans="1:13" x14ac:dyDescent="0.25">
      <c r="A579" s="567"/>
      <c r="B579" s="546"/>
      <c r="C579" s="546"/>
      <c r="D579" s="546"/>
      <c r="E579" s="546"/>
      <c r="F579" s="29" t="s">
        <v>0</v>
      </c>
      <c r="G579" s="291">
        <v>55586</v>
      </c>
      <c r="H579" s="282">
        <v>13909</v>
      </c>
      <c r="I579" s="282">
        <v>49</v>
      </c>
      <c r="J579" s="282">
        <v>0</v>
      </c>
      <c r="K579" s="282">
        <v>0</v>
      </c>
      <c r="L579" s="282">
        <v>0</v>
      </c>
      <c r="M579" s="210">
        <v>69544</v>
      </c>
    </row>
    <row r="580" spans="1:13" x14ac:dyDescent="0.25">
      <c r="A580" s="567"/>
      <c r="B580" s="546"/>
      <c r="C580" s="546"/>
      <c r="D580" s="547"/>
      <c r="E580" s="549" t="s">
        <v>25</v>
      </c>
      <c r="F580" s="550"/>
      <c r="G580" s="292">
        <v>65615</v>
      </c>
      <c r="H580" s="284">
        <v>26453</v>
      </c>
      <c r="I580" s="284">
        <v>391</v>
      </c>
      <c r="J580" s="284">
        <v>236</v>
      </c>
      <c r="K580" s="284">
        <v>5373</v>
      </c>
      <c r="L580" s="284">
        <v>12484</v>
      </c>
      <c r="M580" s="211">
        <v>110552</v>
      </c>
    </row>
    <row r="581" spans="1:13" x14ac:dyDescent="0.25">
      <c r="A581" s="567"/>
      <c r="B581" s="546"/>
      <c r="C581" s="546"/>
      <c r="D581" s="545" t="s">
        <v>569</v>
      </c>
      <c r="E581" s="548" t="s">
        <v>159</v>
      </c>
      <c r="F581" s="30" t="s">
        <v>3</v>
      </c>
      <c r="G581" s="285">
        <v>0</v>
      </c>
      <c r="H581" s="286">
        <v>132</v>
      </c>
      <c r="I581" s="286">
        <v>1201</v>
      </c>
      <c r="J581" s="286">
        <v>3026</v>
      </c>
      <c r="K581" s="286">
        <v>5328</v>
      </c>
      <c r="L581" s="286">
        <v>2246</v>
      </c>
      <c r="M581" s="212">
        <v>11933</v>
      </c>
    </row>
    <row r="582" spans="1:13" x14ac:dyDescent="0.25">
      <c r="A582" s="567"/>
      <c r="B582" s="546"/>
      <c r="C582" s="546"/>
      <c r="D582" s="546"/>
      <c r="E582" s="546"/>
      <c r="F582" s="29" t="s">
        <v>2</v>
      </c>
      <c r="G582" s="281">
        <v>0</v>
      </c>
      <c r="H582" s="282">
        <v>366</v>
      </c>
      <c r="I582" s="282">
        <v>2422</v>
      </c>
      <c r="J582" s="282">
        <v>2133</v>
      </c>
      <c r="K582" s="282">
        <v>12753</v>
      </c>
      <c r="L582" s="282">
        <v>6654</v>
      </c>
      <c r="M582" s="210">
        <v>24328</v>
      </c>
    </row>
    <row r="583" spans="1:13" x14ac:dyDescent="0.25">
      <c r="A583" s="567"/>
      <c r="B583" s="546"/>
      <c r="C583" s="546"/>
      <c r="D583" s="546"/>
      <c r="E583" s="546"/>
      <c r="F583" s="29" t="s">
        <v>1</v>
      </c>
      <c r="G583" s="281">
        <v>0</v>
      </c>
      <c r="H583" s="282">
        <v>0</v>
      </c>
      <c r="I583" s="282">
        <v>614</v>
      </c>
      <c r="J583" s="282">
        <v>0</v>
      </c>
      <c r="K583" s="282">
        <v>561</v>
      </c>
      <c r="L583" s="282">
        <v>0</v>
      </c>
      <c r="M583" s="210">
        <v>1175</v>
      </c>
    </row>
    <row r="584" spans="1:13" x14ac:dyDescent="0.25">
      <c r="A584" s="567"/>
      <c r="B584" s="546"/>
      <c r="C584" s="546"/>
      <c r="D584" s="546"/>
      <c r="E584" s="546"/>
      <c r="F584" s="29" t="s">
        <v>0</v>
      </c>
      <c r="G584" s="281">
        <v>0</v>
      </c>
      <c r="H584" s="282">
        <v>0</v>
      </c>
      <c r="I584" s="282">
        <v>8033</v>
      </c>
      <c r="J584" s="282">
        <v>7146</v>
      </c>
      <c r="K584" s="282">
        <v>340</v>
      </c>
      <c r="L584" s="282">
        <v>0</v>
      </c>
      <c r="M584" s="210">
        <v>15519</v>
      </c>
    </row>
    <row r="585" spans="1:13" x14ac:dyDescent="0.25">
      <c r="A585" s="567"/>
      <c r="B585" s="546"/>
      <c r="C585" s="546"/>
      <c r="D585" s="547"/>
      <c r="E585" s="549" t="s">
        <v>25</v>
      </c>
      <c r="F585" s="550"/>
      <c r="G585" s="283">
        <v>0</v>
      </c>
      <c r="H585" s="284">
        <v>498</v>
      </c>
      <c r="I585" s="284">
        <v>12270</v>
      </c>
      <c r="J585" s="284">
        <v>12305</v>
      </c>
      <c r="K585" s="284">
        <v>18982</v>
      </c>
      <c r="L585" s="284">
        <v>8900</v>
      </c>
      <c r="M585" s="211">
        <v>52955</v>
      </c>
    </row>
    <row r="586" spans="1:13" x14ac:dyDescent="0.25">
      <c r="A586" s="567"/>
      <c r="B586" s="546"/>
      <c r="C586" s="546"/>
      <c r="D586" s="545" t="s">
        <v>570</v>
      </c>
      <c r="E586" s="548" t="s">
        <v>159</v>
      </c>
      <c r="F586" s="30" t="s">
        <v>3</v>
      </c>
      <c r="G586" s="290">
        <v>0</v>
      </c>
      <c r="H586" s="286">
        <v>59712</v>
      </c>
      <c r="I586" s="286">
        <v>55346</v>
      </c>
      <c r="J586" s="286">
        <v>867</v>
      </c>
      <c r="K586" s="286">
        <v>2204</v>
      </c>
      <c r="L586" s="286">
        <v>1618</v>
      </c>
      <c r="M586" s="212">
        <v>119747</v>
      </c>
    </row>
    <row r="587" spans="1:13" x14ac:dyDescent="0.25">
      <c r="A587" s="567"/>
      <c r="B587" s="546"/>
      <c r="C587" s="546"/>
      <c r="D587" s="546"/>
      <c r="E587" s="546"/>
      <c r="F587" s="29" t="s">
        <v>2</v>
      </c>
      <c r="G587" s="291">
        <v>0</v>
      </c>
      <c r="H587" s="282">
        <v>5649</v>
      </c>
      <c r="I587" s="282">
        <v>2426</v>
      </c>
      <c r="J587" s="282">
        <v>452</v>
      </c>
      <c r="K587" s="282">
        <v>4024</v>
      </c>
      <c r="L587" s="282">
        <v>3236</v>
      </c>
      <c r="M587" s="210">
        <v>15787</v>
      </c>
    </row>
    <row r="588" spans="1:13" x14ac:dyDescent="0.25">
      <c r="A588" s="567"/>
      <c r="B588" s="546"/>
      <c r="C588" s="546"/>
      <c r="D588" s="546"/>
      <c r="E588" s="546"/>
      <c r="F588" s="29" t="s">
        <v>1</v>
      </c>
      <c r="G588" s="291">
        <v>9045</v>
      </c>
      <c r="H588" s="282">
        <v>2819</v>
      </c>
      <c r="I588" s="282">
        <v>3860</v>
      </c>
      <c r="J588" s="282">
        <v>11082</v>
      </c>
      <c r="K588" s="282">
        <v>42</v>
      </c>
      <c r="L588" s="282">
        <v>0</v>
      </c>
      <c r="M588" s="210">
        <v>26848</v>
      </c>
    </row>
    <row r="589" spans="1:13" x14ac:dyDescent="0.25">
      <c r="A589" s="567"/>
      <c r="B589" s="546"/>
      <c r="C589" s="546"/>
      <c r="D589" s="546"/>
      <c r="E589" s="546"/>
      <c r="F589" s="29" t="s">
        <v>0</v>
      </c>
      <c r="G589" s="291">
        <v>8316</v>
      </c>
      <c r="H589" s="282">
        <v>8254</v>
      </c>
      <c r="I589" s="282">
        <v>9484</v>
      </c>
      <c r="J589" s="282">
        <v>7019</v>
      </c>
      <c r="K589" s="282">
        <v>6832</v>
      </c>
      <c r="L589" s="282">
        <v>3620</v>
      </c>
      <c r="M589" s="210">
        <v>43525</v>
      </c>
    </row>
    <row r="590" spans="1:13" x14ac:dyDescent="0.25">
      <c r="A590" s="567"/>
      <c r="B590" s="546"/>
      <c r="C590" s="546"/>
      <c r="D590" s="547"/>
      <c r="E590" s="549" t="s">
        <v>25</v>
      </c>
      <c r="F590" s="550"/>
      <c r="G590" s="292">
        <v>17361</v>
      </c>
      <c r="H590" s="284">
        <v>76434</v>
      </c>
      <c r="I590" s="284">
        <v>71116</v>
      </c>
      <c r="J590" s="284">
        <v>19420</v>
      </c>
      <c r="K590" s="284">
        <v>13102</v>
      </c>
      <c r="L590" s="284">
        <v>8474</v>
      </c>
      <c r="M590" s="211">
        <v>205907</v>
      </c>
    </row>
    <row r="591" spans="1:13" x14ac:dyDescent="0.25">
      <c r="A591" s="567"/>
      <c r="B591" s="546"/>
      <c r="C591" s="546"/>
      <c r="D591" s="545" t="s">
        <v>571</v>
      </c>
      <c r="E591" s="548" t="s">
        <v>159</v>
      </c>
      <c r="F591" s="30" t="s">
        <v>3</v>
      </c>
      <c r="G591" s="290">
        <v>0</v>
      </c>
      <c r="H591" s="286">
        <v>319862</v>
      </c>
      <c r="I591" s="286">
        <v>290337</v>
      </c>
      <c r="J591" s="286">
        <v>728726</v>
      </c>
      <c r="K591" s="286">
        <v>1289512</v>
      </c>
      <c r="L591" s="286">
        <v>2012799</v>
      </c>
      <c r="M591" s="212">
        <v>4641236</v>
      </c>
    </row>
    <row r="592" spans="1:13" x14ac:dyDescent="0.25">
      <c r="A592" s="567"/>
      <c r="B592" s="546"/>
      <c r="C592" s="546"/>
      <c r="D592" s="546"/>
      <c r="E592" s="546"/>
      <c r="F592" s="29" t="s">
        <v>2</v>
      </c>
      <c r="G592" s="291">
        <v>0</v>
      </c>
      <c r="H592" s="282">
        <v>196748</v>
      </c>
      <c r="I592" s="282">
        <v>222932</v>
      </c>
      <c r="J592" s="282">
        <v>390230</v>
      </c>
      <c r="K592" s="282">
        <v>1109860</v>
      </c>
      <c r="L592" s="282">
        <v>920594</v>
      </c>
      <c r="M592" s="210">
        <v>2840364</v>
      </c>
    </row>
    <row r="593" spans="1:13" x14ac:dyDescent="0.25">
      <c r="A593" s="567"/>
      <c r="B593" s="546"/>
      <c r="C593" s="546"/>
      <c r="D593" s="546"/>
      <c r="E593" s="546"/>
      <c r="F593" s="29" t="s">
        <v>1</v>
      </c>
      <c r="G593" s="291">
        <v>1251112</v>
      </c>
      <c r="H593" s="282">
        <v>421298</v>
      </c>
      <c r="I593" s="282">
        <v>184700</v>
      </c>
      <c r="J593" s="282">
        <v>140924</v>
      </c>
      <c r="K593" s="282">
        <v>98414</v>
      </c>
      <c r="L593" s="282">
        <v>11250</v>
      </c>
      <c r="M593" s="210">
        <v>2107698</v>
      </c>
    </row>
    <row r="594" spans="1:13" x14ac:dyDescent="0.25">
      <c r="A594" s="567"/>
      <c r="B594" s="546"/>
      <c r="C594" s="546"/>
      <c r="D594" s="546"/>
      <c r="E594" s="546"/>
      <c r="F594" s="29" t="s">
        <v>0</v>
      </c>
      <c r="G594" s="291">
        <v>932287</v>
      </c>
      <c r="H594" s="282">
        <v>426031</v>
      </c>
      <c r="I594" s="282">
        <v>383024</v>
      </c>
      <c r="J594" s="282">
        <v>95341</v>
      </c>
      <c r="K594" s="282">
        <v>57881</v>
      </c>
      <c r="L594" s="282">
        <v>12969</v>
      </c>
      <c r="M594" s="210">
        <v>1907533</v>
      </c>
    </row>
    <row r="595" spans="1:13" x14ac:dyDescent="0.25">
      <c r="A595" s="567"/>
      <c r="B595" s="546"/>
      <c r="C595" s="546"/>
      <c r="D595" s="547"/>
      <c r="E595" s="549" t="s">
        <v>25</v>
      </c>
      <c r="F595" s="550"/>
      <c r="G595" s="292">
        <v>2183399</v>
      </c>
      <c r="H595" s="284">
        <v>1363939</v>
      </c>
      <c r="I595" s="284">
        <v>1080993</v>
      </c>
      <c r="J595" s="284">
        <v>1355221</v>
      </c>
      <c r="K595" s="284">
        <v>2555667</v>
      </c>
      <c r="L595" s="284">
        <v>2957612</v>
      </c>
      <c r="M595" s="211">
        <v>11496831</v>
      </c>
    </row>
    <row r="596" spans="1:13" x14ac:dyDescent="0.25">
      <c r="A596" s="567"/>
      <c r="B596" s="546"/>
      <c r="C596" s="546"/>
      <c r="D596" s="545" t="s">
        <v>572</v>
      </c>
      <c r="E596" s="548" t="s">
        <v>159</v>
      </c>
      <c r="F596" s="30" t="s">
        <v>3</v>
      </c>
      <c r="G596" s="285">
        <v>0</v>
      </c>
      <c r="H596" s="286">
        <v>588</v>
      </c>
      <c r="I596" s="286">
        <v>837</v>
      </c>
      <c r="J596" s="286">
        <v>8226</v>
      </c>
      <c r="K596" s="286">
        <v>42290</v>
      </c>
      <c r="L596" s="286">
        <v>71400</v>
      </c>
      <c r="M596" s="212">
        <v>123341</v>
      </c>
    </row>
    <row r="597" spans="1:13" x14ac:dyDescent="0.25">
      <c r="A597" s="567"/>
      <c r="B597" s="546"/>
      <c r="C597" s="546"/>
      <c r="D597" s="546"/>
      <c r="E597" s="546"/>
      <c r="F597" s="29" t="s">
        <v>2</v>
      </c>
      <c r="G597" s="281">
        <v>0</v>
      </c>
      <c r="H597" s="282">
        <v>1345</v>
      </c>
      <c r="I597" s="282">
        <v>2324</v>
      </c>
      <c r="J597" s="282">
        <v>11163</v>
      </c>
      <c r="K597" s="282">
        <v>43029</v>
      </c>
      <c r="L597" s="282">
        <v>92323</v>
      </c>
      <c r="M597" s="210">
        <v>150184</v>
      </c>
    </row>
    <row r="598" spans="1:13" x14ac:dyDescent="0.25">
      <c r="A598" s="567"/>
      <c r="B598" s="546"/>
      <c r="C598" s="546"/>
      <c r="D598" s="546"/>
      <c r="E598" s="546"/>
      <c r="F598" s="29" t="s">
        <v>1</v>
      </c>
      <c r="G598" s="281">
        <v>0</v>
      </c>
      <c r="H598" s="282">
        <v>0</v>
      </c>
      <c r="I598" s="282">
        <v>8478</v>
      </c>
      <c r="J598" s="282">
        <v>2694</v>
      </c>
      <c r="K598" s="282">
        <v>6685</v>
      </c>
      <c r="L598" s="282">
        <v>207</v>
      </c>
      <c r="M598" s="210">
        <v>18064</v>
      </c>
    </row>
    <row r="599" spans="1:13" x14ac:dyDescent="0.25">
      <c r="A599" s="567"/>
      <c r="B599" s="546"/>
      <c r="C599" s="546"/>
      <c r="D599" s="546"/>
      <c r="E599" s="546"/>
      <c r="F599" s="29" t="s">
        <v>0</v>
      </c>
      <c r="G599" s="281">
        <v>0</v>
      </c>
      <c r="H599" s="282">
        <v>2210</v>
      </c>
      <c r="I599" s="282">
        <v>780</v>
      </c>
      <c r="J599" s="282">
        <v>8616</v>
      </c>
      <c r="K599" s="282">
        <v>4014</v>
      </c>
      <c r="L599" s="282">
        <v>121</v>
      </c>
      <c r="M599" s="210">
        <v>15741</v>
      </c>
    </row>
    <row r="600" spans="1:13" x14ac:dyDescent="0.25">
      <c r="A600" s="567"/>
      <c r="B600" s="546"/>
      <c r="C600" s="546"/>
      <c r="D600" s="547"/>
      <c r="E600" s="549" t="s">
        <v>25</v>
      </c>
      <c r="F600" s="550"/>
      <c r="G600" s="283">
        <v>0</v>
      </c>
      <c r="H600" s="284">
        <v>4143</v>
      </c>
      <c r="I600" s="284">
        <v>12419</v>
      </c>
      <c r="J600" s="284">
        <v>30699</v>
      </c>
      <c r="K600" s="284">
        <v>96018</v>
      </c>
      <c r="L600" s="284">
        <v>164051</v>
      </c>
      <c r="M600" s="211">
        <v>307330</v>
      </c>
    </row>
    <row r="601" spans="1:13" x14ac:dyDescent="0.25">
      <c r="A601" s="567"/>
      <c r="B601" s="546"/>
      <c r="C601" s="546"/>
      <c r="D601" s="545" t="s">
        <v>573</v>
      </c>
      <c r="E601" s="548" t="s">
        <v>159</v>
      </c>
      <c r="F601" s="30" t="s">
        <v>3</v>
      </c>
      <c r="G601" s="290">
        <v>0</v>
      </c>
      <c r="H601" s="286">
        <v>6460</v>
      </c>
      <c r="I601" s="286">
        <v>8745</v>
      </c>
      <c r="J601" s="286">
        <v>1913</v>
      </c>
      <c r="K601" s="286">
        <v>5465</v>
      </c>
      <c r="L601" s="286">
        <v>1652</v>
      </c>
      <c r="M601" s="212">
        <v>24235</v>
      </c>
    </row>
    <row r="602" spans="1:13" x14ac:dyDescent="0.25">
      <c r="A602" s="567"/>
      <c r="B602" s="546"/>
      <c r="C602" s="546"/>
      <c r="D602" s="546"/>
      <c r="E602" s="546"/>
      <c r="F602" s="29" t="s">
        <v>2</v>
      </c>
      <c r="G602" s="291">
        <v>0</v>
      </c>
      <c r="H602" s="282">
        <v>14035</v>
      </c>
      <c r="I602" s="282">
        <v>2397</v>
      </c>
      <c r="J602" s="282">
        <v>3727</v>
      </c>
      <c r="K602" s="282">
        <v>3399</v>
      </c>
      <c r="L602" s="282">
        <v>1441</v>
      </c>
      <c r="M602" s="210">
        <v>24999</v>
      </c>
    </row>
    <row r="603" spans="1:13" x14ac:dyDescent="0.25">
      <c r="A603" s="567"/>
      <c r="B603" s="546"/>
      <c r="C603" s="546"/>
      <c r="D603" s="546"/>
      <c r="E603" s="546"/>
      <c r="F603" s="29" t="s">
        <v>1</v>
      </c>
      <c r="G603" s="291">
        <v>10116</v>
      </c>
      <c r="H603" s="282">
        <v>12470</v>
      </c>
      <c r="I603" s="282">
        <v>4076</v>
      </c>
      <c r="J603" s="282">
        <v>3420</v>
      </c>
      <c r="K603" s="282">
        <v>621</v>
      </c>
      <c r="L603" s="282">
        <v>613</v>
      </c>
      <c r="M603" s="210">
        <v>31316</v>
      </c>
    </row>
    <row r="604" spans="1:13" x14ac:dyDescent="0.25">
      <c r="A604" s="567"/>
      <c r="B604" s="546"/>
      <c r="C604" s="546"/>
      <c r="D604" s="546"/>
      <c r="E604" s="546"/>
      <c r="F604" s="29" t="s">
        <v>0</v>
      </c>
      <c r="G604" s="291">
        <v>1532</v>
      </c>
      <c r="H604" s="282">
        <v>64353</v>
      </c>
      <c r="I604" s="282">
        <v>35007</v>
      </c>
      <c r="J604" s="282">
        <v>1781</v>
      </c>
      <c r="K604" s="282">
        <v>1781</v>
      </c>
      <c r="L604" s="282">
        <v>0</v>
      </c>
      <c r="M604" s="210">
        <v>104454</v>
      </c>
    </row>
    <row r="605" spans="1:13" x14ac:dyDescent="0.25">
      <c r="A605" s="567"/>
      <c r="B605" s="546"/>
      <c r="C605" s="547"/>
      <c r="D605" s="547"/>
      <c r="E605" s="549" t="s">
        <v>25</v>
      </c>
      <c r="F605" s="550"/>
      <c r="G605" s="292">
        <v>11648</v>
      </c>
      <c r="H605" s="284">
        <v>97318</v>
      </c>
      <c r="I605" s="284">
        <v>50225</v>
      </c>
      <c r="J605" s="284">
        <v>10841</v>
      </c>
      <c r="K605" s="284">
        <v>11266</v>
      </c>
      <c r="L605" s="284">
        <v>3706</v>
      </c>
      <c r="M605" s="211">
        <v>185004</v>
      </c>
    </row>
    <row r="606" spans="1:13" x14ac:dyDescent="0.25">
      <c r="A606" s="567"/>
      <c r="B606" s="546"/>
      <c r="C606" s="545" t="s">
        <v>6</v>
      </c>
      <c r="D606" s="545" t="s">
        <v>562</v>
      </c>
      <c r="E606" s="548" t="s">
        <v>159</v>
      </c>
      <c r="F606" s="30" t="s">
        <v>3</v>
      </c>
      <c r="G606" s="290">
        <v>0</v>
      </c>
      <c r="H606" s="286">
        <v>78753</v>
      </c>
      <c r="I606" s="286">
        <v>32785</v>
      </c>
      <c r="J606" s="286">
        <v>32251</v>
      </c>
      <c r="K606" s="286">
        <v>90407</v>
      </c>
      <c r="L606" s="286">
        <v>89855</v>
      </c>
      <c r="M606" s="212">
        <v>324051</v>
      </c>
    </row>
    <row r="607" spans="1:13" x14ac:dyDescent="0.25">
      <c r="A607" s="567"/>
      <c r="B607" s="546"/>
      <c r="C607" s="546"/>
      <c r="D607" s="546"/>
      <c r="E607" s="546"/>
      <c r="F607" s="29" t="s">
        <v>2</v>
      </c>
      <c r="G607" s="291">
        <v>0</v>
      </c>
      <c r="H607" s="282">
        <v>94566</v>
      </c>
      <c r="I607" s="282">
        <v>51596</v>
      </c>
      <c r="J607" s="282">
        <v>112957</v>
      </c>
      <c r="K607" s="282">
        <v>140023</v>
      </c>
      <c r="L607" s="282">
        <v>73004</v>
      </c>
      <c r="M607" s="210">
        <v>472146</v>
      </c>
    </row>
    <row r="608" spans="1:13" x14ac:dyDescent="0.25">
      <c r="A608" s="567"/>
      <c r="B608" s="546"/>
      <c r="C608" s="546"/>
      <c r="D608" s="546"/>
      <c r="E608" s="546"/>
      <c r="F608" s="29" t="s">
        <v>1</v>
      </c>
      <c r="G608" s="291">
        <v>419509</v>
      </c>
      <c r="H608" s="282">
        <v>109981</v>
      </c>
      <c r="I608" s="282">
        <v>51901</v>
      </c>
      <c r="J608" s="282">
        <v>14725</v>
      </c>
      <c r="K608" s="282">
        <v>9608</v>
      </c>
      <c r="L608" s="282">
        <v>3864</v>
      </c>
      <c r="M608" s="210">
        <v>609588</v>
      </c>
    </row>
    <row r="609" spans="1:13" x14ac:dyDescent="0.25">
      <c r="A609" s="567"/>
      <c r="B609" s="546"/>
      <c r="C609" s="546"/>
      <c r="D609" s="546"/>
      <c r="E609" s="546"/>
      <c r="F609" s="29" t="s">
        <v>0</v>
      </c>
      <c r="G609" s="291">
        <v>1330894</v>
      </c>
      <c r="H609" s="282">
        <v>264279</v>
      </c>
      <c r="I609" s="282">
        <v>159406</v>
      </c>
      <c r="J609" s="282">
        <v>46673</v>
      </c>
      <c r="K609" s="282">
        <v>21186</v>
      </c>
      <c r="L609" s="282">
        <v>18870</v>
      </c>
      <c r="M609" s="210">
        <v>1841308</v>
      </c>
    </row>
    <row r="610" spans="1:13" x14ac:dyDescent="0.25">
      <c r="A610" s="567"/>
      <c r="B610" s="546"/>
      <c r="C610" s="546"/>
      <c r="D610" s="547"/>
      <c r="E610" s="549" t="s">
        <v>25</v>
      </c>
      <c r="F610" s="550"/>
      <c r="G610" s="292">
        <v>1750403</v>
      </c>
      <c r="H610" s="284">
        <v>547579</v>
      </c>
      <c r="I610" s="284">
        <v>295688</v>
      </c>
      <c r="J610" s="284">
        <v>206606</v>
      </c>
      <c r="K610" s="284">
        <v>261224</v>
      </c>
      <c r="L610" s="284">
        <v>185593</v>
      </c>
      <c r="M610" s="211">
        <v>3247093</v>
      </c>
    </row>
    <row r="611" spans="1:13" x14ac:dyDescent="0.25">
      <c r="A611" s="567"/>
      <c r="B611" s="546"/>
      <c r="C611" s="546"/>
      <c r="D611" s="545" t="s">
        <v>563</v>
      </c>
      <c r="E611" s="548" t="s">
        <v>159</v>
      </c>
      <c r="F611" s="30" t="s">
        <v>3</v>
      </c>
      <c r="G611" s="285">
        <v>0</v>
      </c>
      <c r="H611" s="286">
        <v>4410</v>
      </c>
      <c r="I611" s="286">
        <v>14931</v>
      </c>
      <c r="J611" s="286">
        <v>26414</v>
      </c>
      <c r="K611" s="286">
        <v>57766</v>
      </c>
      <c r="L611" s="286">
        <v>61555</v>
      </c>
      <c r="M611" s="212">
        <v>165076</v>
      </c>
    </row>
    <row r="612" spans="1:13" x14ac:dyDescent="0.25">
      <c r="A612" s="567"/>
      <c r="B612" s="546"/>
      <c r="C612" s="546"/>
      <c r="D612" s="546"/>
      <c r="E612" s="546"/>
      <c r="F612" s="29" t="s">
        <v>2</v>
      </c>
      <c r="G612" s="281">
        <v>0</v>
      </c>
      <c r="H612" s="282">
        <v>9008</v>
      </c>
      <c r="I612" s="282">
        <v>28508</v>
      </c>
      <c r="J612" s="282">
        <v>23462</v>
      </c>
      <c r="K612" s="282">
        <v>75872</v>
      </c>
      <c r="L612" s="282">
        <v>21100</v>
      </c>
      <c r="M612" s="210">
        <v>157950</v>
      </c>
    </row>
    <row r="613" spans="1:13" x14ac:dyDescent="0.25">
      <c r="A613" s="567"/>
      <c r="B613" s="546"/>
      <c r="C613" s="546"/>
      <c r="D613" s="546"/>
      <c r="E613" s="546"/>
      <c r="F613" s="29" t="s">
        <v>1</v>
      </c>
      <c r="G613" s="281">
        <v>0</v>
      </c>
      <c r="H613" s="282">
        <v>12770</v>
      </c>
      <c r="I613" s="282">
        <v>22686</v>
      </c>
      <c r="J613" s="282">
        <v>9330</v>
      </c>
      <c r="K613" s="282">
        <v>4465</v>
      </c>
      <c r="L613" s="282">
        <v>2929</v>
      </c>
      <c r="M613" s="210">
        <v>52180</v>
      </c>
    </row>
    <row r="614" spans="1:13" x14ac:dyDescent="0.25">
      <c r="A614" s="567"/>
      <c r="B614" s="546"/>
      <c r="C614" s="546"/>
      <c r="D614" s="546"/>
      <c r="E614" s="546"/>
      <c r="F614" s="29" t="s">
        <v>0</v>
      </c>
      <c r="G614" s="281">
        <v>0</v>
      </c>
      <c r="H614" s="282">
        <v>3821</v>
      </c>
      <c r="I614" s="282">
        <v>52808</v>
      </c>
      <c r="J614" s="282">
        <v>30011</v>
      </c>
      <c r="K614" s="282">
        <v>16911</v>
      </c>
      <c r="L614" s="282">
        <v>6166</v>
      </c>
      <c r="M614" s="210">
        <v>109717</v>
      </c>
    </row>
    <row r="615" spans="1:13" x14ac:dyDescent="0.25">
      <c r="A615" s="567"/>
      <c r="B615" s="546"/>
      <c r="C615" s="546"/>
      <c r="D615" s="547"/>
      <c r="E615" s="549" t="s">
        <v>25</v>
      </c>
      <c r="F615" s="550"/>
      <c r="G615" s="283">
        <v>0</v>
      </c>
      <c r="H615" s="284">
        <v>30009</v>
      </c>
      <c r="I615" s="284">
        <v>118933</v>
      </c>
      <c r="J615" s="284">
        <v>89217</v>
      </c>
      <c r="K615" s="284">
        <v>155014</v>
      </c>
      <c r="L615" s="284">
        <v>91750</v>
      </c>
      <c r="M615" s="211">
        <v>484923</v>
      </c>
    </row>
    <row r="616" spans="1:13" x14ac:dyDescent="0.25">
      <c r="A616" s="567"/>
      <c r="B616" s="546"/>
      <c r="C616" s="546"/>
      <c r="D616" s="545" t="s">
        <v>564</v>
      </c>
      <c r="E616" s="548" t="s">
        <v>159</v>
      </c>
      <c r="F616" s="30" t="s">
        <v>3</v>
      </c>
      <c r="G616" s="290">
        <v>0</v>
      </c>
      <c r="H616" s="286">
        <v>29504</v>
      </c>
      <c r="I616" s="286">
        <v>1410</v>
      </c>
      <c r="J616" s="286">
        <v>3766</v>
      </c>
      <c r="K616" s="286">
        <v>2496</v>
      </c>
      <c r="L616" s="286">
        <v>2107</v>
      </c>
      <c r="M616" s="212">
        <v>39283</v>
      </c>
    </row>
    <row r="617" spans="1:13" x14ac:dyDescent="0.25">
      <c r="A617" s="567"/>
      <c r="B617" s="546"/>
      <c r="C617" s="546"/>
      <c r="D617" s="546"/>
      <c r="E617" s="546"/>
      <c r="F617" s="29" t="s">
        <v>2</v>
      </c>
      <c r="G617" s="291">
        <v>0</v>
      </c>
      <c r="H617" s="282">
        <v>28975</v>
      </c>
      <c r="I617" s="282">
        <v>9588</v>
      </c>
      <c r="J617" s="282">
        <v>5435</v>
      </c>
      <c r="K617" s="282">
        <v>25948</v>
      </c>
      <c r="L617" s="282">
        <v>23553</v>
      </c>
      <c r="M617" s="210">
        <v>93499</v>
      </c>
    </row>
    <row r="618" spans="1:13" x14ac:dyDescent="0.25">
      <c r="A618" s="567"/>
      <c r="B618" s="546"/>
      <c r="C618" s="546"/>
      <c r="D618" s="546"/>
      <c r="E618" s="546"/>
      <c r="F618" s="29" t="s">
        <v>1</v>
      </c>
      <c r="G618" s="291">
        <v>34993</v>
      </c>
      <c r="H618" s="282">
        <v>59289</v>
      </c>
      <c r="I618" s="282">
        <v>23277</v>
      </c>
      <c r="J618" s="282">
        <v>4390</v>
      </c>
      <c r="K618" s="282">
        <v>5369</v>
      </c>
      <c r="L618" s="282">
        <v>2113</v>
      </c>
      <c r="M618" s="210">
        <v>129431</v>
      </c>
    </row>
    <row r="619" spans="1:13" x14ac:dyDescent="0.25">
      <c r="A619" s="567"/>
      <c r="B619" s="546"/>
      <c r="C619" s="546"/>
      <c r="D619" s="546"/>
      <c r="E619" s="546"/>
      <c r="F619" s="29" t="s">
        <v>0</v>
      </c>
      <c r="G619" s="291">
        <v>148226</v>
      </c>
      <c r="H619" s="282">
        <v>116276</v>
      </c>
      <c r="I619" s="282">
        <v>172142</v>
      </c>
      <c r="J619" s="282">
        <v>20450</v>
      </c>
      <c r="K619" s="282">
        <v>9346</v>
      </c>
      <c r="L619" s="282">
        <v>9213</v>
      </c>
      <c r="M619" s="210">
        <v>475653</v>
      </c>
    </row>
    <row r="620" spans="1:13" x14ac:dyDescent="0.25">
      <c r="A620" s="567"/>
      <c r="B620" s="546"/>
      <c r="C620" s="546"/>
      <c r="D620" s="547"/>
      <c r="E620" s="549" t="s">
        <v>25</v>
      </c>
      <c r="F620" s="550"/>
      <c r="G620" s="292">
        <v>183219</v>
      </c>
      <c r="H620" s="284">
        <v>234044</v>
      </c>
      <c r="I620" s="284">
        <v>206417</v>
      </c>
      <c r="J620" s="284">
        <v>34041</v>
      </c>
      <c r="K620" s="284">
        <v>43159</v>
      </c>
      <c r="L620" s="284">
        <v>36986</v>
      </c>
      <c r="M620" s="211">
        <v>737866</v>
      </c>
    </row>
    <row r="621" spans="1:13" x14ac:dyDescent="0.25">
      <c r="A621" s="567"/>
      <c r="B621" s="546"/>
      <c r="C621" s="546"/>
      <c r="D621" s="545" t="s">
        <v>565</v>
      </c>
      <c r="E621" s="548" t="s">
        <v>159</v>
      </c>
      <c r="F621" s="30" t="s">
        <v>3</v>
      </c>
      <c r="G621" s="290">
        <v>0</v>
      </c>
      <c r="H621" s="286">
        <v>112869</v>
      </c>
      <c r="I621" s="286">
        <v>28283</v>
      </c>
      <c r="J621" s="286">
        <v>124965</v>
      </c>
      <c r="K621" s="286">
        <v>306411</v>
      </c>
      <c r="L621" s="286">
        <v>221442</v>
      </c>
      <c r="M621" s="212">
        <v>793970</v>
      </c>
    </row>
    <row r="622" spans="1:13" x14ac:dyDescent="0.25">
      <c r="A622" s="567"/>
      <c r="B622" s="546"/>
      <c r="C622" s="546"/>
      <c r="D622" s="546"/>
      <c r="E622" s="546"/>
      <c r="F622" s="29" t="s">
        <v>2</v>
      </c>
      <c r="G622" s="291">
        <v>0</v>
      </c>
      <c r="H622" s="282">
        <v>144547</v>
      </c>
      <c r="I622" s="282">
        <v>38068</v>
      </c>
      <c r="J622" s="282">
        <v>198789</v>
      </c>
      <c r="K622" s="282">
        <v>267264</v>
      </c>
      <c r="L622" s="282">
        <v>77026</v>
      </c>
      <c r="M622" s="210">
        <v>725694</v>
      </c>
    </row>
    <row r="623" spans="1:13" x14ac:dyDescent="0.25">
      <c r="A623" s="567"/>
      <c r="B623" s="546"/>
      <c r="C623" s="546"/>
      <c r="D623" s="546"/>
      <c r="E623" s="546"/>
      <c r="F623" s="29" t="s">
        <v>1</v>
      </c>
      <c r="G623" s="291">
        <v>656271</v>
      </c>
      <c r="H623" s="282">
        <v>148303</v>
      </c>
      <c r="I623" s="282">
        <v>67852</v>
      </c>
      <c r="J623" s="282">
        <v>27521</v>
      </c>
      <c r="K623" s="282">
        <v>77509</v>
      </c>
      <c r="L623" s="282">
        <v>11869</v>
      </c>
      <c r="M623" s="210">
        <v>989325</v>
      </c>
    </row>
    <row r="624" spans="1:13" x14ac:dyDescent="0.25">
      <c r="A624" s="567"/>
      <c r="B624" s="546"/>
      <c r="C624" s="546"/>
      <c r="D624" s="546"/>
      <c r="E624" s="546"/>
      <c r="F624" s="29" t="s">
        <v>0</v>
      </c>
      <c r="G624" s="291">
        <v>896463</v>
      </c>
      <c r="H624" s="282">
        <v>174364</v>
      </c>
      <c r="I624" s="282">
        <v>189791</v>
      </c>
      <c r="J624" s="282">
        <v>118618</v>
      </c>
      <c r="K624" s="282">
        <v>98205</v>
      </c>
      <c r="L624" s="282">
        <v>6883</v>
      </c>
      <c r="M624" s="210">
        <v>1484324</v>
      </c>
    </row>
    <row r="625" spans="1:13" x14ac:dyDescent="0.25">
      <c r="A625" s="567"/>
      <c r="B625" s="546"/>
      <c r="C625" s="546"/>
      <c r="D625" s="547"/>
      <c r="E625" s="549" t="s">
        <v>25</v>
      </c>
      <c r="F625" s="550"/>
      <c r="G625" s="292">
        <v>1552734</v>
      </c>
      <c r="H625" s="284">
        <v>580083</v>
      </c>
      <c r="I625" s="284">
        <v>323994</v>
      </c>
      <c r="J625" s="284">
        <v>469893</v>
      </c>
      <c r="K625" s="284">
        <v>749389</v>
      </c>
      <c r="L625" s="284">
        <v>317220</v>
      </c>
      <c r="M625" s="211">
        <v>3993313</v>
      </c>
    </row>
    <row r="626" spans="1:13" x14ac:dyDescent="0.25">
      <c r="A626" s="567"/>
      <c r="B626" s="546"/>
      <c r="C626" s="546"/>
      <c r="D626" s="545" t="s">
        <v>566</v>
      </c>
      <c r="E626" s="548" t="s">
        <v>159</v>
      </c>
      <c r="F626" s="30" t="s">
        <v>3</v>
      </c>
      <c r="G626" s="285">
        <v>0</v>
      </c>
      <c r="H626" s="287">
        <v>0</v>
      </c>
      <c r="I626" s="286">
        <v>731</v>
      </c>
      <c r="J626" s="286">
        <v>3724</v>
      </c>
      <c r="K626" s="286">
        <v>7003</v>
      </c>
      <c r="L626" s="286">
        <v>1811</v>
      </c>
      <c r="M626" s="212">
        <v>13269</v>
      </c>
    </row>
    <row r="627" spans="1:13" x14ac:dyDescent="0.25">
      <c r="A627" s="567"/>
      <c r="B627" s="546"/>
      <c r="C627" s="546"/>
      <c r="D627" s="546"/>
      <c r="E627" s="546"/>
      <c r="F627" s="29" t="s">
        <v>2</v>
      </c>
      <c r="G627" s="281">
        <v>0</v>
      </c>
      <c r="H627" s="288">
        <v>0</v>
      </c>
      <c r="I627" s="282">
        <v>0</v>
      </c>
      <c r="J627" s="282">
        <v>8028</v>
      </c>
      <c r="K627" s="282">
        <v>31876</v>
      </c>
      <c r="L627" s="282">
        <v>2825</v>
      </c>
      <c r="M627" s="210">
        <v>42729</v>
      </c>
    </row>
    <row r="628" spans="1:13" x14ac:dyDescent="0.25">
      <c r="A628" s="567"/>
      <c r="B628" s="546"/>
      <c r="C628" s="546"/>
      <c r="D628" s="546"/>
      <c r="E628" s="546"/>
      <c r="F628" s="29" t="s">
        <v>1</v>
      </c>
      <c r="G628" s="281">
        <v>0</v>
      </c>
      <c r="H628" s="288">
        <v>0</v>
      </c>
      <c r="I628" s="282">
        <v>4337</v>
      </c>
      <c r="J628" s="282">
        <v>270</v>
      </c>
      <c r="K628" s="282">
        <v>3375</v>
      </c>
      <c r="L628" s="282">
        <v>2730</v>
      </c>
      <c r="M628" s="210">
        <v>10712</v>
      </c>
    </row>
    <row r="629" spans="1:13" x14ac:dyDescent="0.25">
      <c r="A629" s="567"/>
      <c r="B629" s="546"/>
      <c r="C629" s="546"/>
      <c r="D629" s="546"/>
      <c r="E629" s="546"/>
      <c r="F629" s="29" t="s">
        <v>0</v>
      </c>
      <c r="G629" s="281">
        <v>0</v>
      </c>
      <c r="H629" s="288">
        <v>0</v>
      </c>
      <c r="I629" s="282">
        <v>2465</v>
      </c>
      <c r="J629" s="282">
        <v>7915</v>
      </c>
      <c r="K629" s="282">
        <v>2047</v>
      </c>
      <c r="L629" s="282">
        <v>0</v>
      </c>
      <c r="M629" s="210">
        <v>12427</v>
      </c>
    </row>
    <row r="630" spans="1:13" x14ac:dyDescent="0.25">
      <c r="A630" s="567"/>
      <c r="B630" s="546"/>
      <c r="C630" s="546"/>
      <c r="D630" s="547"/>
      <c r="E630" s="549" t="s">
        <v>25</v>
      </c>
      <c r="F630" s="550"/>
      <c r="G630" s="283">
        <v>0</v>
      </c>
      <c r="H630" s="289">
        <v>0</v>
      </c>
      <c r="I630" s="284">
        <v>7533</v>
      </c>
      <c r="J630" s="284">
        <v>19937</v>
      </c>
      <c r="K630" s="284">
        <v>44301</v>
      </c>
      <c r="L630" s="284">
        <v>7366</v>
      </c>
      <c r="M630" s="211">
        <v>79137</v>
      </c>
    </row>
    <row r="631" spans="1:13" x14ac:dyDescent="0.25">
      <c r="A631" s="567"/>
      <c r="B631" s="546"/>
      <c r="C631" s="546"/>
      <c r="D631" s="545" t="s">
        <v>567</v>
      </c>
      <c r="E631" s="548" t="s">
        <v>159</v>
      </c>
      <c r="F631" s="30" t="s">
        <v>3</v>
      </c>
      <c r="G631" s="290">
        <v>0</v>
      </c>
      <c r="H631" s="286">
        <v>8466</v>
      </c>
      <c r="I631" s="286">
        <v>1918</v>
      </c>
      <c r="J631" s="286">
        <v>461</v>
      </c>
      <c r="K631" s="286">
        <v>3251</v>
      </c>
      <c r="L631" s="286">
        <v>0</v>
      </c>
      <c r="M631" s="212">
        <v>14096</v>
      </c>
    </row>
    <row r="632" spans="1:13" x14ac:dyDescent="0.25">
      <c r="A632" s="567"/>
      <c r="B632" s="546"/>
      <c r="C632" s="546"/>
      <c r="D632" s="546"/>
      <c r="E632" s="546"/>
      <c r="F632" s="29" t="s">
        <v>2</v>
      </c>
      <c r="G632" s="291">
        <v>0</v>
      </c>
      <c r="H632" s="282">
        <v>2021</v>
      </c>
      <c r="I632" s="282">
        <v>647</v>
      </c>
      <c r="J632" s="282">
        <v>439</v>
      </c>
      <c r="K632" s="282">
        <v>2266</v>
      </c>
      <c r="L632" s="282">
        <v>0</v>
      </c>
      <c r="M632" s="210">
        <v>5373</v>
      </c>
    </row>
    <row r="633" spans="1:13" x14ac:dyDescent="0.25">
      <c r="A633" s="567"/>
      <c r="B633" s="546"/>
      <c r="C633" s="546"/>
      <c r="D633" s="546"/>
      <c r="E633" s="546"/>
      <c r="F633" s="29" t="s">
        <v>1</v>
      </c>
      <c r="G633" s="291">
        <v>2330</v>
      </c>
      <c r="H633" s="282">
        <v>4915</v>
      </c>
      <c r="I633" s="282">
        <v>14194</v>
      </c>
      <c r="J633" s="282">
        <v>0</v>
      </c>
      <c r="K633" s="282">
        <v>0</v>
      </c>
      <c r="L633" s="282">
        <v>782</v>
      </c>
      <c r="M633" s="210">
        <v>22221</v>
      </c>
    </row>
    <row r="634" spans="1:13" x14ac:dyDescent="0.25">
      <c r="A634" s="567"/>
      <c r="B634" s="546"/>
      <c r="C634" s="546"/>
      <c r="D634" s="546"/>
      <c r="E634" s="546"/>
      <c r="F634" s="29" t="s">
        <v>0</v>
      </c>
      <c r="G634" s="291">
        <v>57523</v>
      </c>
      <c r="H634" s="282">
        <v>3847</v>
      </c>
      <c r="I634" s="282">
        <v>36010</v>
      </c>
      <c r="J634" s="282">
        <v>1446</v>
      </c>
      <c r="K634" s="282">
        <v>0</v>
      </c>
      <c r="L634" s="282">
        <v>576</v>
      </c>
      <c r="M634" s="210">
        <v>99402</v>
      </c>
    </row>
    <row r="635" spans="1:13" x14ac:dyDescent="0.25">
      <c r="A635" s="567"/>
      <c r="B635" s="546"/>
      <c r="C635" s="546"/>
      <c r="D635" s="547"/>
      <c r="E635" s="549" t="s">
        <v>25</v>
      </c>
      <c r="F635" s="550"/>
      <c r="G635" s="292">
        <v>59853</v>
      </c>
      <c r="H635" s="284">
        <v>19249</v>
      </c>
      <c r="I635" s="284">
        <v>52769</v>
      </c>
      <c r="J635" s="284">
        <v>2346</v>
      </c>
      <c r="K635" s="284">
        <v>5517</v>
      </c>
      <c r="L635" s="284">
        <v>1358</v>
      </c>
      <c r="M635" s="211">
        <v>141092</v>
      </c>
    </row>
    <row r="636" spans="1:13" x14ac:dyDescent="0.25">
      <c r="A636" s="567"/>
      <c r="B636" s="546"/>
      <c r="C636" s="546"/>
      <c r="D636" s="545" t="s">
        <v>568</v>
      </c>
      <c r="E636" s="548" t="s">
        <v>159</v>
      </c>
      <c r="F636" s="30" t="s">
        <v>3</v>
      </c>
      <c r="G636" s="290">
        <v>0</v>
      </c>
      <c r="H636" s="286">
        <v>25390</v>
      </c>
      <c r="I636" s="286">
        <v>2047</v>
      </c>
      <c r="J636" s="286">
        <v>2822</v>
      </c>
      <c r="K636" s="286">
        <v>15522</v>
      </c>
      <c r="L636" s="286">
        <v>17141</v>
      </c>
      <c r="M636" s="212">
        <v>62922</v>
      </c>
    </row>
    <row r="637" spans="1:13" x14ac:dyDescent="0.25">
      <c r="A637" s="567"/>
      <c r="B637" s="546"/>
      <c r="C637" s="546"/>
      <c r="D637" s="546"/>
      <c r="E637" s="546"/>
      <c r="F637" s="29" t="s">
        <v>2</v>
      </c>
      <c r="G637" s="291">
        <v>0</v>
      </c>
      <c r="H637" s="282">
        <v>23096</v>
      </c>
      <c r="I637" s="282">
        <v>51105</v>
      </c>
      <c r="J637" s="282">
        <v>16894</v>
      </c>
      <c r="K637" s="282">
        <v>13335</v>
      </c>
      <c r="L637" s="282">
        <v>11802</v>
      </c>
      <c r="M637" s="210">
        <v>116232</v>
      </c>
    </row>
    <row r="638" spans="1:13" x14ac:dyDescent="0.25">
      <c r="A638" s="567"/>
      <c r="B638" s="546"/>
      <c r="C638" s="546"/>
      <c r="D638" s="546"/>
      <c r="E638" s="546"/>
      <c r="F638" s="29" t="s">
        <v>1</v>
      </c>
      <c r="G638" s="291">
        <v>88571</v>
      </c>
      <c r="H638" s="282">
        <v>65781</v>
      </c>
      <c r="I638" s="282">
        <v>0</v>
      </c>
      <c r="J638" s="282">
        <v>584</v>
      </c>
      <c r="K638" s="282">
        <v>1021</v>
      </c>
      <c r="L638" s="282">
        <v>0</v>
      </c>
      <c r="M638" s="210">
        <v>155957</v>
      </c>
    </row>
    <row r="639" spans="1:13" x14ac:dyDescent="0.25">
      <c r="A639" s="567"/>
      <c r="B639" s="546"/>
      <c r="C639" s="546"/>
      <c r="D639" s="546"/>
      <c r="E639" s="546"/>
      <c r="F639" s="29" t="s">
        <v>0</v>
      </c>
      <c r="G639" s="291">
        <v>163541</v>
      </c>
      <c r="H639" s="282">
        <v>46714</v>
      </c>
      <c r="I639" s="282">
        <v>5503</v>
      </c>
      <c r="J639" s="282">
        <v>7693</v>
      </c>
      <c r="K639" s="282">
        <v>363</v>
      </c>
      <c r="L639" s="282">
        <v>0</v>
      </c>
      <c r="M639" s="210">
        <v>223814</v>
      </c>
    </row>
    <row r="640" spans="1:13" x14ac:dyDescent="0.25">
      <c r="A640" s="567"/>
      <c r="B640" s="546"/>
      <c r="C640" s="546"/>
      <c r="D640" s="547"/>
      <c r="E640" s="549" t="s">
        <v>25</v>
      </c>
      <c r="F640" s="550"/>
      <c r="G640" s="292">
        <v>252112</v>
      </c>
      <c r="H640" s="284">
        <v>160981</v>
      </c>
      <c r="I640" s="284">
        <v>58655</v>
      </c>
      <c r="J640" s="284">
        <v>27993</v>
      </c>
      <c r="K640" s="284">
        <v>30241</v>
      </c>
      <c r="L640" s="284">
        <v>28943</v>
      </c>
      <c r="M640" s="211">
        <v>558925</v>
      </c>
    </row>
    <row r="641" spans="1:13" x14ac:dyDescent="0.25">
      <c r="A641" s="567"/>
      <c r="B641" s="546"/>
      <c r="C641" s="546"/>
      <c r="D641" s="545" t="s">
        <v>569</v>
      </c>
      <c r="E641" s="548" t="s">
        <v>159</v>
      </c>
      <c r="F641" s="30" t="s">
        <v>3</v>
      </c>
      <c r="G641" s="285">
        <v>0</v>
      </c>
      <c r="H641" s="286">
        <v>0</v>
      </c>
      <c r="I641" s="286">
        <v>2444</v>
      </c>
      <c r="J641" s="286">
        <v>3630</v>
      </c>
      <c r="K641" s="286">
        <v>15722</v>
      </c>
      <c r="L641" s="286">
        <v>8516</v>
      </c>
      <c r="M641" s="212">
        <v>30312</v>
      </c>
    </row>
    <row r="642" spans="1:13" x14ac:dyDescent="0.25">
      <c r="A642" s="567"/>
      <c r="B642" s="546"/>
      <c r="C642" s="546"/>
      <c r="D642" s="546"/>
      <c r="E642" s="546"/>
      <c r="F642" s="29" t="s">
        <v>2</v>
      </c>
      <c r="G642" s="281">
        <v>0</v>
      </c>
      <c r="H642" s="282">
        <v>594</v>
      </c>
      <c r="I642" s="282">
        <v>4907</v>
      </c>
      <c r="J642" s="282">
        <v>21254</v>
      </c>
      <c r="K642" s="282">
        <v>29855</v>
      </c>
      <c r="L642" s="282">
        <v>10965</v>
      </c>
      <c r="M642" s="210">
        <v>67575</v>
      </c>
    </row>
    <row r="643" spans="1:13" x14ac:dyDescent="0.25">
      <c r="A643" s="567"/>
      <c r="B643" s="546"/>
      <c r="C643" s="546"/>
      <c r="D643" s="546"/>
      <c r="E643" s="546"/>
      <c r="F643" s="29" t="s">
        <v>1</v>
      </c>
      <c r="G643" s="281">
        <v>0</v>
      </c>
      <c r="H643" s="282">
        <v>0</v>
      </c>
      <c r="I643" s="282">
        <v>5958</v>
      </c>
      <c r="J643" s="282">
        <v>3049</v>
      </c>
      <c r="K643" s="282">
        <v>877</v>
      </c>
      <c r="L643" s="282">
        <v>0</v>
      </c>
      <c r="M643" s="210">
        <v>9884</v>
      </c>
    </row>
    <row r="644" spans="1:13" x14ac:dyDescent="0.25">
      <c r="A644" s="567"/>
      <c r="B644" s="546"/>
      <c r="C644" s="546"/>
      <c r="D644" s="546"/>
      <c r="E644" s="546"/>
      <c r="F644" s="29" t="s">
        <v>0</v>
      </c>
      <c r="G644" s="281">
        <v>0</v>
      </c>
      <c r="H644" s="282">
        <v>425</v>
      </c>
      <c r="I644" s="282">
        <v>22028</v>
      </c>
      <c r="J644" s="282">
        <v>9086</v>
      </c>
      <c r="K644" s="282">
        <v>7659</v>
      </c>
      <c r="L644" s="282">
        <v>5341</v>
      </c>
      <c r="M644" s="210">
        <v>44539</v>
      </c>
    </row>
    <row r="645" spans="1:13" x14ac:dyDescent="0.25">
      <c r="A645" s="567"/>
      <c r="B645" s="546"/>
      <c r="C645" s="546"/>
      <c r="D645" s="547"/>
      <c r="E645" s="549" t="s">
        <v>25</v>
      </c>
      <c r="F645" s="550"/>
      <c r="G645" s="283">
        <v>0</v>
      </c>
      <c r="H645" s="284">
        <v>1019</v>
      </c>
      <c r="I645" s="284">
        <v>35337</v>
      </c>
      <c r="J645" s="284">
        <v>37019</v>
      </c>
      <c r="K645" s="284">
        <v>54113</v>
      </c>
      <c r="L645" s="284">
        <v>24822</v>
      </c>
      <c r="M645" s="211">
        <v>152310</v>
      </c>
    </row>
    <row r="646" spans="1:13" x14ac:dyDescent="0.25">
      <c r="A646" s="567"/>
      <c r="B646" s="546"/>
      <c r="C646" s="546"/>
      <c r="D646" s="545" t="s">
        <v>570</v>
      </c>
      <c r="E646" s="548" t="s">
        <v>159</v>
      </c>
      <c r="F646" s="30" t="s">
        <v>3</v>
      </c>
      <c r="G646" s="290">
        <v>0</v>
      </c>
      <c r="H646" s="286">
        <v>6976</v>
      </c>
      <c r="I646" s="286">
        <v>3373</v>
      </c>
      <c r="J646" s="286">
        <v>814</v>
      </c>
      <c r="K646" s="286">
        <v>1763</v>
      </c>
      <c r="L646" s="286">
        <v>711</v>
      </c>
      <c r="M646" s="212">
        <v>13637</v>
      </c>
    </row>
    <row r="647" spans="1:13" x14ac:dyDescent="0.25">
      <c r="A647" s="567"/>
      <c r="B647" s="546"/>
      <c r="C647" s="546"/>
      <c r="D647" s="546"/>
      <c r="E647" s="546"/>
      <c r="F647" s="29" t="s">
        <v>2</v>
      </c>
      <c r="G647" s="291">
        <v>0</v>
      </c>
      <c r="H647" s="282">
        <v>10545</v>
      </c>
      <c r="I647" s="282">
        <v>3680</v>
      </c>
      <c r="J647" s="282">
        <v>6382</v>
      </c>
      <c r="K647" s="282">
        <v>1899</v>
      </c>
      <c r="L647" s="282">
        <v>217</v>
      </c>
      <c r="M647" s="210">
        <v>22723</v>
      </c>
    </row>
    <row r="648" spans="1:13" x14ac:dyDescent="0.25">
      <c r="A648" s="567"/>
      <c r="B648" s="546"/>
      <c r="C648" s="546"/>
      <c r="D648" s="546"/>
      <c r="E648" s="546"/>
      <c r="F648" s="29" t="s">
        <v>1</v>
      </c>
      <c r="G648" s="291">
        <v>2759</v>
      </c>
      <c r="H648" s="282">
        <v>16045</v>
      </c>
      <c r="I648" s="282">
        <v>17816</v>
      </c>
      <c r="J648" s="282">
        <v>1226</v>
      </c>
      <c r="K648" s="282">
        <v>1819</v>
      </c>
      <c r="L648" s="282">
        <v>966</v>
      </c>
      <c r="M648" s="210">
        <v>40631</v>
      </c>
    </row>
    <row r="649" spans="1:13" x14ac:dyDescent="0.25">
      <c r="A649" s="567"/>
      <c r="B649" s="546"/>
      <c r="C649" s="546"/>
      <c r="D649" s="546"/>
      <c r="E649" s="546"/>
      <c r="F649" s="29" t="s">
        <v>0</v>
      </c>
      <c r="G649" s="291">
        <v>50755</v>
      </c>
      <c r="H649" s="282">
        <v>25695</v>
      </c>
      <c r="I649" s="282">
        <v>86538</v>
      </c>
      <c r="J649" s="282">
        <v>13927</v>
      </c>
      <c r="K649" s="282">
        <v>5435</v>
      </c>
      <c r="L649" s="282">
        <v>4317</v>
      </c>
      <c r="M649" s="210">
        <v>186667</v>
      </c>
    </row>
    <row r="650" spans="1:13" x14ac:dyDescent="0.25">
      <c r="A650" s="567"/>
      <c r="B650" s="546"/>
      <c r="C650" s="546"/>
      <c r="D650" s="547"/>
      <c r="E650" s="549" t="s">
        <v>25</v>
      </c>
      <c r="F650" s="550"/>
      <c r="G650" s="292">
        <v>53514</v>
      </c>
      <c r="H650" s="284">
        <v>59261</v>
      </c>
      <c r="I650" s="284">
        <v>111407</v>
      </c>
      <c r="J650" s="284">
        <v>22349</v>
      </c>
      <c r="K650" s="284">
        <v>10916</v>
      </c>
      <c r="L650" s="284">
        <v>6211</v>
      </c>
      <c r="M650" s="211">
        <v>263658</v>
      </c>
    </row>
    <row r="651" spans="1:13" x14ac:dyDescent="0.25">
      <c r="A651" s="567"/>
      <c r="B651" s="546"/>
      <c r="C651" s="546"/>
      <c r="D651" s="545" t="s">
        <v>571</v>
      </c>
      <c r="E651" s="548" t="s">
        <v>159</v>
      </c>
      <c r="F651" s="30" t="s">
        <v>3</v>
      </c>
      <c r="G651" s="290">
        <v>0</v>
      </c>
      <c r="H651" s="286">
        <v>321885</v>
      </c>
      <c r="I651" s="286">
        <v>186927</v>
      </c>
      <c r="J651" s="286">
        <v>306230</v>
      </c>
      <c r="K651" s="286">
        <v>729356</v>
      </c>
      <c r="L651" s="286">
        <v>1108754</v>
      </c>
      <c r="M651" s="212">
        <v>2653152</v>
      </c>
    </row>
    <row r="652" spans="1:13" x14ac:dyDescent="0.25">
      <c r="A652" s="567"/>
      <c r="B652" s="546"/>
      <c r="C652" s="546"/>
      <c r="D652" s="546"/>
      <c r="E652" s="546"/>
      <c r="F652" s="29" t="s">
        <v>2</v>
      </c>
      <c r="G652" s="291">
        <v>0</v>
      </c>
      <c r="H652" s="282">
        <v>670911</v>
      </c>
      <c r="I652" s="282">
        <v>277974</v>
      </c>
      <c r="J652" s="282">
        <v>925744</v>
      </c>
      <c r="K652" s="282">
        <v>2578752</v>
      </c>
      <c r="L652" s="282">
        <v>1690656</v>
      </c>
      <c r="M652" s="210">
        <v>6144037</v>
      </c>
    </row>
    <row r="653" spans="1:13" x14ac:dyDescent="0.25">
      <c r="A653" s="567"/>
      <c r="B653" s="546"/>
      <c r="C653" s="546"/>
      <c r="D653" s="546"/>
      <c r="E653" s="546"/>
      <c r="F653" s="29" t="s">
        <v>1</v>
      </c>
      <c r="G653" s="291">
        <v>1659218</v>
      </c>
      <c r="H653" s="282">
        <v>285227</v>
      </c>
      <c r="I653" s="282">
        <v>180755</v>
      </c>
      <c r="J653" s="282">
        <v>106508</v>
      </c>
      <c r="K653" s="282">
        <v>55107</v>
      </c>
      <c r="L653" s="282">
        <v>36830</v>
      </c>
      <c r="M653" s="210">
        <v>2323645</v>
      </c>
    </row>
    <row r="654" spans="1:13" x14ac:dyDescent="0.25">
      <c r="A654" s="567"/>
      <c r="B654" s="546"/>
      <c r="C654" s="546"/>
      <c r="D654" s="546"/>
      <c r="E654" s="546"/>
      <c r="F654" s="29" t="s">
        <v>0</v>
      </c>
      <c r="G654" s="291">
        <v>5667576</v>
      </c>
      <c r="H654" s="282">
        <v>1346616</v>
      </c>
      <c r="I654" s="282">
        <v>1167221</v>
      </c>
      <c r="J654" s="282">
        <v>385687</v>
      </c>
      <c r="K654" s="282">
        <v>124301</v>
      </c>
      <c r="L654" s="282">
        <v>44532</v>
      </c>
      <c r="M654" s="210">
        <v>8735933</v>
      </c>
    </row>
    <row r="655" spans="1:13" x14ac:dyDescent="0.25">
      <c r="A655" s="567"/>
      <c r="B655" s="546"/>
      <c r="C655" s="546"/>
      <c r="D655" s="547"/>
      <c r="E655" s="549" t="s">
        <v>25</v>
      </c>
      <c r="F655" s="550"/>
      <c r="G655" s="292">
        <v>7326794</v>
      </c>
      <c r="H655" s="284">
        <v>2624639</v>
      </c>
      <c r="I655" s="284">
        <v>1812877</v>
      </c>
      <c r="J655" s="284">
        <v>1724169</v>
      </c>
      <c r="K655" s="284">
        <v>3487516</v>
      </c>
      <c r="L655" s="284">
        <v>2880772</v>
      </c>
      <c r="M655" s="211">
        <v>19856767</v>
      </c>
    </row>
    <row r="656" spans="1:13" x14ac:dyDescent="0.25">
      <c r="A656" s="567"/>
      <c r="B656" s="546"/>
      <c r="C656" s="546"/>
      <c r="D656" s="545" t="s">
        <v>572</v>
      </c>
      <c r="E656" s="548" t="s">
        <v>159</v>
      </c>
      <c r="F656" s="30" t="s">
        <v>3</v>
      </c>
      <c r="G656" s="285">
        <v>0</v>
      </c>
      <c r="H656" s="286">
        <v>4945</v>
      </c>
      <c r="I656" s="286">
        <v>5761</v>
      </c>
      <c r="J656" s="286">
        <v>11702</v>
      </c>
      <c r="K656" s="286">
        <v>67853</v>
      </c>
      <c r="L656" s="286">
        <v>45828</v>
      </c>
      <c r="M656" s="212">
        <v>136089</v>
      </c>
    </row>
    <row r="657" spans="1:13" x14ac:dyDescent="0.25">
      <c r="A657" s="567"/>
      <c r="B657" s="546"/>
      <c r="C657" s="546"/>
      <c r="D657" s="546"/>
      <c r="E657" s="546"/>
      <c r="F657" s="29" t="s">
        <v>2</v>
      </c>
      <c r="G657" s="281">
        <v>0</v>
      </c>
      <c r="H657" s="282">
        <v>7199</v>
      </c>
      <c r="I657" s="282">
        <v>6034</v>
      </c>
      <c r="J657" s="282">
        <v>31945</v>
      </c>
      <c r="K657" s="282">
        <v>143860</v>
      </c>
      <c r="L657" s="282">
        <v>89703</v>
      </c>
      <c r="M657" s="210">
        <v>278741</v>
      </c>
    </row>
    <row r="658" spans="1:13" x14ac:dyDescent="0.25">
      <c r="A658" s="567"/>
      <c r="B658" s="546"/>
      <c r="C658" s="546"/>
      <c r="D658" s="546"/>
      <c r="E658" s="546"/>
      <c r="F658" s="29" t="s">
        <v>1</v>
      </c>
      <c r="G658" s="281">
        <v>0</v>
      </c>
      <c r="H658" s="282">
        <v>466</v>
      </c>
      <c r="I658" s="282">
        <v>3229</v>
      </c>
      <c r="J658" s="282">
        <v>4582</v>
      </c>
      <c r="K658" s="282">
        <v>3132</v>
      </c>
      <c r="L658" s="282">
        <v>2268</v>
      </c>
      <c r="M658" s="210">
        <v>13677</v>
      </c>
    </row>
    <row r="659" spans="1:13" x14ac:dyDescent="0.25">
      <c r="A659" s="567"/>
      <c r="B659" s="546"/>
      <c r="C659" s="546"/>
      <c r="D659" s="546"/>
      <c r="E659" s="546"/>
      <c r="F659" s="29" t="s">
        <v>0</v>
      </c>
      <c r="G659" s="281">
        <v>0</v>
      </c>
      <c r="H659" s="282">
        <v>2315</v>
      </c>
      <c r="I659" s="282">
        <v>44987</v>
      </c>
      <c r="J659" s="282">
        <v>52022</v>
      </c>
      <c r="K659" s="282">
        <v>5420</v>
      </c>
      <c r="L659" s="282">
        <v>3319</v>
      </c>
      <c r="M659" s="210">
        <v>108063</v>
      </c>
    </row>
    <row r="660" spans="1:13" x14ac:dyDescent="0.25">
      <c r="A660" s="567"/>
      <c r="B660" s="546"/>
      <c r="C660" s="546"/>
      <c r="D660" s="547"/>
      <c r="E660" s="549" t="s">
        <v>25</v>
      </c>
      <c r="F660" s="550"/>
      <c r="G660" s="283">
        <v>0</v>
      </c>
      <c r="H660" s="284">
        <v>14925</v>
      </c>
      <c r="I660" s="284">
        <v>60011</v>
      </c>
      <c r="J660" s="284">
        <v>100251</v>
      </c>
      <c r="K660" s="284">
        <v>220265</v>
      </c>
      <c r="L660" s="284">
        <v>141118</v>
      </c>
      <c r="M660" s="211">
        <v>536570</v>
      </c>
    </row>
    <row r="661" spans="1:13" x14ac:dyDescent="0.25">
      <c r="A661" s="567"/>
      <c r="B661" s="546"/>
      <c r="C661" s="546"/>
      <c r="D661" s="545" t="s">
        <v>573</v>
      </c>
      <c r="E661" s="548" t="s">
        <v>159</v>
      </c>
      <c r="F661" s="30" t="s">
        <v>3</v>
      </c>
      <c r="G661" s="290">
        <v>0</v>
      </c>
      <c r="H661" s="286">
        <v>6475</v>
      </c>
      <c r="I661" s="286">
        <v>835</v>
      </c>
      <c r="J661" s="286">
        <v>2760</v>
      </c>
      <c r="K661" s="286">
        <v>617</v>
      </c>
      <c r="L661" s="286">
        <v>540</v>
      </c>
      <c r="M661" s="212">
        <v>11227</v>
      </c>
    </row>
    <row r="662" spans="1:13" x14ac:dyDescent="0.25">
      <c r="A662" s="567"/>
      <c r="B662" s="546"/>
      <c r="C662" s="546"/>
      <c r="D662" s="546"/>
      <c r="E662" s="546"/>
      <c r="F662" s="29" t="s">
        <v>2</v>
      </c>
      <c r="G662" s="291">
        <v>0</v>
      </c>
      <c r="H662" s="282">
        <v>69104</v>
      </c>
      <c r="I662" s="282">
        <v>19064</v>
      </c>
      <c r="J662" s="282">
        <v>12534</v>
      </c>
      <c r="K662" s="282">
        <v>9546</v>
      </c>
      <c r="L662" s="282">
        <v>4453</v>
      </c>
      <c r="M662" s="210">
        <v>114701</v>
      </c>
    </row>
    <row r="663" spans="1:13" x14ac:dyDescent="0.25">
      <c r="A663" s="567"/>
      <c r="B663" s="546"/>
      <c r="C663" s="546"/>
      <c r="D663" s="546"/>
      <c r="E663" s="546"/>
      <c r="F663" s="29" t="s">
        <v>1</v>
      </c>
      <c r="G663" s="291">
        <v>8283</v>
      </c>
      <c r="H663" s="282">
        <v>25448</v>
      </c>
      <c r="I663" s="282">
        <v>10303</v>
      </c>
      <c r="J663" s="282">
        <v>3068</v>
      </c>
      <c r="K663" s="282">
        <v>437</v>
      </c>
      <c r="L663" s="282">
        <v>350</v>
      </c>
      <c r="M663" s="210">
        <v>47889</v>
      </c>
    </row>
    <row r="664" spans="1:13" x14ac:dyDescent="0.25">
      <c r="A664" s="567"/>
      <c r="B664" s="546"/>
      <c r="C664" s="546"/>
      <c r="D664" s="546"/>
      <c r="E664" s="546"/>
      <c r="F664" s="29" t="s">
        <v>0</v>
      </c>
      <c r="G664" s="291">
        <v>58265</v>
      </c>
      <c r="H664" s="282">
        <v>86653</v>
      </c>
      <c r="I664" s="282">
        <v>129680</v>
      </c>
      <c r="J664" s="282">
        <v>15455</v>
      </c>
      <c r="K664" s="282">
        <v>2310</v>
      </c>
      <c r="L664" s="282">
        <v>710</v>
      </c>
      <c r="M664" s="210">
        <v>293073</v>
      </c>
    </row>
    <row r="665" spans="1:13" x14ac:dyDescent="0.25">
      <c r="A665" s="567"/>
      <c r="B665" s="546"/>
      <c r="C665" s="547"/>
      <c r="D665" s="547"/>
      <c r="E665" s="549" t="s">
        <v>25</v>
      </c>
      <c r="F665" s="550"/>
      <c r="G665" s="292">
        <v>66548</v>
      </c>
      <c r="H665" s="284">
        <v>187680</v>
      </c>
      <c r="I665" s="284">
        <v>159882</v>
      </c>
      <c r="J665" s="284">
        <v>33817</v>
      </c>
      <c r="K665" s="284">
        <v>12910</v>
      </c>
      <c r="L665" s="284">
        <v>6053</v>
      </c>
      <c r="M665" s="211">
        <v>466890</v>
      </c>
    </row>
    <row r="666" spans="1:13" x14ac:dyDescent="0.25">
      <c r="A666" s="567"/>
      <c r="B666" s="546"/>
      <c r="C666" s="545" t="s">
        <v>5</v>
      </c>
      <c r="D666" s="545" t="s">
        <v>562</v>
      </c>
      <c r="E666" s="548" t="s">
        <v>159</v>
      </c>
      <c r="F666" s="30" t="s">
        <v>3</v>
      </c>
      <c r="G666" s="290">
        <v>0</v>
      </c>
      <c r="H666" s="286">
        <v>6787</v>
      </c>
      <c r="I666" s="286">
        <v>1261</v>
      </c>
      <c r="J666" s="286">
        <v>3107</v>
      </c>
      <c r="K666" s="286">
        <v>3185</v>
      </c>
      <c r="L666" s="286">
        <v>5375</v>
      </c>
      <c r="M666" s="212">
        <v>19715</v>
      </c>
    </row>
    <row r="667" spans="1:13" x14ac:dyDescent="0.25">
      <c r="A667" s="567"/>
      <c r="B667" s="546"/>
      <c r="C667" s="546"/>
      <c r="D667" s="546"/>
      <c r="E667" s="546"/>
      <c r="F667" s="29" t="s">
        <v>2</v>
      </c>
      <c r="G667" s="291">
        <v>0</v>
      </c>
      <c r="H667" s="282">
        <v>66492</v>
      </c>
      <c r="I667" s="282">
        <v>5310</v>
      </c>
      <c r="J667" s="282">
        <v>25073</v>
      </c>
      <c r="K667" s="282">
        <v>20622</v>
      </c>
      <c r="L667" s="282">
        <v>11075</v>
      </c>
      <c r="M667" s="210">
        <v>128572</v>
      </c>
    </row>
    <row r="668" spans="1:13" x14ac:dyDescent="0.25">
      <c r="A668" s="567"/>
      <c r="B668" s="546"/>
      <c r="C668" s="546"/>
      <c r="D668" s="546"/>
      <c r="E668" s="546"/>
      <c r="F668" s="29" t="s">
        <v>1</v>
      </c>
      <c r="G668" s="291">
        <v>175103</v>
      </c>
      <c r="H668" s="282">
        <v>15276</v>
      </c>
      <c r="I668" s="282">
        <v>8235</v>
      </c>
      <c r="J668" s="282">
        <v>3725</v>
      </c>
      <c r="K668" s="282">
        <v>0</v>
      </c>
      <c r="L668" s="282">
        <v>0</v>
      </c>
      <c r="M668" s="210">
        <v>202339</v>
      </c>
    </row>
    <row r="669" spans="1:13" x14ac:dyDescent="0.25">
      <c r="A669" s="567"/>
      <c r="B669" s="546"/>
      <c r="C669" s="546"/>
      <c r="D669" s="546"/>
      <c r="E669" s="546"/>
      <c r="F669" s="29" t="s">
        <v>0</v>
      </c>
      <c r="G669" s="291">
        <v>482500</v>
      </c>
      <c r="H669" s="282">
        <v>103940</v>
      </c>
      <c r="I669" s="282">
        <v>51422</v>
      </c>
      <c r="J669" s="282">
        <v>19468</v>
      </c>
      <c r="K669" s="282">
        <v>1869</v>
      </c>
      <c r="L669" s="282">
        <v>909</v>
      </c>
      <c r="M669" s="210">
        <v>660108</v>
      </c>
    </row>
    <row r="670" spans="1:13" x14ac:dyDescent="0.25">
      <c r="A670" s="567"/>
      <c r="B670" s="546"/>
      <c r="C670" s="546"/>
      <c r="D670" s="547"/>
      <c r="E670" s="549" t="s">
        <v>25</v>
      </c>
      <c r="F670" s="550"/>
      <c r="G670" s="292">
        <v>657603</v>
      </c>
      <c r="H670" s="284">
        <v>192495</v>
      </c>
      <c r="I670" s="284">
        <v>66228</v>
      </c>
      <c r="J670" s="284">
        <v>51373</v>
      </c>
      <c r="K670" s="284">
        <v>25676</v>
      </c>
      <c r="L670" s="284">
        <v>17359</v>
      </c>
      <c r="M670" s="211">
        <v>1010734</v>
      </c>
    </row>
    <row r="671" spans="1:13" x14ac:dyDescent="0.25">
      <c r="A671" s="567"/>
      <c r="B671" s="546"/>
      <c r="C671" s="546"/>
      <c r="D671" s="545" t="s">
        <v>563</v>
      </c>
      <c r="E671" s="548" t="s">
        <v>159</v>
      </c>
      <c r="F671" s="30" t="s">
        <v>3</v>
      </c>
      <c r="G671" s="285">
        <v>0</v>
      </c>
      <c r="H671" s="286">
        <v>0</v>
      </c>
      <c r="I671" s="286">
        <v>0</v>
      </c>
      <c r="J671" s="286">
        <v>1022</v>
      </c>
      <c r="K671" s="286">
        <v>6070</v>
      </c>
      <c r="L671" s="286">
        <v>4435</v>
      </c>
      <c r="M671" s="212">
        <v>11527</v>
      </c>
    </row>
    <row r="672" spans="1:13" x14ac:dyDescent="0.25">
      <c r="A672" s="567"/>
      <c r="B672" s="546"/>
      <c r="C672" s="546"/>
      <c r="D672" s="546"/>
      <c r="E672" s="546"/>
      <c r="F672" s="29" t="s">
        <v>2</v>
      </c>
      <c r="G672" s="281">
        <v>0</v>
      </c>
      <c r="H672" s="282">
        <v>0</v>
      </c>
      <c r="I672" s="282">
        <v>0</v>
      </c>
      <c r="J672" s="282">
        <v>4534</v>
      </c>
      <c r="K672" s="282">
        <v>37141</v>
      </c>
      <c r="L672" s="282">
        <v>5073</v>
      </c>
      <c r="M672" s="210">
        <v>46748</v>
      </c>
    </row>
    <row r="673" spans="1:13" x14ac:dyDescent="0.25">
      <c r="A673" s="567"/>
      <c r="B673" s="546"/>
      <c r="C673" s="546"/>
      <c r="D673" s="546"/>
      <c r="E673" s="546"/>
      <c r="F673" s="29" t="s">
        <v>1</v>
      </c>
      <c r="G673" s="281">
        <v>0</v>
      </c>
      <c r="H673" s="282">
        <v>0</v>
      </c>
      <c r="I673" s="282">
        <v>194</v>
      </c>
      <c r="J673" s="282">
        <v>867</v>
      </c>
      <c r="K673" s="282">
        <v>1609</v>
      </c>
      <c r="L673" s="282">
        <v>0</v>
      </c>
      <c r="M673" s="210">
        <v>2670</v>
      </c>
    </row>
    <row r="674" spans="1:13" x14ac:dyDescent="0.25">
      <c r="A674" s="567"/>
      <c r="B674" s="546"/>
      <c r="C674" s="546"/>
      <c r="D674" s="546"/>
      <c r="E674" s="546"/>
      <c r="F674" s="29" t="s">
        <v>0</v>
      </c>
      <c r="G674" s="281">
        <v>0</v>
      </c>
      <c r="H674" s="282">
        <v>912</v>
      </c>
      <c r="I674" s="282">
        <v>7694</v>
      </c>
      <c r="J674" s="282">
        <v>3201</v>
      </c>
      <c r="K674" s="282">
        <v>2549</v>
      </c>
      <c r="L674" s="282">
        <v>772</v>
      </c>
      <c r="M674" s="210">
        <v>15128</v>
      </c>
    </row>
    <row r="675" spans="1:13" x14ac:dyDescent="0.25">
      <c r="A675" s="567"/>
      <c r="B675" s="546"/>
      <c r="C675" s="546"/>
      <c r="D675" s="547"/>
      <c r="E675" s="549" t="s">
        <v>25</v>
      </c>
      <c r="F675" s="550"/>
      <c r="G675" s="283">
        <v>0</v>
      </c>
      <c r="H675" s="284">
        <v>912</v>
      </c>
      <c r="I675" s="284">
        <v>7888</v>
      </c>
      <c r="J675" s="284">
        <v>9624</v>
      </c>
      <c r="K675" s="284">
        <v>47369</v>
      </c>
      <c r="L675" s="284">
        <v>10280</v>
      </c>
      <c r="M675" s="211">
        <v>76073</v>
      </c>
    </row>
    <row r="676" spans="1:13" x14ac:dyDescent="0.25">
      <c r="A676" s="567"/>
      <c r="B676" s="546"/>
      <c r="C676" s="546"/>
      <c r="D676" s="545" t="s">
        <v>564</v>
      </c>
      <c r="E676" s="548" t="s">
        <v>159</v>
      </c>
      <c r="F676" s="30" t="s">
        <v>3</v>
      </c>
      <c r="G676" s="290">
        <v>0</v>
      </c>
      <c r="H676" s="286">
        <v>2616</v>
      </c>
      <c r="I676" s="286">
        <v>523</v>
      </c>
      <c r="J676" s="286">
        <v>0</v>
      </c>
      <c r="K676" s="286">
        <v>0</v>
      </c>
      <c r="L676" s="287">
        <v>0</v>
      </c>
      <c r="M676" s="212">
        <v>3139</v>
      </c>
    </row>
    <row r="677" spans="1:13" x14ac:dyDescent="0.25">
      <c r="A677" s="567"/>
      <c r="B677" s="546"/>
      <c r="C677" s="546"/>
      <c r="D677" s="546"/>
      <c r="E677" s="546"/>
      <c r="F677" s="29" t="s">
        <v>2</v>
      </c>
      <c r="G677" s="291">
        <v>0</v>
      </c>
      <c r="H677" s="282">
        <v>4241</v>
      </c>
      <c r="I677" s="282">
        <v>1391</v>
      </c>
      <c r="J677" s="282">
        <v>1330</v>
      </c>
      <c r="K677" s="282">
        <v>0</v>
      </c>
      <c r="L677" s="288">
        <v>0</v>
      </c>
      <c r="M677" s="210">
        <v>6962</v>
      </c>
    </row>
    <row r="678" spans="1:13" x14ac:dyDescent="0.25">
      <c r="A678" s="567"/>
      <c r="B678" s="546"/>
      <c r="C678" s="546"/>
      <c r="D678" s="546"/>
      <c r="E678" s="546"/>
      <c r="F678" s="29" t="s">
        <v>1</v>
      </c>
      <c r="G678" s="291">
        <v>40</v>
      </c>
      <c r="H678" s="282">
        <v>2995</v>
      </c>
      <c r="I678" s="282">
        <v>38796</v>
      </c>
      <c r="J678" s="282">
        <v>821</v>
      </c>
      <c r="K678" s="282">
        <v>562</v>
      </c>
      <c r="L678" s="288">
        <v>0</v>
      </c>
      <c r="M678" s="210">
        <v>43214</v>
      </c>
    </row>
    <row r="679" spans="1:13" x14ac:dyDescent="0.25">
      <c r="A679" s="567"/>
      <c r="B679" s="546"/>
      <c r="C679" s="546"/>
      <c r="D679" s="546"/>
      <c r="E679" s="546"/>
      <c r="F679" s="29" t="s">
        <v>0</v>
      </c>
      <c r="G679" s="291">
        <v>7006</v>
      </c>
      <c r="H679" s="282">
        <v>29713</v>
      </c>
      <c r="I679" s="282">
        <v>9481</v>
      </c>
      <c r="J679" s="282">
        <v>2459</v>
      </c>
      <c r="K679" s="282">
        <v>1428</v>
      </c>
      <c r="L679" s="288">
        <v>0</v>
      </c>
      <c r="M679" s="210">
        <v>50087</v>
      </c>
    </row>
    <row r="680" spans="1:13" x14ac:dyDescent="0.25">
      <c r="A680" s="567"/>
      <c r="B680" s="546"/>
      <c r="C680" s="546"/>
      <c r="D680" s="547"/>
      <c r="E680" s="549" t="s">
        <v>25</v>
      </c>
      <c r="F680" s="550"/>
      <c r="G680" s="292">
        <v>7046</v>
      </c>
      <c r="H680" s="284">
        <v>39565</v>
      </c>
      <c r="I680" s="284">
        <v>50191</v>
      </c>
      <c r="J680" s="284">
        <v>4610</v>
      </c>
      <c r="K680" s="284">
        <v>1990</v>
      </c>
      <c r="L680" s="289">
        <v>0</v>
      </c>
      <c r="M680" s="211">
        <v>103402</v>
      </c>
    </row>
    <row r="681" spans="1:13" x14ac:dyDescent="0.25">
      <c r="A681" s="567"/>
      <c r="B681" s="546"/>
      <c r="C681" s="546"/>
      <c r="D681" s="545" t="s">
        <v>565</v>
      </c>
      <c r="E681" s="548" t="s">
        <v>159</v>
      </c>
      <c r="F681" s="30" t="s">
        <v>3</v>
      </c>
      <c r="G681" s="290">
        <v>0</v>
      </c>
      <c r="H681" s="286">
        <v>7917</v>
      </c>
      <c r="I681" s="286">
        <v>3418</v>
      </c>
      <c r="J681" s="286">
        <v>7908</v>
      </c>
      <c r="K681" s="286">
        <v>10952</v>
      </c>
      <c r="L681" s="286">
        <v>9684</v>
      </c>
      <c r="M681" s="212">
        <v>39879</v>
      </c>
    </row>
    <row r="682" spans="1:13" x14ac:dyDescent="0.25">
      <c r="A682" s="567"/>
      <c r="B682" s="546"/>
      <c r="C682" s="546"/>
      <c r="D682" s="546"/>
      <c r="E682" s="546"/>
      <c r="F682" s="29" t="s">
        <v>2</v>
      </c>
      <c r="G682" s="291">
        <v>0</v>
      </c>
      <c r="H682" s="282">
        <v>24110</v>
      </c>
      <c r="I682" s="282">
        <v>10472</v>
      </c>
      <c r="J682" s="282">
        <v>43801</v>
      </c>
      <c r="K682" s="282">
        <v>116419</v>
      </c>
      <c r="L682" s="282">
        <v>15286</v>
      </c>
      <c r="M682" s="210">
        <v>210088</v>
      </c>
    </row>
    <row r="683" spans="1:13" x14ac:dyDescent="0.25">
      <c r="A683" s="567"/>
      <c r="B683" s="546"/>
      <c r="C683" s="546"/>
      <c r="D683" s="546"/>
      <c r="E683" s="546"/>
      <c r="F683" s="29" t="s">
        <v>1</v>
      </c>
      <c r="G683" s="291">
        <v>138824</v>
      </c>
      <c r="H683" s="282">
        <v>18173</v>
      </c>
      <c r="I683" s="282">
        <v>4321</v>
      </c>
      <c r="J683" s="282">
        <v>2021</v>
      </c>
      <c r="K683" s="282">
        <v>441</v>
      </c>
      <c r="L683" s="282">
        <v>660</v>
      </c>
      <c r="M683" s="210">
        <v>164440</v>
      </c>
    </row>
    <row r="684" spans="1:13" x14ac:dyDescent="0.25">
      <c r="A684" s="567"/>
      <c r="B684" s="546"/>
      <c r="C684" s="546"/>
      <c r="D684" s="546"/>
      <c r="E684" s="546"/>
      <c r="F684" s="29" t="s">
        <v>0</v>
      </c>
      <c r="G684" s="291">
        <v>266310</v>
      </c>
      <c r="H684" s="282">
        <v>60464</v>
      </c>
      <c r="I684" s="282">
        <v>5181</v>
      </c>
      <c r="J684" s="282">
        <v>6622</v>
      </c>
      <c r="K684" s="282">
        <v>934</v>
      </c>
      <c r="L684" s="282">
        <v>5761</v>
      </c>
      <c r="M684" s="210">
        <v>345272</v>
      </c>
    </row>
    <row r="685" spans="1:13" x14ac:dyDescent="0.25">
      <c r="A685" s="567"/>
      <c r="B685" s="546"/>
      <c r="C685" s="546"/>
      <c r="D685" s="547"/>
      <c r="E685" s="549" t="s">
        <v>25</v>
      </c>
      <c r="F685" s="550"/>
      <c r="G685" s="292">
        <v>405134</v>
      </c>
      <c r="H685" s="284">
        <v>110664</v>
      </c>
      <c r="I685" s="284">
        <v>23392</v>
      </c>
      <c r="J685" s="284">
        <v>60352</v>
      </c>
      <c r="K685" s="284">
        <v>128746</v>
      </c>
      <c r="L685" s="284">
        <v>31391</v>
      </c>
      <c r="M685" s="211">
        <v>759679</v>
      </c>
    </row>
    <row r="686" spans="1:13" x14ac:dyDescent="0.25">
      <c r="A686" s="567"/>
      <c r="B686" s="546"/>
      <c r="C686" s="546"/>
      <c r="D686" s="545" t="s">
        <v>566</v>
      </c>
      <c r="E686" s="548" t="s">
        <v>159</v>
      </c>
      <c r="F686" s="30" t="s">
        <v>3</v>
      </c>
      <c r="G686" s="285">
        <v>0</v>
      </c>
      <c r="H686" s="287">
        <v>0</v>
      </c>
      <c r="I686" s="287">
        <v>0</v>
      </c>
      <c r="J686" s="286">
        <v>278</v>
      </c>
      <c r="K686" s="286">
        <v>270</v>
      </c>
      <c r="L686" s="286">
        <v>0</v>
      </c>
      <c r="M686" s="212">
        <v>548</v>
      </c>
    </row>
    <row r="687" spans="1:13" x14ac:dyDescent="0.25">
      <c r="A687" s="567"/>
      <c r="B687" s="546"/>
      <c r="C687" s="546"/>
      <c r="D687" s="546"/>
      <c r="E687" s="546"/>
      <c r="F687" s="29" t="s">
        <v>2</v>
      </c>
      <c r="G687" s="281">
        <v>0</v>
      </c>
      <c r="H687" s="288">
        <v>0</v>
      </c>
      <c r="I687" s="288">
        <v>0</v>
      </c>
      <c r="J687" s="282">
        <v>4204</v>
      </c>
      <c r="K687" s="282">
        <v>364</v>
      </c>
      <c r="L687" s="282">
        <v>0</v>
      </c>
      <c r="M687" s="210">
        <v>4568</v>
      </c>
    </row>
    <row r="688" spans="1:13" x14ac:dyDescent="0.25">
      <c r="A688" s="567"/>
      <c r="B688" s="546"/>
      <c r="C688" s="546"/>
      <c r="D688" s="546"/>
      <c r="E688" s="546"/>
      <c r="F688" s="29" t="s">
        <v>1</v>
      </c>
      <c r="G688" s="281">
        <v>0</v>
      </c>
      <c r="H688" s="288">
        <v>0</v>
      </c>
      <c r="I688" s="288">
        <v>0</v>
      </c>
      <c r="J688" s="282">
        <v>0</v>
      </c>
      <c r="K688" s="282">
        <v>0</v>
      </c>
      <c r="L688" s="282">
        <v>226</v>
      </c>
      <c r="M688" s="210">
        <v>226</v>
      </c>
    </row>
    <row r="689" spans="1:13" s="22" customFormat="1" x14ac:dyDescent="0.25">
      <c r="A689" s="567"/>
      <c r="B689" s="546"/>
      <c r="C689" s="546"/>
      <c r="D689" s="546"/>
      <c r="E689" s="207"/>
      <c r="F689" s="29" t="s">
        <v>0</v>
      </c>
      <c r="G689" s="281">
        <v>0</v>
      </c>
      <c r="H689" s="288">
        <v>0</v>
      </c>
      <c r="I689" s="288">
        <v>0</v>
      </c>
      <c r="J689" s="282">
        <v>0</v>
      </c>
      <c r="K689" s="282">
        <v>0</v>
      </c>
      <c r="L689" s="282">
        <v>0</v>
      </c>
      <c r="M689" s="210">
        <v>0</v>
      </c>
    </row>
    <row r="690" spans="1:13" x14ac:dyDescent="0.25">
      <c r="A690" s="567"/>
      <c r="B690" s="546"/>
      <c r="C690" s="546"/>
      <c r="D690" s="547"/>
      <c r="E690" s="549" t="s">
        <v>25</v>
      </c>
      <c r="F690" s="550"/>
      <c r="G690" s="283">
        <v>0</v>
      </c>
      <c r="H690" s="289">
        <v>0</v>
      </c>
      <c r="I690" s="289">
        <v>0</v>
      </c>
      <c r="J690" s="284">
        <v>4482</v>
      </c>
      <c r="K690" s="284">
        <v>634</v>
      </c>
      <c r="L690" s="284">
        <v>226</v>
      </c>
      <c r="M690" s="211">
        <v>5342</v>
      </c>
    </row>
    <row r="691" spans="1:13" x14ac:dyDescent="0.25">
      <c r="A691" s="567"/>
      <c r="B691" s="546"/>
      <c r="C691" s="546"/>
      <c r="D691" s="545" t="s">
        <v>567</v>
      </c>
      <c r="E691" s="548" t="s">
        <v>159</v>
      </c>
      <c r="F691" s="30" t="s">
        <v>3</v>
      </c>
      <c r="G691" s="290">
        <v>0</v>
      </c>
      <c r="H691" s="286">
        <v>1939</v>
      </c>
      <c r="I691" s="286">
        <v>0</v>
      </c>
      <c r="J691" s="286">
        <v>0</v>
      </c>
      <c r="K691" s="286">
        <v>0</v>
      </c>
      <c r="L691" s="286">
        <v>0</v>
      </c>
      <c r="M691" s="212">
        <v>1939</v>
      </c>
    </row>
    <row r="692" spans="1:13" x14ac:dyDescent="0.25">
      <c r="A692" s="567"/>
      <c r="B692" s="546"/>
      <c r="C692" s="546"/>
      <c r="D692" s="546"/>
      <c r="E692" s="546"/>
      <c r="F692" s="29" t="s">
        <v>2</v>
      </c>
      <c r="G692" s="291">
        <v>0</v>
      </c>
      <c r="H692" s="282">
        <v>0</v>
      </c>
      <c r="I692" s="282">
        <v>296</v>
      </c>
      <c r="J692" s="282">
        <v>0</v>
      </c>
      <c r="K692" s="282">
        <v>0</v>
      </c>
      <c r="L692" s="282">
        <v>0</v>
      </c>
      <c r="M692" s="210">
        <v>296</v>
      </c>
    </row>
    <row r="693" spans="1:13" x14ac:dyDescent="0.25">
      <c r="A693" s="567"/>
      <c r="B693" s="546"/>
      <c r="C693" s="546"/>
      <c r="D693" s="546"/>
      <c r="E693" s="546"/>
      <c r="F693" s="29" t="s">
        <v>1</v>
      </c>
      <c r="G693" s="291">
        <v>0</v>
      </c>
      <c r="H693" s="282">
        <v>31843</v>
      </c>
      <c r="I693" s="282">
        <v>30549</v>
      </c>
      <c r="J693" s="282">
        <v>0</v>
      </c>
      <c r="K693" s="282">
        <v>99</v>
      </c>
      <c r="L693" s="282">
        <v>226</v>
      </c>
      <c r="M693" s="210">
        <v>62717</v>
      </c>
    </row>
    <row r="694" spans="1:13" x14ac:dyDescent="0.25">
      <c r="A694" s="567"/>
      <c r="B694" s="546"/>
      <c r="C694" s="546"/>
      <c r="D694" s="546"/>
      <c r="E694" s="546"/>
      <c r="F694" s="29" t="s">
        <v>0</v>
      </c>
      <c r="G694" s="291">
        <v>497</v>
      </c>
      <c r="H694" s="282">
        <v>4006</v>
      </c>
      <c r="I694" s="282">
        <v>0</v>
      </c>
      <c r="J694" s="282">
        <v>331</v>
      </c>
      <c r="K694" s="282">
        <v>2167</v>
      </c>
      <c r="L694" s="282">
        <v>0</v>
      </c>
      <c r="M694" s="210">
        <v>7001</v>
      </c>
    </row>
    <row r="695" spans="1:13" x14ac:dyDescent="0.25">
      <c r="A695" s="567"/>
      <c r="B695" s="546"/>
      <c r="C695" s="546"/>
      <c r="D695" s="547"/>
      <c r="E695" s="549" t="s">
        <v>25</v>
      </c>
      <c r="F695" s="550"/>
      <c r="G695" s="292">
        <v>497</v>
      </c>
      <c r="H695" s="284">
        <v>37788</v>
      </c>
      <c r="I695" s="284">
        <v>30845</v>
      </c>
      <c r="J695" s="284">
        <v>331</v>
      </c>
      <c r="K695" s="284">
        <v>2266</v>
      </c>
      <c r="L695" s="284">
        <v>226</v>
      </c>
      <c r="M695" s="211">
        <v>71953</v>
      </c>
    </row>
    <row r="696" spans="1:13" x14ac:dyDescent="0.25">
      <c r="A696" s="567"/>
      <c r="B696" s="546"/>
      <c r="C696" s="546"/>
      <c r="D696" s="545" t="s">
        <v>568</v>
      </c>
      <c r="E696" s="548" t="s">
        <v>159</v>
      </c>
      <c r="F696" s="30" t="s">
        <v>3</v>
      </c>
      <c r="G696" s="290">
        <v>0</v>
      </c>
      <c r="H696" s="286">
        <v>4289</v>
      </c>
      <c r="I696" s="286">
        <v>0</v>
      </c>
      <c r="J696" s="286">
        <v>0</v>
      </c>
      <c r="K696" s="286">
        <v>627</v>
      </c>
      <c r="L696" s="286">
        <v>1790</v>
      </c>
      <c r="M696" s="212">
        <v>6706</v>
      </c>
    </row>
    <row r="697" spans="1:13" x14ac:dyDescent="0.25">
      <c r="A697" s="567"/>
      <c r="B697" s="546"/>
      <c r="C697" s="546"/>
      <c r="D697" s="546"/>
      <c r="E697" s="546"/>
      <c r="F697" s="29" t="s">
        <v>2</v>
      </c>
      <c r="G697" s="291">
        <v>0</v>
      </c>
      <c r="H697" s="282">
        <v>21652</v>
      </c>
      <c r="I697" s="282">
        <v>3368</v>
      </c>
      <c r="J697" s="282">
        <v>2029</v>
      </c>
      <c r="K697" s="282">
        <v>9229</v>
      </c>
      <c r="L697" s="282">
        <v>974</v>
      </c>
      <c r="M697" s="210">
        <v>37252</v>
      </c>
    </row>
    <row r="698" spans="1:13" x14ac:dyDescent="0.25">
      <c r="A698" s="567"/>
      <c r="B698" s="546"/>
      <c r="C698" s="546"/>
      <c r="D698" s="546"/>
      <c r="E698" s="546"/>
      <c r="F698" s="29" t="s">
        <v>1</v>
      </c>
      <c r="G698" s="291">
        <v>44454</v>
      </c>
      <c r="H698" s="282">
        <v>1951</v>
      </c>
      <c r="I698" s="282">
        <v>77</v>
      </c>
      <c r="J698" s="282">
        <v>1346</v>
      </c>
      <c r="K698" s="282">
        <v>825</v>
      </c>
      <c r="L698" s="282">
        <v>0</v>
      </c>
      <c r="M698" s="210">
        <v>48653</v>
      </c>
    </row>
    <row r="699" spans="1:13" x14ac:dyDescent="0.25">
      <c r="A699" s="567"/>
      <c r="B699" s="546"/>
      <c r="C699" s="546"/>
      <c r="D699" s="546"/>
      <c r="E699" s="546"/>
      <c r="F699" s="29" t="s">
        <v>0</v>
      </c>
      <c r="G699" s="291">
        <v>298490</v>
      </c>
      <c r="H699" s="282">
        <v>63403</v>
      </c>
      <c r="I699" s="282">
        <v>4143</v>
      </c>
      <c r="J699" s="282">
        <v>2063</v>
      </c>
      <c r="K699" s="282">
        <v>0</v>
      </c>
      <c r="L699" s="282">
        <v>1460</v>
      </c>
      <c r="M699" s="210">
        <v>369559</v>
      </c>
    </row>
    <row r="700" spans="1:13" x14ac:dyDescent="0.25">
      <c r="A700" s="567"/>
      <c r="B700" s="546"/>
      <c r="C700" s="546"/>
      <c r="D700" s="547"/>
      <c r="E700" s="549" t="s">
        <v>25</v>
      </c>
      <c r="F700" s="550"/>
      <c r="G700" s="292">
        <v>342944</v>
      </c>
      <c r="H700" s="284">
        <v>91295</v>
      </c>
      <c r="I700" s="284">
        <v>7588</v>
      </c>
      <c r="J700" s="284">
        <v>5438</v>
      </c>
      <c r="K700" s="284">
        <v>10681</v>
      </c>
      <c r="L700" s="284">
        <v>4224</v>
      </c>
      <c r="M700" s="211">
        <v>462170</v>
      </c>
    </row>
    <row r="701" spans="1:13" x14ac:dyDescent="0.25">
      <c r="A701" s="567"/>
      <c r="B701" s="546"/>
      <c r="C701" s="546"/>
      <c r="D701" s="545" t="s">
        <v>569</v>
      </c>
      <c r="E701" s="548" t="s">
        <v>159</v>
      </c>
      <c r="F701" s="30" t="s">
        <v>3</v>
      </c>
      <c r="G701" s="285">
        <v>0</v>
      </c>
      <c r="H701" s="286">
        <v>0</v>
      </c>
      <c r="I701" s="286">
        <v>325</v>
      </c>
      <c r="J701" s="286">
        <v>3196</v>
      </c>
      <c r="K701" s="286">
        <v>2068</v>
      </c>
      <c r="L701" s="286">
        <v>0</v>
      </c>
      <c r="M701" s="212">
        <v>5589</v>
      </c>
    </row>
    <row r="702" spans="1:13" x14ac:dyDescent="0.25">
      <c r="A702" s="567"/>
      <c r="B702" s="546"/>
      <c r="C702" s="546"/>
      <c r="D702" s="546"/>
      <c r="E702" s="546"/>
      <c r="F702" s="29" t="s">
        <v>2</v>
      </c>
      <c r="G702" s="281">
        <v>0</v>
      </c>
      <c r="H702" s="282">
        <v>411</v>
      </c>
      <c r="I702" s="282">
        <v>680</v>
      </c>
      <c r="J702" s="282">
        <v>10685</v>
      </c>
      <c r="K702" s="282">
        <v>12238</v>
      </c>
      <c r="L702" s="282">
        <v>2292</v>
      </c>
      <c r="M702" s="210">
        <v>26306</v>
      </c>
    </row>
    <row r="703" spans="1:13" x14ac:dyDescent="0.25">
      <c r="A703" s="567"/>
      <c r="B703" s="546"/>
      <c r="C703" s="546"/>
      <c r="D703" s="546"/>
      <c r="E703" s="546"/>
      <c r="F703" s="29" t="s">
        <v>1</v>
      </c>
      <c r="G703" s="281">
        <v>0</v>
      </c>
      <c r="H703" s="282">
        <v>0</v>
      </c>
      <c r="I703" s="282">
        <v>582</v>
      </c>
      <c r="J703" s="282">
        <v>106</v>
      </c>
      <c r="K703" s="282">
        <v>832</v>
      </c>
      <c r="L703" s="282">
        <v>468</v>
      </c>
      <c r="M703" s="210">
        <v>1988</v>
      </c>
    </row>
    <row r="704" spans="1:13" x14ac:dyDescent="0.25">
      <c r="A704" s="567"/>
      <c r="B704" s="546"/>
      <c r="C704" s="546"/>
      <c r="D704" s="546"/>
      <c r="E704" s="546"/>
      <c r="F704" s="29" t="s">
        <v>0</v>
      </c>
      <c r="G704" s="281">
        <v>0</v>
      </c>
      <c r="H704" s="282">
        <v>0</v>
      </c>
      <c r="I704" s="282">
        <v>12675</v>
      </c>
      <c r="J704" s="282">
        <v>32980</v>
      </c>
      <c r="K704" s="282">
        <v>1224</v>
      </c>
      <c r="L704" s="282">
        <v>3995</v>
      </c>
      <c r="M704" s="210">
        <v>50874</v>
      </c>
    </row>
    <row r="705" spans="1:13" x14ac:dyDescent="0.25">
      <c r="A705" s="567"/>
      <c r="B705" s="546"/>
      <c r="C705" s="546"/>
      <c r="D705" s="547"/>
      <c r="E705" s="549" t="s">
        <v>25</v>
      </c>
      <c r="F705" s="550"/>
      <c r="G705" s="283">
        <v>0</v>
      </c>
      <c r="H705" s="284">
        <v>411</v>
      </c>
      <c r="I705" s="284">
        <v>14262</v>
      </c>
      <c r="J705" s="284">
        <v>46967</v>
      </c>
      <c r="K705" s="284">
        <v>16362</v>
      </c>
      <c r="L705" s="284">
        <v>6755</v>
      </c>
      <c r="M705" s="211">
        <v>84757</v>
      </c>
    </row>
    <row r="706" spans="1:13" x14ac:dyDescent="0.25">
      <c r="A706" s="567"/>
      <c r="B706" s="546"/>
      <c r="C706" s="546"/>
      <c r="D706" s="545" t="s">
        <v>570</v>
      </c>
      <c r="E706" s="548" t="s">
        <v>159</v>
      </c>
      <c r="F706" s="30" t="s">
        <v>3</v>
      </c>
      <c r="G706" s="290">
        <v>0</v>
      </c>
      <c r="H706" s="286">
        <v>2617</v>
      </c>
      <c r="I706" s="286">
        <v>543</v>
      </c>
      <c r="J706" s="286">
        <v>1540</v>
      </c>
      <c r="K706" s="286">
        <v>326</v>
      </c>
      <c r="L706" s="286">
        <v>344</v>
      </c>
      <c r="M706" s="212">
        <v>5370</v>
      </c>
    </row>
    <row r="707" spans="1:13" x14ac:dyDescent="0.25">
      <c r="A707" s="567"/>
      <c r="B707" s="546"/>
      <c r="C707" s="546"/>
      <c r="D707" s="546"/>
      <c r="E707" s="546"/>
      <c r="F707" s="29" t="s">
        <v>2</v>
      </c>
      <c r="G707" s="291">
        <v>0</v>
      </c>
      <c r="H707" s="282">
        <v>28018</v>
      </c>
      <c r="I707" s="282">
        <v>7882</v>
      </c>
      <c r="J707" s="282">
        <v>4808</v>
      </c>
      <c r="K707" s="282">
        <v>283</v>
      </c>
      <c r="L707" s="282">
        <v>0</v>
      </c>
      <c r="M707" s="210">
        <v>40991</v>
      </c>
    </row>
    <row r="708" spans="1:13" x14ac:dyDescent="0.25">
      <c r="A708" s="567"/>
      <c r="B708" s="546"/>
      <c r="C708" s="546"/>
      <c r="D708" s="546"/>
      <c r="E708" s="546"/>
      <c r="F708" s="29" t="s">
        <v>1</v>
      </c>
      <c r="G708" s="291">
        <v>15894</v>
      </c>
      <c r="H708" s="282">
        <v>17008</v>
      </c>
      <c r="I708" s="282">
        <v>4682</v>
      </c>
      <c r="J708" s="282">
        <v>893</v>
      </c>
      <c r="K708" s="282">
        <v>851</v>
      </c>
      <c r="L708" s="282">
        <v>443</v>
      </c>
      <c r="M708" s="210">
        <v>39771</v>
      </c>
    </row>
    <row r="709" spans="1:13" x14ac:dyDescent="0.25">
      <c r="A709" s="567"/>
      <c r="B709" s="546"/>
      <c r="C709" s="546"/>
      <c r="D709" s="546"/>
      <c r="E709" s="546"/>
      <c r="F709" s="29" t="s">
        <v>0</v>
      </c>
      <c r="G709" s="291">
        <v>28636</v>
      </c>
      <c r="H709" s="282">
        <v>41948</v>
      </c>
      <c r="I709" s="282">
        <v>37038</v>
      </c>
      <c r="J709" s="282">
        <v>8685</v>
      </c>
      <c r="K709" s="282">
        <v>14194</v>
      </c>
      <c r="L709" s="282">
        <v>0</v>
      </c>
      <c r="M709" s="210">
        <v>130501</v>
      </c>
    </row>
    <row r="710" spans="1:13" x14ac:dyDescent="0.25">
      <c r="A710" s="567"/>
      <c r="B710" s="546"/>
      <c r="C710" s="546"/>
      <c r="D710" s="547"/>
      <c r="E710" s="549" t="s">
        <v>25</v>
      </c>
      <c r="F710" s="550"/>
      <c r="G710" s="292">
        <v>44530</v>
      </c>
      <c r="H710" s="284">
        <v>89591</v>
      </c>
      <c r="I710" s="284">
        <v>50145</v>
      </c>
      <c r="J710" s="284">
        <v>15926</v>
      </c>
      <c r="K710" s="284">
        <v>15654</v>
      </c>
      <c r="L710" s="284">
        <v>787</v>
      </c>
      <c r="M710" s="211">
        <v>216633</v>
      </c>
    </row>
    <row r="711" spans="1:13" x14ac:dyDescent="0.25">
      <c r="A711" s="567"/>
      <c r="B711" s="546"/>
      <c r="C711" s="546"/>
      <c r="D711" s="545" t="s">
        <v>571</v>
      </c>
      <c r="E711" s="548" t="s">
        <v>159</v>
      </c>
      <c r="F711" s="30" t="s">
        <v>3</v>
      </c>
      <c r="G711" s="290">
        <v>0</v>
      </c>
      <c r="H711" s="286">
        <v>106958</v>
      </c>
      <c r="I711" s="286">
        <v>37387</v>
      </c>
      <c r="J711" s="286">
        <v>34785</v>
      </c>
      <c r="K711" s="286">
        <v>65037</v>
      </c>
      <c r="L711" s="286">
        <v>69024</v>
      </c>
      <c r="M711" s="212">
        <v>313191</v>
      </c>
    </row>
    <row r="712" spans="1:13" x14ac:dyDescent="0.25">
      <c r="A712" s="567"/>
      <c r="B712" s="546"/>
      <c r="C712" s="546"/>
      <c r="D712" s="546"/>
      <c r="E712" s="546"/>
      <c r="F712" s="29" t="s">
        <v>2</v>
      </c>
      <c r="G712" s="291">
        <v>0</v>
      </c>
      <c r="H712" s="282">
        <v>602068</v>
      </c>
      <c r="I712" s="282">
        <v>63323</v>
      </c>
      <c r="J712" s="282">
        <v>404302</v>
      </c>
      <c r="K712" s="282">
        <v>568772</v>
      </c>
      <c r="L712" s="282">
        <v>241608</v>
      </c>
      <c r="M712" s="210">
        <v>1880073</v>
      </c>
    </row>
    <row r="713" spans="1:13" x14ac:dyDescent="0.25">
      <c r="A713" s="567"/>
      <c r="B713" s="546"/>
      <c r="C713" s="546"/>
      <c r="D713" s="546"/>
      <c r="E713" s="546"/>
      <c r="F713" s="29" t="s">
        <v>1</v>
      </c>
      <c r="G713" s="291">
        <v>563062</v>
      </c>
      <c r="H713" s="282">
        <v>135023</v>
      </c>
      <c r="I713" s="282">
        <v>67000</v>
      </c>
      <c r="J713" s="282">
        <v>30776</v>
      </c>
      <c r="K713" s="282">
        <v>14514</v>
      </c>
      <c r="L713" s="282">
        <v>10661</v>
      </c>
      <c r="M713" s="210">
        <v>821036</v>
      </c>
    </row>
    <row r="714" spans="1:13" x14ac:dyDescent="0.25">
      <c r="A714" s="567"/>
      <c r="B714" s="546"/>
      <c r="C714" s="546"/>
      <c r="D714" s="546"/>
      <c r="E714" s="546"/>
      <c r="F714" s="29" t="s">
        <v>0</v>
      </c>
      <c r="G714" s="291">
        <v>4087406</v>
      </c>
      <c r="H714" s="282">
        <v>878764</v>
      </c>
      <c r="I714" s="282">
        <v>732066</v>
      </c>
      <c r="J714" s="282">
        <v>348780</v>
      </c>
      <c r="K714" s="282">
        <v>36107</v>
      </c>
      <c r="L714" s="282">
        <v>29049</v>
      </c>
      <c r="M714" s="210">
        <v>6112172</v>
      </c>
    </row>
    <row r="715" spans="1:13" x14ac:dyDescent="0.25">
      <c r="A715" s="567"/>
      <c r="B715" s="546"/>
      <c r="C715" s="546"/>
      <c r="D715" s="547"/>
      <c r="E715" s="549" t="s">
        <v>25</v>
      </c>
      <c r="F715" s="550"/>
      <c r="G715" s="292">
        <v>4650468</v>
      </c>
      <c r="H715" s="284">
        <v>1722813</v>
      </c>
      <c r="I715" s="284">
        <v>899776</v>
      </c>
      <c r="J715" s="284">
        <v>818643</v>
      </c>
      <c r="K715" s="284">
        <v>684430</v>
      </c>
      <c r="L715" s="284">
        <v>350342</v>
      </c>
      <c r="M715" s="211">
        <v>9126472</v>
      </c>
    </row>
    <row r="716" spans="1:13" x14ac:dyDescent="0.25">
      <c r="A716" s="567"/>
      <c r="B716" s="546"/>
      <c r="C716" s="546"/>
      <c r="D716" s="545" t="s">
        <v>572</v>
      </c>
      <c r="E716" s="548" t="s">
        <v>159</v>
      </c>
      <c r="F716" s="30" t="s">
        <v>3</v>
      </c>
      <c r="G716" s="285">
        <v>0</v>
      </c>
      <c r="H716" s="286">
        <v>0</v>
      </c>
      <c r="I716" s="286">
        <v>882</v>
      </c>
      <c r="J716" s="286">
        <v>4788</v>
      </c>
      <c r="K716" s="286">
        <v>4840</v>
      </c>
      <c r="L716" s="286">
        <v>5949</v>
      </c>
      <c r="M716" s="212">
        <v>16459</v>
      </c>
    </row>
    <row r="717" spans="1:13" x14ac:dyDescent="0.25">
      <c r="A717" s="567"/>
      <c r="B717" s="546"/>
      <c r="C717" s="546"/>
      <c r="D717" s="546"/>
      <c r="E717" s="546"/>
      <c r="F717" s="29" t="s">
        <v>2</v>
      </c>
      <c r="G717" s="281">
        <v>0</v>
      </c>
      <c r="H717" s="282">
        <v>0</v>
      </c>
      <c r="I717" s="282">
        <v>565</v>
      </c>
      <c r="J717" s="282">
        <v>19695</v>
      </c>
      <c r="K717" s="282">
        <v>34454</v>
      </c>
      <c r="L717" s="282">
        <v>27577</v>
      </c>
      <c r="M717" s="210">
        <v>82291</v>
      </c>
    </row>
    <row r="718" spans="1:13" x14ac:dyDescent="0.25">
      <c r="A718" s="567"/>
      <c r="B718" s="546"/>
      <c r="C718" s="546"/>
      <c r="D718" s="546"/>
      <c r="E718" s="546"/>
      <c r="F718" s="29" t="s">
        <v>1</v>
      </c>
      <c r="G718" s="281">
        <v>0</v>
      </c>
      <c r="H718" s="282">
        <v>0</v>
      </c>
      <c r="I718" s="282">
        <v>1256</v>
      </c>
      <c r="J718" s="282">
        <v>2074</v>
      </c>
      <c r="K718" s="282">
        <v>1764</v>
      </c>
      <c r="L718" s="282">
        <v>203</v>
      </c>
      <c r="M718" s="210">
        <v>5297</v>
      </c>
    </row>
    <row r="719" spans="1:13" x14ac:dyDescent="0.25">
      <c r="A719" s="567"/>
      <c r="B719" s="546"/>
      <c r="C719" s="546"/>
      <c r="D719" s="546"/>
      <c r="E719" s="546"/>
      <c r="F719" s="29" t="s">
        <v>0</v>
      </c>
      <c r="G719" s="281">
        <v>0</v>
      </c>
      <c r="H719" s="282">
        <v>223</v>
      </c>
      <c r="I719" s="282">
        <v>24820</v>
      </c>
      <c r="J719" s="282">
        <v>18529</v>
      </c>
      <c r="K719" s="282">
        <v>15520</v>
      </c>
      <c r="L719" s="282">
        <v>1763</v>
      </c>
      <c r="M719" s="210">
        <v>60855</v>
      </c>
    </row>
    <row r="720" spans="1:13" x14ac:dyDescent="0.25">
      <c r="A720" s="567"/>
      <c r="B720" s="546"/>
      <c r="C720" s="546"/>
      <c r="D720" s="547"/>
      <c r="E720" s="549" t="s">
        <v>25</v>
      </c>
      <c r="F720" s="550"/>
      <c r="G720" s="283">
        <v>0</v>
      </c>
      <c r="H720" s="284">
        <v>223</v>
      </c>
      <c r="I720" s="284">
        <v>27523</v>
      </c>
      <c r="J720" s="284">
        <v>45086</v>
      </c>
      <c r="K720" s="284">
        <v>56578</v>
      </c>
      <c r="L720" s="284">
        <v>35492</v>
      </c>
      <c r="M720" s="211">
        <v>164902</v>
      </c>
    </row>
    <row r="721" spans="1:13" x14ac:dyDescent="0.25">
      <c r="A721" s="567"/>
      <c r="B721" s="546"/>
      <c r="C721" s="546"/>
      <c r="D721" s="545" t="s">
        <v>573</v>
      </c>
      <c r="E721" s="548" t="s">
        <v>159</v>
      </c>
      <c r="F721" s="30" t="s">
        <v>3</v>
      </c>
      <c r="G721" s="290">
        <v>0</v>
      </c>
      <c r="H721" s="286">
        <v>979</v>
      </c>
      <c r="I721" s="286">
        <v>1641</v>
      </c>
      <c r="J721" s="286">
        <v>2773</v>
      </c>
      <c r="K721" s="286">
        <v>0</v>
      </c>
      <c r="L721" s="286">
        <v>195</v>
      </c>
      <c r="M721" s="212">
        <v>5588</v>
      </c>
    </row>
    <row r="722" spans="1:13" x14ac:dyDescent="0.25">
      <c r="A722" s="567"/>
      <c r="B722" s="546"/>
      <c r="C722" s="546"/>
      <c r="D722" s="546"/>
      <c r="E722" s="546"/>
      <c r="F722" s="29" t="s">
        <v>2</v>
      </c>
      <c r="G722" s="291">
        <v>0</v>
      </c>
      <c r="H722" s="282">
        <v>8839</v>
      </c>
      <c r="I722" s="282">
        <v>6181</v>
      </c>
      <c r="J722" s="282">
        <v>9754</v>
      </c>
      <c r="K722" s="282">
        <v>2021</v>
      </c>
      <c r="L722" s="282">
        <v>1816</v>
      </c>
      <c r="M722" s="210">
        <v>28611</v>
      </c>
    </row>
    <row r="723" spans="1:13" x14ac:dyDescent="0.25">
      <c r="A723" s="567"/>
      <c r="B723" s="546"/>
      <c r="C723" s="546"/>
      <c r="D723" s="546"/>
      <c r="E723" s="546"/>
      <c r="F723" s="29" t="s">
        <v>1</v>
      </c>
      <c r="G723" s="291">
        <v>6154</v>
      </c>
      <c r="H723" s="282">
        <v>12609</v>
      </c>
      <c r="I723" s="282">
        <v>73</v>
      </c>
      <c r="J723" s="282">
        <v>467</v>
      </c>
      <c r="K723" s="282">
        <v>0</v>
      </c>
      <c r="L723" s="282">
        <v>445</v>
      </c>
      <c r="M723" s="210">
        <v>19748</v>
      </c>
    </row>
    <row r="724" spans="1:13" x14ac:dyDescent="0.25">
      <c r="A724" s="567"/>
      <c r="B724" s="546"/>
      <c r="C724" s="546"/>
      <c r="D724" s="546"/>
      <c r="E724" s="546"/>
      <c r="F724" s="29" t="s">
        <v>0</v>
      </c>
      <c r="G724" s="291">
        <v>66844</v>
      </c>
      <c r="H724" s="282">
        <v>76433</v>
      </c>
      <c r="I724" s="282">
        <v>86914</v>
      </c>
      <c r="J724" s="282">
        <v>13995</v>
      </c>
      <c r="K724" s="282">
        <v>2944</v>
      </c>
      <c r="L724" s="282">
        <v>0</v>
      </c>
      <c r="M724" s="210">
        <v>247130</v>
      </c>
    </row>
    <row r="725" spans="1:13" x14ac:dyDescent="0.25">
      <c r="A725" s="568"/>
      <c r="B725" s="547"/>
      <c r="C725" s="547"/>
      <c r="D725" s="547"/>
      <c r="E725" s="549" t="s">
        <v>25</v>
      </c>
      <c r="F725" s="550"/>
      <c r="G725" s="292">
        <v>72998</v>
      </c>
      <c r="H725" s="284">
        <v>98860</v>
      </c>
      <c r="I725" s="284">
        <v>94809</v>
      </c>
      <c r="J725" s="284">
        <v>26989</v>
      </c>
      <c r="K725" s="284">
        <v>4965</v>
      </c>
      <c r="L725" s="284">
        <v>2456</v>
      </c>
      <c r="M725" s="211">
        <v>301077</v>
      </c>
    </row>
    <row r="726" spans="1:13" ht="15.75" thickBot="1" x14ac:dyDescent="0.3">
      <c r="A726" s="573" t="s">
        <v>10</v>
      </c>
      <c r="B726" s="545" t="s">
        <v>9</v>
      </c>
      <c r="C726" s="545" t="s">
        <v>7</v>
      </c>
      <c r="D726" s="545" t="s">
        <v>562</v>
      </c>
      <c r="E726" s="548" t="s">
        <v>159</v>
      </c>
      <c r="F726" s="30" t="s">
        <v>3</v>
      </c>
      <c r="G726" s="285">
        <v>0</v>
      </c>
      <c r="H726" s="286">
        <v>69573</v>
      </c>
      <c r="I726" s="286">
        <v>23724</v>
      </c>
      <c r="J726" s="286">
        <v>74408</v>
      </c>
      <c r="K726" s="286">
        <v>66821</v>
      </c>
      <c r="L726" s="286">
        <v>9721</v>
      </c>
      <c r="M726" s="212">
        <v>244247</v>
      </c>
    </row>
    <row r="727" spans="1:13" x14ac:dyDescent="0.25">
      <c r="A727" s="567"/>
      <c r="B727" s="546"/>
      <c r="C727" s="546"/>
      <c r="D727" s="546"/>
      <c r="E727" s="546"/>
      <c r="F727" s="29" t="s">
        <v>2</v>
      </c>
      <c r="G727" s="281">
        <v>0</v>
      </c>
      <c r="H727" s="282">
        <v>19134</v>
      </c>
      <c r="I727" s="282">
        <v>40569</v>
      </c>
      <c r="J727" s="282">
        <v>36006</v>
      </c>
      <c r="K727" s="282">
        <v>20207</v>
      </c>
      <c r="L727" s="282">
        <v>746</v>
      </c>
      <c r="M727" s="210">
        <v>116662</v>
      </c>
    </row>
    <row r="728" spans="1:13" x14ac:dyDescent="0.25">
      <c r="A728" s="567"/>
      <c r="B728" s="546"/>
      <c r="C728" s="546"/>
      <c r="D728" s="546"/>
      <c r="E728" s="546"/>
      <c r="F728" s="29" t="s">
        <v>1</v>
      </c>
      <c r="G728" s="281">
        <v>0</v>
      </c>
      <c r="H728" s="282">
        <v>29615</v>
      </c>
      <c r="I728" s="282">
        <v>44761</v>
      </c>
      <c r="J728" s="282">
        <v>12144</v>
      </c>
      <c r="K728" s="282">
        <v>412</v>
      </c>
      <c r="L728" s="282">
        <v>1647</v>
      </c>
      <c r="M728" s="210">
        <v>88579</v>
      </c>
    </row>
    <row r="729" spans="1:13" x14ac:dyDescent="0.25">
      <c r="A729" s="567"/>
      <c r="B729" s="546"/>
      <c r="C729" s="546"/>
      <c r="D729" s="546"/>
      <c r="E729" s="546"/>
      <c r="F729" s="29" t="s">
        <v>0</v>
      </c>
      <c r="G729" s="281">
        <v>0</v>
      </c>
      <c r="H729" s="282">
        <v>104767</v>
      </c>
      <c r="I729" s="282">
        <v>64279</v>
      </c>
      <c r="J729" s="282">
        <v>23311</v>
      </c>
      <c r="K729" s="282">
        <v>222</v>
      </c>
      <c r="L729" s="282">
        <v>0</v>
      </c>
      <c r="M729" s="210">
        <v>192579</v>
      </c>
    </row>
    <row r="730" spans="1:13" x14ac:dyDescent="0.25">
      <c r="A730" s="567"/>
      <c r="B730" s="546"/>
      <c r="C730" s="546"/>
      <c r="D730" s="547"/>
      <c r="E730" s="549" t="s">
        <v>25</v>
      </c>
      <c r="F730" s="550"/>
      <c r="G730" s="283">
        <v>0</v>
      </c>
      <c r="H730" s="284">
        <v>223089</v>
      </c>
      <c r="I730" s="284">
        <v>173333</v>
      </c>
      <c r="J730" s="284">
        <v>145869</v>
      </c>
      <c r="K730" s="284">
        <v>87662</v>
      </c>
      <c r="L730" s="284">
        <v>12114</v>
      </c>
      <c r="M730" s="211">
        <v>642067</v>
      </c>
    </row>
    <row r="731" spans="1:13" x14ac:dyDescent="0.25">
      <c r="A731" s="567"/>
      <c r="B731" s="546"/>
      <c r="C731" s="546"/>
      <c r="D731" s="545" t="s">
        <v>563</v>
      </c>
      <c r="E731" s="548" t="s">
        <v>159</v>
      </c>
      <c r="F731" s="30" t="s">
        <v>3</v>
      </c>
      <c r="G731" s="285">
        <v>0</v>
      </c>
      <c r="H731" s="286">
        <v>2418</v>
      </c>
      <c r="I731" s="286">
        <v>12780</v>
      </c>
      <c r="J731" s="286">
        <v>22414</v>
      </c>
      <c r="K731" s="286">
        <v>6536</v>
      </c>
      <c r="L731" s="286">
        <v>0</v>
      </c>
      <c r="M731" s="212">
        <v>44148</v>
      </c>
    </row>
    <row r="732" spans="1:13" x14ac:dyDescent="0.25">
      <c r="A732" s="567"/>
      <c r="B732" s="546"/>
      <c r="C732" s="546"/>
      <c r="D732" s="546"/>
      <c r="E732" s="546"/>
      <c r="F732" s="29" t="s">
        <v>2</v>
      </c>
      <c r="G732" s="281">
        <v>0</v>
      </c>
      <c r="H732" s="282">
        <v>0</v>
      </c>
      <c r="I732" s="282">
        <v>3181</v>
      </c>
      <c r="J732" s="282">
        <v>10903</v>
      </c>
      <c r="K732" s="282">
        <v>17775</v>
      </c>
      <c r="L732" s="282">
        <v>740</v>
      </c>
      <c r="M732" s="210">
        <v>32599</v>
      </c>
    </row>
    <row r="733" spans="1:13" x14ac:dyDescent="0.25">
      <c r="A733" s="567"/>
      <c r="B733" s="546"/>
      <c r="C733" s="546"/>
      <c r="D733" s="546"/>
      <c r="E733" s="546"/>
      <c r="F733" s="29" t="s">
        <v>1</v>
      </c>
      <c r="G733" s="281">
        <v>0</v>
      </c>
      <c r="H733" s="282">
        <v>0</v>
      </c>
      <c r="I733" s="282">
        <v>26856</v>
      </c>
      <c r="J733" s="282">
        <v>10503</v>
      </c>
      <c r="K733" s="282">
        <v>1084</v>
      </c>
      <c r="L733" s="282">
        <v>696</v>
      </c>
      <c r="M733" s="210">
        <v>39139</v>
      </c>
    </row>
    <row r="734" spans="1:13" x14ac:dyDescent="0.25">
      <c r="A734" s="567"/>
      <c r="B734" s="546"/>
      <c r="C734" s="546"/>
      <c r="D734" s="546"/>
      <c r="E734" s="546"/>
      <c r="F734" s="29" t="s">
        <v>0</v>
      </c>
      <c r="G734" s="281">
        <v>0</v>
      </c>
      <c r="H734" s="282">
        <v>4684</v>
      </c>
      <c r="I734" s="282">
        <v>75028</v>
      </c>
      <c r="J734" s="282">
        <v>74794</v>
      </c>
      <c r="K734" s="282">
        <v>1025</v>
      </c>
      <c r="L734" s="282">
        <v>0</v>
      </c>
      <c r="M734" s="210">
        <v>155531</v>
      </c>
    </row>
    <row r="735" spans="1:13" x14ac:dyDescent="0.25">
      <c r="A735" s="567"/>
      <c r="B735" s="546"/>
      <c r="C735" s="546"/>
      <c r="D735" s="547"/>
      <c r="E735" s="549" t="s">
        <v>25</v>
      </c>
      <c r="F735" s="550"/>
      <c r="G735" s="283">
        <v>0</v>
      </c>
      <c r="H735" s="284">
        <v>7102</v>
      </c>
      <c r="I735" s="284">
        <v>117845</v>
      </c>
      <c r="J735" s="284">
        <v>118614</v>
      </c>
      <c r="K735" s="284">
        <v>26420</v>
      </c>
      <c r="L735" s="284">
        <v>1436</v>
      </c>
      <c r="M735" s="211">
        <v>271417</v>
      </c>
    </row>
    <row r="736" spans="1:13" x14ac:dyDescent="0.25">
      <c r="A736" s="567"/>
      <c r="B736" s="546"/>
      <c r="C736" s="546"/>
      <c r="D736" s="545" t="s">
        <v>564</v>
      </c>
      <c r="E736" s="548" t="s">
        <v>159</v>
      </c>
      <c r="F736" s="30" t="s">
        <v>3</v>
      </c>
      <c r="G736" s="285">
        <v>0</v>
      </c>
      <c r="H736" s="286">
        <v>90954</v>
      </c>
      <c r="I736" s="286">
        <v>59248</v>
      </c>
      <c r="J736" s="286">
        <v>12108</v>
      </c>
      <c r="K736" s="286">
        <v>3302</v>
      </c>
      <c r="L736" s="287">
        <v>0</v>
      </c>
      <c r="M736" s="212">
        <v>165612</v>
      </c>
    </row>
    <row r="737" spans="1:13" x14ac:dyDescent="0.25">
      <c r="A737" s="567"/>
      <c r="B737" s="546"/>
      <c r="C737" s="546"/>
      <c r="D737" s="546"/>
      <c r="E737" s="546"/>
      <c r="F737" s="29" t="s">
        <v>2</v>
      </c>
      <c r="G737" s="281">
        <v>0</v>
      </c>
      <c r="H737" s="282">
        <v>10518</v>
      </c>
      <c r="I737" s="282">
        <v>10496</v>
      </c>
      <c r="J737" s="282">
        <v>11560</v>
      </c>
      <c r="K737" s="282">
        <v>1221</v>
      </c>
      <c r="L737" s="288">
        <v>0</v>
      </c>
      <c r="M737" s="210">
        <v>33795</v>
      </c>
    </row>
    <row r="738" spans="1:13" x14ac:dyDescent="0.25">
      <c r="A738" s="567"/>
      <c r="B738" s="546"/>
      <c r="C738" s="546"/>
      <c r="D738" s="546"/>
      <c r="E738" s="546"/>
      <c r="F738" s="29" t="s">
        <v>1</v>
      </c>
      <c r="G738" s="281">
        <v>0</v>
      </c>
      <c r="H738" s="282">
        <v>31133</v>
      </c>
      <c r="I738" s="282">
        <v>50155</v>
      </c>
      <c r="J738" s="282">
        <v>6339</v>
      </c>
      <c r="K738" s="282">
        <v>0</v>
      </c>
      <c r="L738" s="288">
        <v>0</v>
      </c>
      <c r="M738" s="210">
        <v>87627</v>
      </c>
    </row>
    <row r="739" spans="1:13" x14ac:dyDescent="0.25">
      <c r="A739" s="567"/>
      <c r="B739" s="546"/>
      <c r="C739" s="546"/>
      <c r="D739" s="546"/>
      <c r="E739" s="546"/>
      <c r="F739" s="29" t="s">
        <v>0</v>
      </c>
      <c r="G739" s="281">
        <v>0</v>
      </c>
      <c r="H739" s="282">
        <v>125118</v>
      </c>
      <c r="I739" s="282">
        <v>196633</v>
      </c>
      <c r="J739" s="282">
        <v>67107</v>
      </c>
      <c r="K739" s="282">
        <v>3395</v>
      </c>
      <c r="L739" s="288">
        <v>0</v>
      </c>
      <c r="M739" s="210">
        <v>392253</v>
      </c>
    </row>
    <row r="740" spans="1:13" x14ac:dyDescent="0.25">
      <c r="A740" s="567"/>
      <c r="B740" s="546"/>
      <c r="C740" s="546"/>
      <c r="D740" s="547"/>
      <c r="E740" s="549" t="s">
        <v>25</v>
      </c>
      <c r="F740" s="550"/>
      <c r="G740" s="283">
        <v>0</v>
      </c>
      <c r="H740" s="284">
        <v>257723</v>
      </c>
      <c r="I740" s="284">
        <v>316532</v>
      </c>
      <c r="J740" s="284">
        <v>97114</v>
      </c>
      <c r="K740" s="284">
        <v>7918</v>
      </c>
      <c r="L740" s="289">
        <v>0</v>
      </c>
      <c r="M740" s="211">
        <v>679287</v>
      </c>
    </row>
    <row r="741" spans="1:13" x14ac:dyDescent="0.25">
      <c r="A741" s="567"/>
      <c r="B741" s="546"/>
      <c r="C741" s="546"/>
      <c r="D741" s="545" t="s">
        <v>565</v>
      </c>
      <c r="E741" s="548" t="s">
        <v>159</v>
      </c>
      <c r="F741" s="30" t="s">
        <v>3</v>
      </c>
      <c r="G741" s="285">
        <v>0</v>
      </c>
      <c r="H741" s="286">
        <v>182964</v>
      </c>
      <c r="I741" s="286">
        <v>51333</v>
      </c>
      <c r="J741" s="286">
        <v>208905</v>
      </c>
      <c r="K741" s="286">
        <v>54234</v>
      </c>
      <c r="L741" s="286">
        <v>10810</v>
      </c>
      <c r="M741" s="212">
        <v>508246</v>
      </c>
    </row>
    <row r="742" spans="1:13" x14ac:dyDescent="0.25">
      <c r="A742" s="567"/>
      <c r="B742" s="546"/>
      <c r="C742" s="546"/>
      <c r="D742" s="546"/>
      <c r="E742" s="546"/>
      <c r="F742" s="29" t="s">
        <v>2</v>
      </c>
      <c r="G742" s="281">
        <v>0</v>
      </c>
      <c r="H742" s="282">
        <v>16046</v>
      </c>
      <c r="I742" s="282">
        <v>56170</v>
      </c>
      <c r="J742" s="282">
        <v>147531</v>
      </c>
      <c r="K742" s="282">
        <v>52663</v>
      </c>
      <c r="L742" s="282">
        <v>3435</v>
      </c>
      <c r="M742" s="210">
        <v>275845</v>
      </c>
    </row>
    <row r="743" spans="1:13" x14ac:dyDescent="0.25">
      <c r="A743" s="567"/>
      <c r="B743" s="546"/>
      <c r="C743" s="546"/>
      <c r="D743" s="546"/>
      <c r="E743" s="546"/>
      <c r="F743" s="29" t="s">
        <v>1</v>
      </c>
      <c r="G743" s="281">
        <v>0</v>
      </c>
      <c r="H743" s="282">
        <v>110171</v>
      </c>
      <c r="I743" s="282">
        <v>229734</v>
      </c>
      <c r="J743" s="282">
        <v>64429</v>
      </c>
      <c r="K743" s="282">
        <v>16775</v>
      </c>
      <c r="L743" s="282">
        <v>1006</v>
      </c>
      <c r="M743" s="210">
        <v>422115</v>
      </c>
    </row>
    <row r="744" spans="1:13" x14ac:dyDescent="0.25">
      <c r="A744" s="567"/>
      <c r="B744" s="546"/>
      <c r="C744" s="546"/>
      <c r="D744" s="546"/>
      <c r="E744" s="546"/>
      <c r="F744" s="29" t="s">
        <v>0</v>
      </c>
      <c r="G744" s="281">
        <v>0</v>
      </c>
      <c r="H744" s="282">
        <v>27818</v>
      </c>
      <c r="I744" s="282">
        <v>77057</v>
      </c>
      <c r="J744" s="282">
        <v>54881</v>
      </c>
      <c r="K744" s="282">
        <v>4644</v>
      </c>
      <c r="L744" s="282">
        <v>564</v>
      </c>
      <c r="M744" s="210">
        <v>164964</v>
      </c>
    </row>
    <row r="745" spans="1:13" x14ac:dyDescent="0.25">
      <c r="A745" s="567"/>
      <c r="B745" s="546"/>
      <c r="C745" s="546"/>
      <c r="D745" s="547"/>
      <c r="E745" s="549" t="s">
        <v>25</v>
      </c>
      <c r="F745" s="550"/>
      <c r="G745" s="283">
        <v>0</v>
      </c>
      <c r="H745" s="284">
        <v>336999</v>
      </c>
      <c r="I745" s="284">
        <v>414294</v>
      </c>
      <c r="J745" s="284">
        <v>475746</v>
      </c>
      <c r="K745" s="284">
        <v>128316</v>
      </c>
      <c r="L745" s="284">
        <v>15815</v>
      </c>
      <c r="M745" s="211">
        <v>1371170</v>
      </c>
    </row>
    <row r="746" spans="1:13" x14ac:dyDescent="0.25">
      <c r="A746" s="567"/>
      <c r="B746" s="546"/>
      <c r="C746" s="546"/>
      <c r="D746" s="545" t="s">
        <v>566</v>
      </c>
      <c r="E746" s="548" t="s">
        <v>159</v>
      </c>
      <c r="F746" s="30" t="s">
        <v>3</v>
      </c>
      <c r="G746" s="285">
        <v>0</v>
      </c>
      <c r="H746" s="286">
        <v>6870</v>
      </c>
      <c r="I746" s="286">
        <v>0</v>
      </c>
      <c r="J746" s="286">
        <v>0</v>
      </c>
      <c r="K746" s="287">
        <v>0</v>
      </c>
      <c r="L746" s="287">
        <v>0</v>
      </c>
      <c r="M746" s="212">
        <v>6870</v>
      </c>
    </row>
    <row r="747" spans="1:13" x14ac:dyDescent="0.25">
      <c r="A747" s="567"/>
      <c r="B747" s="546"/>
      <c r="C747" s="546"/>
      <c r="D747" s="546"/>
      <c r="E747" s="546"/>
      <c r="F747" s="29" t="s">
        <v>2</v>
      </c>
      <c r="G747" s="281">
        <v>0</v>
      </c>
      <c r="H747" s="282">
        <v>0</v>
      </c>
      <c r="I747" s="282">
        <v>0</v>
      </c>
      <c r="J747" s="282">
        <v>106</v>
      </c>
      <c r="K747" s="288">
        <v>0</v>
      </c>
      <c r="L747" s="288">
        <v>0</v>
      </c>
      <c r="M747" s="210">
        <v>106</v>
      </c>
    </row>
    <row r="748" spans="1:13" x14ac:dyDescent="0.25">
      <c r="A748" s="567"/>
      <c r="B748" s="546"/>
      <c r="C748" s="546"/>
      <c r="D748" s="546"/>
      <c r="E748" s="546"/>
      <c r="F748" s="29" t="s">
        <v>1</v>
      </c>
      <c r="G748" s="281">
        <v>0</v>
      </c>
      <c r="H748" s="282">
        <v>0</v>
      </c>
      <c r="I748" s="282">
        <v>406</v>
      </c>
      <c r="J748" s="282">
        <v>202</v>
      </c>
      <c r="K748" s="288">
        <v>0</v>
      </c>
      <c r="L748" s="288">
        <v>0</v>
      </c>
      <c r="M748" s="210">
        <v>608</v>
      </c>
    </row>
    <row r="749" spans="1:13" x14ac:dyDescent="0.25">
      <c r="A749" s="567"/>
      <c r="B749" s="546"/>
      <c r="C749" s="546"/>
      <c r="D749" s="546"/>
      <c r="E749" s="546"/>
      <c r="F749" s="29" t="s">
        <v>0</v>
      </c>
      <c r="G749" s="281">
        <v>0</v>
      </c>
      <c r="H749" s="282">
        <v>0</v>
      </c>
      <c r="I749" s="282">
        <v>2268</v>
      </c>
      <c r="J749" s="282">
        <v>5216</v>
      </c>
      <c r="K749" s="288">
        <v>0</v>
      </c>
      <c r="L749" s="288">
        <v>0</v>
      </c>
      <c r="M749" s="210">
        <v>7484</v>
      </c>
    </row>
    <row r="750" spans="1:13" x14ac:dyDescent="0.25">
      <c r="A750" s="567"/>
      <c r="B750" s="546"/>
      <c r="C750" s="546"/>
      <c r="D750" s="547"/>
      <c r="E750" s="549" t="s">
        <v>25</v>
      </c>
      <c r="F750" s="550"/>
      <c r="G750" s="283">
        <v>0</v>
      </c>
      <c r="H750" s="284">
        <v>6870</v>
      </c>
      <c r="I750" s="284">
        <v>2674</v>
      </c>
      <c r="J750" s="284">
        <v>5524</v>
      </c>
      <c r="K750" s="289">
        <v>0</v>
      </c>
      <c r="L750" s="289">
        <v>0</v>
      </c>
      <c r="M750" s="211">
        <v>15068</v>
      </c>
    </row>
    <row r="751" spans="1:13" x14ac:dyDescent="0.25">
      <c r="A751" s="567"/>
      <c r="B751" s="546"/>
      <c r="C751" s="546"/>
      <c r="D751" s="545" t="s">
        <v>567</v>
      </c>
      <c r="E751" s="548" t="s">
        <v>159</v>
      </c>
      <c r="F751" s="30" t="s">
        <v>3</v>
      </c>
      <c r="G751" s="285">
        <v>0</v>
      </c>
      <c r="H751" s="286">
        <v>0</v>
      </c>
      <c r="I751" s="286">
        <v>689</v>
      </c>
      <c r="J751" s="286">
        <v>869</v>
      </c>
      <c r="K751" s="287">
        <v>0</v>
      </c>
      <c r="L751" s="287">
        <v>0</v>
      </c>
      <c r="M751" s="212">
        <v>1558</v>
      </c>
    </row>
    <row r="752" spans="1:13" x14ac:dyDescent="0.25">
      <c r="A752" s="567"/>
      <c r="B752" s="546"/>
      <c r="C752" s="546"/>
      <c r="D752" s="546"/>
      <c r="E752" s="546"/>
      <c r="F752" s="29" t="s">
        <v>2</v>
      </c>
      <c r="G752" s="281">
        <v>0</v>
      </c>
      <c r="H752" s="282">
        <v>0</v>
      </c>
      <c r="I752" s="282">
        <v>4421</v>
      </c>
      <c r="J752" s="282">
        <v>0</v>
      </c>
      <c r="K752" s="288">
        <v>0</v>
      </c>
      <c r="L752" s="288">
        <v>0</v>
      </c>
      <c r="M752" s="210">
        <v>4421</v>
      </c>
    </row>
    <row r="753" spans="1:13" x14ac:dyDescent="0.25">
      <c r="A753" s="567"/>
      <c r="B753" s="546"/>
      <c r="C753" s="546"/>
      <c r="D753" s="546"/>
      <c r="E753" s="546"/>
      <c r="F753" s="29" t="s">
        <v>1</v>
      </c>
      <c r="G753" s="281">
        <v>0</v>
      </c>
      <c r="H753" s="282">
        <v>1829</v>
      </c>
      <c r="I753" s="282">
        <v>0</v>
      </c>
      <c r="J753" s="282">
        <v>357</v>
      </c>
      <c r="K753" s="288">
        <v>0</v>
      </c>
      <c r="L753" s="288">
        <v>0</v>
      </c>
      <c r="M753" s="210">
        <v>2186</v>
      </c>
    </row>
    <row r="754" spans="1:13" x14ac:dyDescent="0.25">
      <c r="A754" s="567"/>
      <c r="B754" s="546"/>
      <c r="C754" s="546"/>
      <c r="D754" s="546"/>
      <c r="E754" s="546"/>
      <c r="F754" s="29" t="s">
        <v>0</v>
      </c>
      <c r="G754" s="281">
        <v>0</v>
      </c>
      <c r="H754" s="282">
        <v>1040</v>
      </c>
      <c r="I754" s="282">
        <v>0</v>
      </c>
      <c r="J754" s="282">
        <v>101</v>
      </c>
      <c r="K754" s="288">
        <v>0</v>
      </c>
      <c r="L754" s="288">
        <v>0</v>
      </c>
      <c r="M754" s="210">
        <v>1141</v>
      </c>
    </row>
    <row r="755" spans="1:13" x14ac:dyDescent="0.25">
      <c r="A755" s="567"/>
      <c r="B755" s="546"/>
      <c r="C755" s="546"/>
      <c r="D755" s="547"/>
      <c r="E755" s="549" t="s">
        <v>25</v>
      </c>
      <c r="F755" s="550"/>
      <c r="G755" s="283">
        <v>0</v>
      </c>
      <c r="H755" s="284">
        <v>2869</v>
      </c>
      <c r="I755" s="284">
        <v>5110</v>
      </c>
      <c r="J755" s="284">
        <v>1327</v>
      </c>
      <c r="K755" s="289">
        <v>0</v>
      </c>
      <c r="L755" s="289">
        <v>0</v>
      </c>
      <c r="M755" s="211">
        <v>9306</v>
      </c>
    </row>
    <row r="756" spans="1:13" x14ac:dyDescent="0.25">
      <c r="A756" s="567"/>
      <c r="B756" s="546"/>
      <c r="C756" s="546"/>
      <c r="D756" s="545" t="s">
        <v>568</v>
      </c>
      <c r="E756" s="548" t="s">
        <v>159</v>
      </c>
      <c r="F756" s="30" t="s">
        <v>3</v>
      </c>
      <c r="G756" s="285">
        <v>0</v>
      </c>
      <c r="H756" s="286">
        <v>6367</v>
      </c>
      <c r="I756" s="286">
        <v>2282</v>
      </c>
      <c r="J756" s="286">
        <v>296</v>
      </c>
      <c r="K756" s="286">
        <v>0</v>
      </c>
      <c r="L756" s="287">
        <v>0</v>
      </c>
      <c r="M756" s="212">
        <v>8945</v>
      </c>
    </row>
    <row r="757" spans="1:13" x14ac:dyDescent="0.25">
      <c r="A757" s="567"/>
      <c r="B757" s="546"/>
      <c r="C757" s="546"/>
      <c r="D757" s="546"/>
      <c r="E757" s="546"/>
      <c r="F757" s="29" t="s">
        <v>2</v>
      </c>
      <c r="G757" s="281">
        <v>0</v>
      </c>
      <c r="H757" s="282">
        <v>0</v>
      </c>
      <c r="I757" s="282">
        <v>0</v>
      </c>
      <c r="J757" s="282">
        <v>0</v>
      </c>
      <c r="K757" s="282">
        <v>466</v>
      </c>
      <c r="L757" s="288">
        <v>0</v>
      </c>
      <c r="M757" s="210">
        <v>466</v>
      </c>
    </row>
    <row r="758" spans="1:13" x14ac:dyDescent="0.25">
      <c r="A758" s="567"/>
      <c r="B758" s="546"/>
      <c r="C758" s="546"/>
      <c r="D758" s="546"/>
      <c r="E758" s="546"/>
      <c r="F758" s="29" t="s">
        <v>1</v>
      </c>
      <c r="G758" s="281">
        <v>0</v>
      </c>
      <c r="H758" s="282">
        <v>2516</v>
      </c>
      <c r="I758" s="282">
        <v>200</v>
      </c>
      <c r="J758" s="282">
        <v>0</v>
      </c>
      <c r="K758" s="282">
        <v>0</v>
      </c>
      <c r="L758" s="288">
        <v>0</v>
      </c>
      <c r="M758" s="210">
        <v>2716</v>
      </c>
    </row>
    <row r="759" spans="1:13" x14ac:dyDescent="0.25">
      <c r="A759" s="567"/>
      <c r="B759" s="546"/>
      <c r="C759" s="546"/>
      <c r="D759" s="546"/>
      <c r="E759" s="546"/>
      <c r="F759" s="29" t="s">
        <v>0</v>
      </c>
      <c r="G759" s="281">
        <v>0</v>
      </c>
      <c r="H759" s="282">
        <v>11171</v>
      </c>
      <c r="I759" s="282">
        <v>0</v>
      </c>
      <c r="J759" s="282">
        <v>542</v>
      </c>
      <c r="K759" s="282">
        <v>190</v>
      </c>
      <c r="L759" s="288">
        <v>0</v>
      </c>
      <c r="M759" s="210">
        <v>11903</v>
      </c>
    </row>
    <row r="760" spans="1:13" x14ac:dyDescent="0.25">
      <c r="A760" s="567"/>
      <c r="B760" s="546"/>
      <c r="C760" s="546"/>
      <c r="D760" s="547"/>
      <c r="E760" s="549" t="s">
        <v>25</v>
      </c>
      <c r="F760" s="550"/>
      <c r="G760" s="283">
        <v>0</v>
      </c>
      <c r="H760" s="284">
        <v>20054</v>
      </c>
      <c r="I760" s="284">
        <v>2482</v>
      </c>
      <c r="J760" s="284">
        <v>838</v>
      </c>
      <c r="K760" s="284">
        <v>656</v>
      </c>
      <c r="L760" s="289">
        <v>0</v>
      </c>
      <c r="M760" s="211">
        <v>24030</v>
      </c>
    </row>
    <row r="761" spans="1:13" x14ac:dyDescent="0.25">
      <c r="A761" s="567"/>
      <c r="B761" s="546"/>
      <c r="C761" s="546"/>
      <c r="D761" s="545" t="s">
        <v>569</v>
      </c>
      <c r="E761" s="548" t="s">
        <v>159</v>
      </c>
      <c r="F761" s="30" t="s">
        <v>3</v>
      </c>
      <c r="G761" s="285">
        <v>0</v>
      </c>
      <c r="H761" s="287">
        <v>0</v>
      </c>
      <c r="I761" s="286">
        <v>8639</v>
      </c>
      <c r="J761" s="286">
        <v>12281</v>
      </c>
      <c r="K761" s="286">
        <v>0</v>
      </c>
      <c r="L761" s="287">
        <v>0</v>
      </c>
      <c r="M761" s="212">
        <v>20920</v>
      </c>
    </row>
    <row r="762" spans="1:13" x14ac:dyDescent="0.25">
      <c r="A762" s="567"/>
      <c r="B762" s="546"/>
      <c r="C762" s="546"/>
      <c r="D762" s="546"/>
      <c r="E762" s="546"/>
      <c r="F762" s="29" t="s">
        <v>2</v>
      </c>
      <c r="G762" s="281">
        <v>0</v>
      </c>
      <c r="H762" s="288">
        <v>0</v>
      </c>
      <c r="I762" s="282">
        <v>0</v>
      </c>
      <c r="J762" s="282">
        <v>270</v>
      </c>
      <c r="K762" s="282">
        <v>921</v>
      </c>
      <c r="L762" s="288">
        <v>0</v>
      </c>
      <c r="M762" s="210">
        <v>1191</v>
      </c>
    </row>
    <row r="763" spans="1:13" x14ac:dyDescent="0.25">
      <c r="A763" s="567"/>
      <c r="B763" s="546"/>
      <c r="C763" s="546"/>
      <c r="D763" s="546"/>
      <c r="E763" s="546"/>
      <c r="F763" s="29" t="s">
        <v>1</v>
      </c>
      <c r="G763" s="281">
        <v>0</v>
      </c>
      <c r="H763" s="288">
        <v>0</v>
      </c>
      <c r="I763" s="282">
        <v>538</v>
      </c>
      <c r="J763" s="282">
        <v>1027</v>
      </c>
      <c r="K763" s="282">
        <v>0</v>
      </c>
      <c r="L763" s="288">
        <v>0</v>
      </c>
      <c r="M763" s="210">
        <v>1565</v>
      </c>
    </row>
    <row r="764" spans="1:13" x14ac:dyDescent="0.25">
      <c r="A764" s="567"/>
      <c r="B764" s="546"/>
      <c r="C764" s="546"/>
      <c r="D764" s="546"/>
      <c r="E764" s="546"/>
      <c r="F764" s="29" t="s">
        <v>0</v>
      </c>
      <c r="G764" s="281">
        <v>0</v>
      </c>
      <c r="H764" s="288">
        <v>0</v>
      </c>
      <c r="I764" s="282">
        <v>2312</v>
      </c>
      <c r="J764" s="282">
        <v>1837</v>
      </c>
      <c r="K764" s="282">
        <v>0</v>
      </c>
      <c r="L764" s="288">
        <v>0</v>
      </c>
      <c r="M764" s="210">
        <v>4149</v>
      </c>
    </row>
    <row r="765" spans="1:13" x14ac:dyDescent="0.25">
      <c r="A765" s="567"/>
      <c r="B765" s="546"/>
      <c r="C765" s="546"/>
      <c r="D765" s="547"/>
      <c r="E765" s="549" t="s">
        <v>25</v>
      </c>
      <c r="F765" s="550"/>
      <c r="G765" s="283">
        <v>0</v>
      </c>
      <c r="H765" s="289">
        <v>0</v>
      </c>
      <c r="I765" s="284">
        <v>11489</v>
      </c>
      <c r="J765" s="284">
        <v>15415</v>
      </c>
      <c r="K765" s="284">
        <v>921</v>
      </c>
      <c r="L765" s="289">
        <v>0</v>
      </c>
      <c r="M765" s="211">
        <v>27825</v>
      </c>
    </row>
    <row r="766" spans="1:13" x14ac:dyDescent="0.25">
      <c r="A766" s="567"/>
      <c r="B766" s="546"/>
      <c r="C766" s="546"/>
      <c r="D766" s="545" t="s">
        <v>570</v>
      </c>
      <c r="E766" s="548" t="s">
        <v>159</v>
      </c>
      <c r="F766" s="30" t="s">
        <v>3</v>
      </c>
      <c r="G766" s="285">
        <v>0</v>
      </c>
      <c r="H766" s="286">
        <v>5819</v>
      </c>
      <c r="I766" s="286">
        <v>0</v>
      </c>
      <c r="J766" s="286">
        <v>2782</v>
      </c>
      <c r="K766" s="286">
        <v>2903</v>
      </c>
      <c r="L766" s="287">
        <v>0</v>
      </c>
      <c r="M766" s="212">
        <v>11504</v>
      </c>
    </row>
    <row r="767" spans="1:13" x14ac:dyDescent="0.25">
      <c r="A767" s="567"/>
      <c r="B767" s="546"/>
      <c r="C767" s="546"/>
      <c r="D767" s="546"/>
      <c r="E767" s="546"/>
      <c r="F767" s="29" t="s">
        <v>2</v>
      </c>
      <c r="G767" s="281">
        <v>0</v>
      </c>
      <c r="H767" s="282">
        <v>0</v>
      </c>
      <c r="I767" s="282">
        <v>0</v>
      </c>
      <c r="J767" s="282">
        <v>44</v>
      </c>
      <c r="K767" s="282">
        <v>0</v>
      </c>
      <c r="L767" s="288">
        <v>0</v>
      </c>
      <c r="M767" s="210">
        <v>44</v>
      </c>
    </row>
    <row r="768" spans="1:13" x14ac:dyDescent="0.25">
      <c r="A768" s="567"/>
      <c r="B768" s="546"/>
      <c r="C768" s="546"/>
      <c r="D768" s="546"/>
      <c r="E768" s="546"/>
      <c r="F768" s="29" t="s">
        <v>1</v>
      </c>
      <c r="G768" s="281">
        <v>0</v>
      </c>
      <c r="H768" s="282">
        <v>6879</v>
      </c>
      <c r="I768" s="282">
        <v>0</v>
      </c>
      <c r="J768" s="282">
        <v>5362</v>
      </c>
      <c r="K768" s="282">
        <v>0</v>
      </c>
      <c r="L768" s="288">
        <v>0</v>
      </c>
      <c r="M768" s="210">
        <v>12241</v>
      </c>
    </row>
    <row r="769" spans="1:13" x14ac:dyDescent="0.25">
      <c r="A769" s="567"/>
      <c r="B769" s="546"/>
      <c r="C769" s="546"/>
      <c r="D769" s="546"/>
      <c r="E769" s="546"/>
      <c r="F769" s="29" t="s">
        <v>0</v>
      </c>
      <c r="G769" s="281">
        <v>0</v>
      </c>
      <c r="H769" s="282">
        <v>33630</v>
      </c>
      <c r="I769" s="282">
        <v>5845</v>
      </c>
      <c r="J769" s="282">
        <v>0</v>
      </c>
      <c r="K769" s="282">
        <v>0</v>
      </c>
      <c r="L769" s="288">
        <v>0</v>
      </c>
      <c r="M769" s="210">
        <v>39475</v>
      </c>
    </row>
    <row r="770" spans="1:13" x14ac:dyDescent="0.25">
      <c r="A770" s="567"/>
      <c r="B770" s="546"/>
      <c r="C770" s="546"/>
      <c r="D770" s="547"/>
      <c r="E770" s="549" t="s">
        <v>25</v>
      </c>
      <c r="F770" s="550"/>
      <c r="G770" s="283">
        <v>0</v>
      </c>
      <c r="H770" s="284">
        <v>46328</v>
      </c>
      <c r="I770" s="284">
        <v>5845</v>
      </c>
      <c r="J770" s="284">
        <v>8188</v>
      </c>
      <c r="K770" s="284">
        <v>2903</v>
      </c>
      <c r="L770" s="289">
        <v>0</v>
      </c>
      <c r="M770" s="211">
        <v>63264</v>
      </c>
    </row>
    <row r="771" spans="1:13" x14ac:dyDescent="0.25">
      <c r="A771" s="567"/>
      <c r="B771" s="546"/>
      <c r="C771" s="546"/>
      <c r="D771" s="545" t="s">
        <v>571</v>
      </c>
      <c r="E771" s="548" t="s">
        <v>159</v>
      </c>
      <c r="F771" s="30" t="s">
        <v>3</v>
      </c>
      <c r="G771" s="285">
        <v>0</v>
      </c>
      <c r="H771" s="286">
        <v>387296</v>
      </c>
      <c r="I771" s="286">
        <v>519178</v>
      </c>
      <c r="J771" s="286">
        <v>1023040</v>
      </c>
      <c r="K771" s="286">
        <v>812212</v>
      </c>
      <c r="L771" s="286">
        <v>148562</v>
      </c>
      <c r="M771" s="212">
        <v>2890288</v>
      </c>
    </row>
    <row r="772" spans="1:13" x14ac:dyDescent="0.25">
      <c r="A772" s="567"/>
      <c r="B772" s="546"/>
      <c r="C772" s="546"/>
      <c r="D772" s="546"/>
      <c r="E772" s="546"/>
      <c r="F772" s="29" t="s">
        <v>2</v>
      </c>
      <c r="G772" s="281">
        <v>0</v>
      </c>
      <c r="H772" s="282">
        <v>443241</v>
      </c>
      <c r="I772" s="282">
        <v>398734</v>
      </c>
      <c r="J772" s="282">
        <v>827106</v>
      </c>
      <c r="K772" s="282">
        <v>608479</v>
      </c>
      <c r="L772" s="282">
        <v>61332</v>
      </c>
      <c r="M772" s="210">
        <v>2338892</v>
      </c>
    </row>
    <row r="773" spans="1:13" x14ac:dyDescent="0.25">
      <c r="A773" s="567"/>
      <c r="B773" s="546"/>
      <c r="C773" s="546"/>
      <c r="D773" s="546"/>
      <c r="E773" s="546"/>
      <c r="F773" s="29" t="s">
        <v>1</v>
      </c>
      <c r="G773" s="281">
        <v>0</v>
      </c>
      <c r="H773" s="282">
        <v>417824</v>
      </c>
      <c r="I773" s="282">
        <v>417449</v>
      </c>
      <c r="J773" s="282">
        <v>180505</v>
      </c>
      <c r="K773" s="282">
        <v>16952</v>
      </c>
      <c r="L773" s="282">
        <v>0</v>
      </c>
      <c r="M773" s="210">
        <v>1032730</v>
      </c>
    </row>
    <row r="774" spans="1:13" x14ac:dyDescent="0.25">
      <c r="A774" s="567"/>
      <c r="B774" s="546"/>
      <c r="C774" s="546"/>
      <c r="D774" s="546"/>
      <c r="E774" s="546"/>
      <c r="F774" s="29" t="s">
        <v>0</v>
      </c>
      <c r="G774" s="281">
        <v>0</v>
      </c>
      <c r="H774" s="282">
        <v>742410</v>
      </c>
      <c r="I774" s="282">
        <v>1016836</v>
      </c>
      <c r="J774" s="282">
        <v>324459</v>
      </c>
      <c r="K774" s="282">
        <v>55353</v>
      </c>
      <c r="L774" s="282">
        <v>85</v>
      </c>
      <c r="M774" s="210">
        <v>2139143</v>
      </c>
    </row>
    <row r="775" spans="1:13" x14ac:dyDescent="0.25">
      <c r="A775" s="567"/>
      <c r="B775" s="546"/>
      <c r="C775" s="546"/>
      <c r="D775" s="547"/>
      <c r="E775" s="549" t="s">
        <v>25</v>
      </c>
      <c r="F775" s="550"/>
      <c r="G775" s="283">
        <v>0</v>
      </c>
      <c r="H775" s="284">
        <v>1990771</v>
      </c>
      <c r="I775" s="284">
        <v>2352197</v>
      </c>
      <c r="J775" s="284">
        <v>2355110</v>
      </c>
      <c r="K775" s="284">
        <v>1492996</v>
      </c>
      <c r="L775" s="284">
        <v>209979</v>
      </c>
      <c r="M775" s="211">
        <v>8401053</v>
      </c>
    </row>
    <row r="776" spans="1:13" x14ac:dyDescent="0.25">
      <c r="A776" s="567"/>
      <c r="B776" s="546"/>
      <c r="C776" s="546"/>
      <c r="D776" s="545" t="s">
        <v>572</v>
      </c>
      <c r="E776" s="548" t="s">
        <v>159</v>
      </c>
      <c r="F776" s="30" t="s">
        <v>3</v>
      </c>
      <c r="G776" s="285">
        <v>0</v>
      </c>
      <c r="H776" s="286">
        <v>366</v>
      </c>
      <c r="I776" s="286">
        <v>11438</v>
      </c>
      <c r="J776" s="286">
        <v>7112</v>
      </c>
      <c r="K776" s="286">
        <v>21559</v>
      </c>
      <c r="L776" s="286">
        <v>191</v>
      </c>
      <c r="M776" s="212">
        <v>40666</v>
      </c>
    </row>
    <row r="777" spans="1:13" x14ac:dyDescent="0.25">
      <c r="A777" s="567"/>
      <c r="B777" s="546"/>
      <c r="C777" s="546"/>
      <c r="D777" s="546"/>
      <c r="E777" s="546"/>
      <c r="F777" s="29" t="s">
        <v>2</v>
      </c>
      <c r="G777" s="281">
        <v>0</v>
      </c>
      <c r="H777" s="282">
        <v>1325</v>
      </c>
      <c r="I777" s="282">
        <v>2205</v>
      </c>
      <c r="J777" s="282">
        <v>38647</v>
      </c>
      <c r="K777" s="282">
        <v>7518</v>
      </c>
      <c r="L777" s="282">
        <v>706</v>
      </c>
      <c r="M777" s="210">
        <v>50401</v>
      </c>
    </row>
    <row r="778" spans="1:13" x14ac:dyDescent="0.25">
      <c r="A778" s="567"/>
      <c r="B778" s="546"/>
      <c r="C778" s="546"/>
      <c r="D778" s="546"/>
      <c r="E778" s="546"/>
      <c r="F778" s="29" t="s">
        <v>1</v>
      </c>
      <c r="G778" s="281">
        <v>0</v>
      </c>
      <c r="H778" s="282">
        <v>581</v>
      </c>
      <c r="I778" s="282">
        <v>763</v>
      </c>
      <c r="J778" s="282">
        <v>816</v>
      </c>
      <c r="K778" s="282">
        <v>0</v>
      </c>
      <c r="L778" s="282">
        <v>0</v>
      </c>
      <c r="M778" s="210">
        <v>2160</v>
      </c>
    </row>
    <row r="779" spans="1:13" x14ac:dyDescent="0.25">
      <c r="A779" s="567"/>
      <c r="B779" s="546"/>
      <c r="C779" s="546"/>
      <c r="D779" s="546"/>
      <c r="E779" s="546"/>
      <c r="F779" s="29" t="s">
        <v>0</v>
      </c>
      <c r="G779" s="281">
        <v>0</v>
      </c>
      <c r="H779" s="282">
        <v>489</v>
      </c>
      <c r="I779" s="282">
        <v>18939</v>
      </c>
      <c r="J779" s="282">
        <v>5364</v>
      </c>
      <c r="K779" s="282">
        <v>0</v>
      </c>
      <c r="L779" s="282">
        <v>0</v>
      </c>
      <c r="M779" s="210">
        <v>24792</v>
      </c>
    </row>
    <row r="780" spans="1:13" x14ac:dyDescent="0.25">
      <c r="A780" s="567"/>
      <c r="B780" s="546"/>
      <c r="C780" s="546"/>
      <c r="D780" s="547"/>
      <c r="E780" s="549" t="s">
        <v>25</v>
      </c>
      <c r="F780" s="550"/>
      <c r="G780" s="283">
        <v>0</v>
      </c>
      <c r="H780" s="284">
        <v>2761</v>
      </c>
      <c r="I780" s="284">
        <v>33345</v>
      </c>
      <c r="J780" s="284">
        <v>51939</v>
      </c>
      <c r="K780" s="284">
        <v>29077</v>
      </c>
      <c r="L780" s="284">
        <v>897</v>
      </c>
      <c r="M780" s="211">
        <v>118019</v>
      </c>
    </row>
    <row r="781" spans="1:13" x14ac:dyDescent="0.25">
      <c r="A781" s="567"/>
      <c r="B781" s="546"/>
      <c r="C781" s="546"/>
      <c r="D781" s="545" t="s">
        <v>573</v>
      </c>
      <c r="E781" s="548" t="s">
        <v>159</v>
      </c>
      <c r="F781" s="30" t="s">
        <v>3</v>
      </c>
      <c r="G781" s="285">
        <v>0</v>
      </c>
      <c r="H781" s="286">
        <v>2994</v>
      </c>
      <c r="I781" s="286">
        <v>588</v>
      </c>
      <c r="J781" s="286">
        <v>2583</v>
      </c>
      <c r="K781" s="286">
        <v>0</v>
      </c>
      <c r="L781" s="287">
        <v>0</v>
      </c>
      <c r="M781" s="212">
        <v>6165</v>
      </c>
    </row>
    <row r="782" spans="1:13" x14ac:dyDescent="0.25">
      <c r="A782" s="567"/>
      <c r="B782" s="546"/>
      <c r="C782" s="546"/>
      <c r="D782" s="546"/>
      <c r="E782" s="546"/>
      <c r="F782" s="29" t="s">
        <v>2</v>
      </c>
      <c r="G782" s="281">
        <v>0</v>
      </c>
      <c r="H782" s="282">
        <v>8243</v>
      </c>
      <c r="I782" s="282">
        <v>3930</v>
      </c>
      <c r="J782" s="282">
        <v>3100</v>
      </c>
      <c r="K782" s="282">
        <v>13</v>
      </c>
      <c r="L782" s="288">
        <v>0</v>
      </c>
      <c r="M782" s="210">
        <v>15286</v>
      </c>
    </row>
    <row r="783" spans="1:13" x14ac:dyDescent="0.25">
      <c r="A783" s="567"/>
      <c r="B783" s="546"/>
      <c r="C783" s="546"/>
      <c r="D783" s="546"/>
      <c r="E783" s="546"/>
      <c r="F783" s="29" t="s">
        <v>1</v>
      </c>
      <c r="G783" s="281">
        <v>0</v>
      </c>
      <c r="H783" s="282">
        <v>9213</v>
      </c>
      <c r="I783" s="282">
        <v>0</v>
      </c>
      <c r="J783" s="282">
        <v>324</v>
      </c>
      <c r="K783" s="282">
        <v>0</v>
      </c>
      <c r="L783" s="288">
        <v>0</v>
      </c>
      <c r="M783" s="210">
        <v>9537</v>
      </c>
    </row>
    <row r="784" spans="1:13" x14ac:dyDescent="0.25">
      <c r="A784" s="567"/>
      <c r="B784" s="546"/>
      <c r="C784" s="546"/>
      <c r="D784" s="546"/>
      <c r="E784" s="546"/>
      <c r="F784" s="29" t="s">
        <v>0</v>
      </c>
      <c r="G784" s="281">
        <v>0</v>
      </c>
      <c r="H784" s="282">
        <v>19790</v>
      </c>
      <c r="I784" s="282">
        <v>4683</v>
      </c>
      <c r="J784" s="282">
        <v>3284</v>
      </c>
      <c r="K784" s="282">
        <v>0</v>
      </c>
      <c r="L784" s="288">
        <v>0</v>
      </c>
      <c r="M784" s="210">
        <v>27757</v>
      </c>
    </row>
    <row r="785" spans="1:13" x14ac:dyDescent="0.25">
      <c r="A785" s="567"/>
      <c r="B785" s="546"/>
      <c r="C785" s="547"/>
      <c r="D785" s="547"/>
      <c r="E785" s="549" t="s">
        <v>25</v>
      </c>
      <c r="F785" s="550"/>
      <c r="G785" s="283">
        <v>0</v>
      </c>
      <c r="H785" s="284">
        <v>40240</v>
      </c>
      <c r="I785" s="284">
        <v>9201</v>
      </c>
      <c r="J785" s="284">
        <v>9291</v>
      </c>
      <c r="K785" s="284">
        <v>13</v>
      </c>
      <c r="L785" s="289">
        <v>0</v>
      </c>
      <c r="M785" s="211">
        <v>58745</v>
      </c>
    </row>
    <row r="786" spans="1:13" x14ac:dyDescent="0.25">
      <c r="A786" s="567"/>
      <c r="B786" s="546"/>
      <c r="C786" s="545" t="s">
        <v>6</v>
      </c>
      <c r="D786" s="545" t="s">
        <v>562</v>
      </c>
      <c r="E786" s="548" t="s">
        <v>159</v>
      </c>
      <c r="F786" s="30" t="s">
        <v>3</v>
      </c>
      <c r="G786" s="285">
        <v>0</v>
      </c>
      <c r="H786" s="286">
        <v>21943</v>
      </c>
      <c r="I786" s="286">
        <v>37813</v>
      </c>
      <c r="J786" s="286">
        <v>45164</v>
      </c>
      <c r="K786" s="286">
        <v>12260</v>
      </c>
      <c r="L786" s="286">
        <v>432</v>
      </c>
      <c r="M786" s="212">
        <v>117612</v>
      </c>
    </row>
    <row r="787" spans="1:13" x14ac:dyDescent="0.25">
      <c r="A787" s="567"/>
      <c r="B787" s="546"/>
      <c r="C787" s="546"/>
      <c r="D787" s="546"/>
      <c r="E787" s="546"/>
      <c r="F787" s="29" t="s">
        <v>2</v>
      </c>
      <c r="G787" s="281">
        <v>0</v>
      </c>
      <c r="H787" s="282">
        <v>41984</v>
      </c>
      <c r="I787" s="282">
        <v>55639</v>
      </c>
      <c r="J787" s="282">
        <v>123992</v>
      </c>
      <c r="K787" s="282">
        <v>53560</v>
      </c>
      <c r="L787" s="282">
        <v>852</v>
      </c>
      <c r="M787" s="210">
        <v>276027</v>
      </c>
    </row>
    <row r="788" spans="1:13" x14ac:dyDescent="0.25">
      <c r="A788" s="567"/>
      <c r="B788" s="546"/>
      <c r="C788" s="546"/>
      <c r="D788" s="546"/>
      <c r="E788" s="546"/>
      <c r="F788" s="29" t="s">
        <v>1</v>
      </c>
      <c r="G788" s="281">
        <v>0</v>
      </c>
      <c r="H788" s="282">
        <v>76030</v>
      </c>
      <c r="I788" s="282">
        <v>78442</v>
      </c>
      <c r="J788" s="282">
        <v>13147</v>
      </c>
      <c r="K788" s="282">
        <v>2214</v>
      </c>
      <c r="L788" s="282">
        <v>0</v>
      </c>
      <c r="M788" s="210">
        <v>169833</v>
      </c>
    </row>
    <row r="789" spans="1:13" x14ac:dyDescent="0.25">
      <c r="A789" s="567"/>
      <c r="B789" s="546"/>
      <c r="C789" s="546"/>
      <c r="D789" s="546"/>
      <c r="E789" s="546"/>
      <c r="F789" s="29" t="s">
        <v>0</v>
      </c>
      <c r="G789" s="281">
        <v>0</v>
      </c>
      <c r="H789" s="282">
        <v>108250</v>
      </c>
      <c r="I789" s="282">
        <v>204741</v>
      </c>
      <c r="J789" s="282">
        <v>96054</v>
      </c>
      <c r="K789" s="282">
        <v>6634</v>
      </c>
      <c r="L789" s="282">
        <v>0</v>
      </c>
      <c r="M789" s="210">
        <v>415679</v>
      </c>
    </row>
    <row r="790" spans="1:13" x14ac:dyDescent="0.25">
      <c r="A790" s="567"/>
      <c r="B790" s="546"/>
      <c r="C790" s="546"/>
      <c r="D790" s="547"/>
      <c r="E790" s="549" t="s">
        <v>25</v>
      </c>
      <c r="F790" s="550"/>
      <c r="G790" s="283">
        <v>0</v>
      </c>
      <c r="H790" s="284">
        <v>248207</v>
      </c>
      <c r="I790" s="284">
        <v>376635</v>
      </c>
      <c r="J790" s="284">
        <v>278357</v>
      </c>
      <c r="K790" s="284">
        <v>74668</v>
      </c>
      <c r="L790" s="284">
        <v>1284</v>
      </c>
      <c r="M790" s="211">
        <v>979151</v>
      </c>
    </row>
    <row r="791" spans="1:13" x14ac:dyDescent="0.25">
      <c r="A791" s="567"/>
      <c r="B791" s="546"/>
      <c r="C791" s="546"/>
      <c r="D791" s="545" t="s">
        <v>563</v>
      </c>
      <c r="E791" s="548" t="s">
        <v>159</v>
      </c>
      <c r="F791" s="30" t="s">
        <v>3</v>
      </c>
      <c r="G791" s="285">
        <v>0</v>
      </c>
      <c r="H791" s="286">
        <v>4339</v>
      </c>
      <c r="I791" s="286">
        <v>5368</v>
      </c>
      <c r="J791" s="286">
        <v>26797</v>
      </c>
      <c r="K791" s="286">
        <v>4183</v>
      </c>
      <c r="L791" s="287">
        <v>0</v>
      </c>
      <c r="M791" s="212">
        <v>40687</v>
      </c>
    </row>
    <row r="792" spans="1:13" x14ac:dyDescent="0.25">
      <c r="A792" s="567"/>
      <c r="B792" s="546"/>
      <c r="C792" s="546"/>
      <c r="D792" s="546"/>
      <c r="E792" s="546"/>
      <c r="F792" s="29" t="s">
        <v>2</v>
      </c>
      <c r="G792" s="281">
        <v>0</v>
      </c>
      <c r="H792" s="282">
        <v>817</v>
      </c>
      <c r="I792" s="282">
        <v>9167</v>
      </c>
      <c r="J792" s="282">
        <v>14690</v>
      </c>
      <c r="K792" s="282">
        <v>9831</v>
      </c>
      <c r="L792" s="288">
        <v>0</v>
      </c>
      <c r="M792" s="210">
        <v>34505</v>
      </c>
    </row>
    <row r="793" spans="1:13" x14ac:dyDescent="0.25">
      <c r="A793" s="567"/>
      <c r="B793" s="546"/>
      <c r="C793" s="546"/>
      <c r="D793" s="546"/>
      <c r="E793" s="546"/>
      <c r="F793" s="29" t="s">
        <v>1</v>
      </c>
      <c r="G793" s="281">
        <v>0</v>
      </c>
      <c r="H793" s="282">
        <v>1484</v>
      </c>
      <c r="I793" s="282">
        <v>9387</v>
      </c>
      <c r="J793" s="282">
        <v>9546</v>
      </c>
      <c r="K793" s="282">
        <v>20798</v>
      </c>
      <c r="L793" s="288">
        <v>0</v>
      </c>
      <c r="M793" s="210">
        <v>41215</v>
      </c>
    </row>
    <row r="794" spans="1:13" x14ac:dyDescent="0.25">
      <c r="A794" s="567"/>
      <c r="B794" s="546"/>
      <c r="C794" s="546"/>
      <c r="D794" s="546"/>
      <c r="E794" s="546"/>
      <c r="F794" s="29" t="s">
        <v>0</v>
      </c>
      <c r="G794" s="281">
        <v>0</v>
      </c>
      <c r="H794" s="282">
        <v>12534</v>
      </c>
      <c r="I794" s="282">
        <v>89062</v>
      </c>
      <c r="J794" s="282">
        <v>24819</v>
      </c>
      <c r="K794" s="282">
        <v>3301</v>
      </c>
      <c r="L794" s="288">
        <v>0</v>
      </c>
      <c r="M794" s="210">
        <v>129716</v>
      </c>
    </row>
    <row r="795" spans="1:13" x14ac:dyDescent="0.25">
      <c r="A795" s="567"/>
      <c r="B795" s="546"/>
      <c r="C795" s="546"/>
      <c r="D795" s="547"/>
      <c r="E795" s="549" t="s">
        <v>25</v>
      </c>
      <c r="F795" s="550"/>
      <c r="G795" s="283">
        <v>0</v>
      </c>
      <c r="H795" s="284">
        <v>19174</v>
      </c>
      <c r="I795" s="284">
        <v>112984</v>
      </c>
      <c r="J795" s="284">
        <v>75852</v>
      </c>
      <c r="K795" s="284">
        <v>38113</v>
      </c>
      <c r="L795" s="289">
        <v>0</v>
      </c>
      <c r="M795" s="211">
        <v>246123</v>
      </c>
    </row>
    <row r="796" spans="1:13" x14ac:dyDescent="0.25">
      <c r="A796" s="567"/>
      <c r="B796" s="546"/>
      <c r="C796" s="546"/>
      <c r="D796" s="545" t="s">
        <v>564</v>
      </c>
      <c r="E796" s="548" t="s">
        <v>159</v>
      </c>
      <c r="F796" s="30" t="s">
        <v>3</v>
      </c>
      <c r="G796" s="285">
        <v>0</v>
      </c>
      <c r="H796" s="286">
        <v>7994</v>
      </c>
      <c r="I796" s="286">
        <v>4387</v>
      </c>
      <c r="J796" s="286">
        <v>1893</v>
      </c>
      <c r="K796" s="286">
        <v>5024</v>
      </c>
      <c r="L796" s="287">
        <v>0</v>
      </c>
      <c r="M796" s="212">
        <v>19298</v>
      </c>
    </row>
    <row r="797" spans="1:13" x14ac:dyDescent="0.25">
      <c r="A797" s="567"/>
      <c r="B797" s="546"/>
      <c r="C797" s="546"/>
      <c r="D797" s="546"/>
      <c r="E797" s="546"/>
      <c r="F797" s="29" t="s">
        <v>2</v>
      </c>
      <c r="G797" s="281">
        <v>0</v>
      </c>
      <c r="H797" s="282">
        <v>2017</v>
      </c>
      <c r="I797" s="282">
        <v>6092</v>
      </c>
      <c r="J797" s="282">
        <v>4354</v>
      </c>
      <c r="K797" s="282">
        <v>0</v>
      </c>
      <c r="L797" s="288">
        <v>0</v>
      </c>
      <c r="M797" s="210">
        <v>12463</v>
      </c>
    </row>
    <row r="798" spans="1:13" x14ac:dyDescent="0.25">
      <c r="A798" s="567"/>
      <c r="B798" s="546"/>
      <c r="C798" s="546"/>
      <c r="D798" s="546"/>
      <c r="E798" s="546"/>
      <c r="F798" s="29" t="s">
        <v>1</v>
      </c>
      <c r="G798" s="281">
        <v>0</v>
      </c>
      <c r="H798" s="282">
        <v>8196</v>
      </c>
      <c r="I798" s="282">
        <v>2929</v>
      </c>
      <c r="J798" s="282">
        <v>1252</v>
      </c>
      <c r="K798" s="282">
        <v>0</v>
      </c>
      <c r="L798" s="288">
        <v>0</v>
      </c>
      <c r="M798" s="210">
        <v>12377</v>
      </c>
    </row>
    <row r="799" spans="1:13" x14ac:dyDescent="0.25">
      <c r="A799" s="567"/>
      <c r="B799" s="546"/>
      <c r="C799" s="546"/>
      <c r="D799" s="546"/>
      <c r="E799" s="546"/>
      <c r="F799" s="29" t="s">
        <v>0</v>
      </c>
      <c r="G799" s="281">
        <v>0</v>
      </c>
      <c r="H799" s="282">
        <v>67136</v>
      </c>
      <c r="I799" s="282">
        <v>86522</v>
      </c>
      <c r="J799" s="282">
        <v>8236</v>
      </c>
      <c r="K799" s="282">
        <v>0</v>
      </c>
      <c r="L799" s="288">
        <v>0</v>
      </c>
      <c r="M799" s="210">
        <v>161894</v>
      </c>
    </row>
    <row r="800" spans="1:13" x14ac:dyDescent="0.25">
      <c r="A800" s="567"/>
      <c r="B800" s="546"/>
      <c r="C800" s="546"/>
      <c r="D800" s="547"/>
      <c r="E800" s="549" t="s">
        <v>25</v>
      </c>
      <c r="F800" s="550"/>
      <c r="G800" s="283">
        <v>0</v>
      </c>
      <c r="H800" s="284">
        <v>85343</v>
      </c>
      <c r="I800" s="284">
        <v>99930</v>
      </c>
      <c r="J800" s="284">
        <v>15735</v>
      </c>
      <c r="K800" s="284">
        <v>5024</v>
      </c>
      <c r="L800" s="289">
        <v>0</v>
      </c>
      <c r="M800" s="211">
        <v>206032</v>
      </c>
    </row>
    <row r="801" spans="1:13" x14ac:dyDescent="0.25">
      <c r="A801" s="567"/>
      <c r="B801" s="546"/>
      <c r="C801" s="546"/>
      <c r="D801" s="545" t="s">
        <v>565</v>
      </c>
      <c r="E801" s="548" t="s">
        <v>159</v>
      </c>
      <c r="F801" s="30" t="s">
        <v>3</v>
      </c>
      <c r="G801" s="285">
        <v>0</v>
      </c>
      <c r="H801" s="286">
        <v>34206</v>
      </c>
      <c r="I801" s="286">
        <v>82837</v>
      </c>
      <c r="J801" s="286">
        <v>144072</v>
      </c>
      <c r="K801" s="286">
        <v>66324</v>
      </c>
      <c r="L801" s="286">
        <v>5501</v>
      </c>
      <c r="M801" s="212">
        <v>332940</v>
      </c>
    </row>
    <row r="802" spans="1:13" x14ac:dyDescent="0.25">
      <c r="A802" s="567"/>
      <c r="B802" s="546"/>
      <c r="C802" s="546"/>
      <c r="D802" s="546"/>
      <c r="E802" s="546"/>
      <c r="F802" s="29" t="s">
        <v>2</v>
      </c>
      <c r="G802" s="281">
        <v>0</v>
      </c>
      <c r="H802" s="282">
        <v>38084</v>
      </c>
      <c r="I802" s="282">
        <v>51571</v>
      </c>
      <c r="J802" s="282">
        <v>157252</v>
      </c>
      <c r="K802" s="282">
        <v>76159</v>
      </c>
      <c r="L802" s="282">
        <v>268</v>
      </c>
      <c r="M802" s="210">
        <v>323334</v>
      </c>
    </row>
    <row r="803" spans="1:13" x14ac:dyDescent="0.25">
      <c r="A803" s="567"/>
      <c r="B803" s="546"/>
      <c r="C803" s="546"/>
      <c r="D803" s="546"/>
      <c r="E803" s="546"/>
      <c r="F803" s="29" t="s">
        <v>1</v>
      </c>
      <c r="G803" s="281">
        <v>0</v>
      </c>
      <c r="H803" s="282">
        <v>31759</v>
      </c>
      <c r="I803" s="282">
        <v>104860</v>
      </c>
      <c r="J803" s="282">
        <v>48158</v>
      </c>
      <c r="K803" s="282">
        <v>5588</v>
      </c>
      <c r="L803" s="282">
        <v>0</v>
      </c>
      <c r="M803" s="210">
        <v>190365</v>
      </c>
    </row>
    <row r="804" spans="1:13" x14ac:dyDescent="0.25">
      <c r="A804" s="567"/>
      <c r="B804" s="546"/>
      <c r="C804" s="546"/>
      <c r="D804" s="546"/>
      <c r="E804" s="546"/>
      <c r="F804" s="29" t="s">
        <v>0</v>
      </c>
      <c r="G804" s="281">
        <v>0</v>
      </c>
      <c r="H804" s="282">
        <v>42959</v>
      </c>
      <c r="I804" s="282">
        <v>349381</v>
      </c>
      <c r="J804" s="282">
        <v>126784</v>
      </c>
      <c r="K804" s="282">
        <v>4744</v>
      </c>
      <c r="L804" s="282">
        <v>0</v>
      </c>
      <c r="M804" s="210">
        <v>523868</v>
      </c>
    </row>
    <row r="805" spans="1:13" x14ac:dyDescent="0.25">
      <c r="A805" s="567"/>
      <c r="B805" s="546"/>
      <c r="C805" s="546"/>
      <c r="D805" s="547"/>
      <c r="E805" s="549" t="s">
        <v>25</v>
      </c>
      <c r="F805" s="550"/>
      <c r="G805" s="283">
        <v>0</v>
      </c>
      <c r="H805" s="284">
        <v>147008</v>
      </c>
      <c r="I805" s="284">
        <v>588649</v>
      </c>
      <c r="J805" s="284">
        <v>476266</v>
      </c>
      <c r="K805" s="284">
        <v>152815</v>
      </c>
      <c r="L805" s="284">
        <v>5769</v>
      </c>
      <c r="M805" s="211">
        <v>1370507</v>
      </c>
    </row>
    <row r="806" spans="1:13" x14ac:dyDescent="0.25">
      <c r="A806" s="567"/>
      <c r="B806" s="546"/>
      <c r="C806" s="546"/>
      <c r="D806" s="545" t="s">
        <v>566</v>
      </c>
      <c r="E806" s="548" t="s">
        <v>159</v>
      </c>
      <c r="F806" s="30" t="s">
        <v>3</v>
      </c>
      <c r="G806" s="285">
        <v>0</v>
      </c>
      <c r="H806" s="287">
        <v>0</v>
      </c>
      <c r="I806" s="286">
        <v>29436</v>
      </c>
      <c r="J806" s="286">
        <v>2218</v>
      </c>
      <c r="K806" s="286">
        <v>0</v>
      </c>
      <c r="L806" s="287">
        <v>0</v>
      </c>
      <c r="M806" s="212">
        <v>31654</v>
      </c>
    </row>
    <row r="807" spans="1:13" x14ac:dyDescent="0.25">
      <c r="A807" s="567"/>
      <c r="B807" s="546"/>
      <c r="C807" s="546"/>
      <c r="D807" s="546"/>
      <c r="E807" s="546"/>
      <c r="F807" s="29" t="s">
        <v>2</v>
      </c>
      <c r="G807" s="281">
        <v>0</v>
      </c>
      <c r="H807" s="288">
        <v>0</v>
      </c>
      <c r="I807" s="282">
        <v>1253</v>
      </c>
      <c r="J807" s="282">
        <v>3856</v>
      </c>
      <c r="K807" s="282">
        <v>0</v>
      </c>
      <c r="L807" s="288">
        <v>0</v>
      </c>
      <c r="M807" s="210">
        <v>5109</v>
      </c>
    </row>
    <row r="808" spans="1:13" x14ac:dyDescent="0.25">
      <c r="A808" s="567"/>
      <c r="B808" s="546"/>
      <c r="C808" s="546"/>
      <c r="D808" s="546"/>
      <c r="E808" s="546"/>
      <c r="F808" s="29" t="s">
        <v>1</v>
      </c>
      <c r="G808" s="281">
        <v>0</v>
      </c>
      <c r="H808" s="288">
        <v>0</v>
      </c>
      <c r="I808" s="282">
        <v>4967</v>
      </c>
      <c r="J808" s="282">
        <v>0</v>
      </c>
      <c r="K808" s="282">
        <v>0</v>
      </c>
      <c r="L808" s="288">
        <v>0</v>
      </c>
      <c r="M808" s="210">
        <v>4967</v>
      </c>
    </row>
    <row r="809" spans="1:13" x14ac:dyDescent="0.25">
      <c r="A809" s="567"/>
      <c r="B809" s="546"/>
      <c r="C809" s="546"/>
      <c r="D809" s="546"/>
      <c r="E809" s="546"/>
      <c r="F809" s="29" t="s">
        <v>0</v>
      </c>
      <c r="G809" s="281">
        <v>0</v>
      </c>
      <c r="H809" s="288">
        <v>0</v>
      </c>
      <c r="I809" s="282">
        <v>9145</v>
      </c>
      <c r="J809" s="282">
        <v>9627</v>
      </c>
      <c r="K809" s="282">
        <v>228</v>
      </c>
      <c r="L809" s="288">
        <v>0</v>
      </c>
      <c r="M809" s="210">
        <v>19000</v>
      </c>
    </row>
    <row r="810" spans="1:13" x14ac:dyDescent="0.25">
      <c r="A810" s="567"/>
      <c r="B810" s="546"/>
      <c r="C810" s="546"/>
      <c r="D810" s="547"/>
      <c r="E810" s="549" t="s">
        <v>25</v>
      </c>
      <c r="F810" s="550"/>
      <c r="G810" s="283">
        <v>0</v>
      </c>
      <c r="H810" s="289">
        <v>0</v>
      </c>
      <c r="I810" s="284">
        <v>44801</v>
      </c>
      <c r="J810" s="284">
        <v>15701</v>
      </c>
      <c r="K810" s="284">
        <v>228</v>
      </c>
      <c r="L810" s="289">
        <v>0</v>
      </c>
      <c r="M810" s="211">
        <v>60730</v>
      </c>
    </row>
    <row r="811" spans="1:13" x14ac:dyDescent="0.25">
      <c r="A811" s="567"/>
      <c r="B811" s="546"/>
      <c r="C811" s="546"/>
      <c r="D811" s="545" t="s">
        <v>567</v>
      </c>
      <c r="E811" s="548" t="s">
        <v>159</v>
      </c>
      <c r="F811" s="30" t="s">
        <v>3</v>
      </c>
      <c r="G811" s="285">
        <v>0</v>
      </c>
      <c r="H811" s="286">
        <v>0</v>
      </c>
      <c r="I811" s="286">
        <v>4503</v>
      </c>
      <c r="J811" s="286">
        <v>1032</v>
      </c>
      <c r="K811" s="286">
        <v>0</v>
      </c>
      <c r="L811" s="287">
        <v>0</v>
      </c>
      <c r="M811" s="212">
        <v>5535</v>
      </c>
    </row>
    <row r="812" spans="1:13" x14ac:dyDescent="0.25">
      <c r="A812" s="567"/>
      <c r="B812" s="546"/>
      <c r="C812" s="546"/>
      <c r="D812" s="546"/>
      <c r="E812" s="546"/>
      <c r="F812" s="29" t="s">
        <v>2</v>
      </c>
      <c r="G812" s="281">
        <v>0</v>
      </c>
      <c r="H812" s="282">
        <v>0</v>
      </c>
      <c r="I812" s="282">
        <v>2009</v>
      </c>
      <c r="J812" s="282">
        <v>0</v>
      </c>
      <c r="K812" s="282">
        <v>1935</v>
      </c>
      <c r="L812" s="288">
        <v>0</v>
      </c>
      <c r="M812" s="210">
        <v>3944</v>
      </c>
    </row>
    <row r="813" spans="1:13" x14ac:dyDescent="0.25">
      <c r="A813" s="567"/>
      <c r="B813" s="546"/>
      <c r="C813" s="546"/>
      <c r="D813" s="546"/>
      <c r="E813" s="546"/>
      <c r="F813" s="29" t="s">
        <v>1</v>
      </c>
      <c r="G813" s="281">
        <v>0</v>
      </c>
      <c r="H813" s="282">
        <v>0</v>
      </c>
      <c r="I813" s="282">
        <v>3579</v>
      </c>
      <c r="J813" s="282">
        <v>0</v>
      </c>
      <c r="K813" s="282">
        <v>2003</v>
      </c>
      <c r="L813" s="288">
        <v>0</v>
      </c>
      <c r="M813" s="210">
        <v>5582</v>
      </c>
    </row>
    <row r="814" spans="1:13" x14ac:dyDescent="0.25">
      <c r="A814" s="567"/>
      <c r="B814" s="546"/>
      <c r="C814" s="546"/>
      <c r="D814" s="546"/>
      <c r="E814" s="546"/>
      <c r="F814" s="29" t="s">
        <v>0</v>
      </c>
      <c r="G814" s="281">
        <v>0</v>
      </c>
      <c r="H814" s="282">
        <v>7415</v>
      </c>
      <c r="I814" s="282">
        <v>21935</v>
      </c>
      <c r="J814" s="282">
        <v>3566</v>
      </c>
      <c r="K814" s="282">
        <v>0</v>
      </c>
      <c r="L814" s="288">
        <v>0</v>
      </c>
      <c r="M814" s="210">
        <v>32916</v>
      </c>
    </row>
    <row r="815" spans="1:13" x14ac:dyDescent="0.25">
      <c r="A815" s="567"/>
      <c r="B815" s="546"/>
      <c r="C815" s="546"/>
      <c r="D815" s="547"/>
      <c r="E815" s="549" t="s">
        <v>25</v>
      </c>
      <c r="F815" s="550"/>
      <c r="G815" s="283">
        <v>0</v>
      </c>
      <c r="H815" s="284">
        <v>7415</v>
      </c>
      <c r="I815" s="284">
        <v>32026</v>
      </c>
      <c r="J815" s="284">
        <v>4598</v>
      </c>
      <c r="K815" s="284">
        <v>3938</v>
      </c>
      <c r="L815" s="289">
        <v>0</v>
      </c>
      <c r="M815" s="211">
        <v>47977</v>
      </c>
    </row>
    <row r="816" spans="1:13" x14ac:dyDescent="0.25">
      <c r="A816" s="567"/>
      <c r="B816" s="546"/>
      <c r="C816" s="546"/>
      <c r="D816" s="545" t="s">
        <v>568</v>
      </c>
      <c r="E816" s="548" t="s">
        <v>159</v>
      </c>
      <c r="F816" s="30" t="s">
        <v>3</v>
      </c>
      <c r="G816" s="285">
        <v>0</v>
      </c>
      <c r="H816" s="286">
        <v>2907</v>
      </c>
      <c r="I816" s="286">
        <v>3576</v>
      </c>
      <c r="J816" s="286">
        <v>1075</v>
      </c>
      <c r="K816" s="286">
        <v>0</v>
      </c>
      <c r="L816" s="287">
        <v>0</v>
      </c>
      <c r="M816" s="212">
        <v>7558</v>
      </c>
    </row>
    <row r="817" spans="1:13" x14ac:dyDescent="0.25">
      <c r="A817" s="567"/>
      <c r="B817" s="546"/>
      <c r="C817" s="546"/>
      <c r="D817" s="546"/>
      <c r="E817" s="546"/>
      <c r="F817" s="29" t="s">
        <v>2</v>
      </c>
      <c r="G817" s="281">
        <v>0</v>
      </c>
      <c r="H817" s="282">
        <v>14904</v>
      </c>
      <c r="I817" s="282">
        <v>846</v>
      </c>
      <c r="J817" s="282">
        <v>12667</v>
      </c>
      <c r="K817" s="282">
        <v>1948</v>
      </c>
      <c r="L817" s="288">
        <v>0</v>
      </c>
      <c r="M817" s="210">
        <v>30365</v>
      </c>
    </row>
    <row r="818" spans="1:13" x14ac:dyDescent="0.25">
      <c r="A818" s="567"/>
      <c r="B818" s="546"/>
      <c r="C818" s="546"/>
      <c r="D818" s="546"/>
      <c r="E818" s="546"/>
      <c r="F818" s="29" t="s">
        <v>1</v>
      </c>
      <c r="G818" s="281">
        <v>0</v>
      </c>
      <c r="H818" s="282">
        <v>326</v>
      </c>
      <c r="I818" s="282">
        <v>0</v>
      </c>
      <c r="J818" s="282">
        <v>354</v>
      </c>
      <c r="K818" s="282">
        <v>0</v>
      </c>
      <c r="L818" s="288">
        <v>0</v>
      </c>
      <c r="M818" s="210">
        <v>680</v>
      </c>
    </row>
    <row r="819" spans="1:13" x14ac:dyDescent="0.25">
      <c r="A819" s="567"/>
      <c r="B819" s="546"/>
      <c r="C819" s="546"/>
      <c r="D819" s="546"/>
      <c r="E819" s="546"/>
      <c r="F819" s="29" t="s">
        <v>0</v>
      </c>
      <c r="G819" s="281">
        <v>0</v>
      </c>
      <c r="H819" s="282">
        <v>11402</v>
      </c>
      <c r="I819" s="282">
        <v>19658</v>
      </c>
      <c r="J819" s="282">
        <v>3559</v>
      </c>
      <c r="K819" s="282">
        <v>0</v>
      </c>
      <c r="L819" s="288">
        <v>0</v>
      </c>
      <c r="M819" s="210">
        <v>34619</v>
      </c>
    </row>
    <row r="820" spans="1:13" x14ac:dyDescent="0.25">
      <c r="A820" s="567"/>
      <c r="B820" s="546"/>
      <c r="C820" s="546"/>
      <c r="D820" s="547"/>
      <c r="E820" s="549" t="s">
        <v>25</v>
      </c>
      <c r="F820" s="550"/>
      <c r="G820" s="283">
        <v>0</v>
      </c>
      <c r="H820" s="284">
        <v>29539</v>
      </c>
      <c r="I820" s="284">
        <v>24080</v>
      </c>
      <c r="J820" s="284">
        <v>17655</v>
      </c>
      <c r="K820" s="284">
        <v>1948</v>
      </c>
      <c r="L820" s="289">
        <v>0</v>
      </c>
      <c r="M820" s="211">
        <v>73222</v>
      </c>
    </row>
    <row r="821" spans="1:13" x14ac:dyDescent="0.25">
      <c r="A821" s="567"/>
      <c r="B821" s="546"/>
      <c r="C821" s="546"/>
      <c r="D821" s="545" t="s">
        <v>569</v>
      </c>
      <c r="E821" s="548" t="s">
        <v>159</v>
      </c>
      <c r="F821" s="30" t="s">
        <v>3</v>
      </c>
      <c r="G821" s="285">
        <v>0</v>
      </c>
      <c r="H821" s="286">
        <v>0</v>
      </c>
      <c r="I821" s="286">
        <v>1288</v>
      </c>
      <c r="J821" s="286">
        <v>2624</v>
      </c>
      <c r="K821" s="286">
        <v>79</v>
      </c>
      <c r="L821" s="286">
        <v>0</v>
      </c>
      <c r="M821" s="212">
        <v>3991</v>
      </c>
    </row>
    <row r="822" spans="1:13" x14ac:dyDescent="0.25">
      <c r="A822" s="567"/>
      <c r="B822" s="546"/>
      <c r="C822" s="546"/>
      <c r="D822" s="546"/>
      <c r="E822" s="546"/>
      <c r="F822" s="29" t="s">
        <v>2</v>
      </c>
      <c r="G822" s="281">
        <v>0</v>
      </c>
      <c r="H822" s="282">
        <v>2357</v>
      </c>
      <c r="I822" s="282">
        <v>131</v>
      </c>
      <c r="J822" s="282">
        <v>14862</v>
      </c>
      <c r="K822" s="282">
        <v>2355</v>
      </c>
      <c r="L822" s="282">
        <v>0</v>
      </c>
      <c r="M822" s="210">
        <v>19705</v>
      </c>
    </row>
    <row r="823" spans="1:13" x14ac:dyDescent="0.25">
      <c r="A823" s="567"/>
      <c r="B823" s="546"/>
      <c r="C823" s="546"/>
      <c r="D823" s="546"/>
      <c r="E823" s="546"/>
      <c r="F823" s="29" t="s">
        <v>1</v>
      </c>
      <c r="G823" s="281">
        <v>0</v>
      </c>
      <c r="H823" s="282">
        <v>354</v>
      </c>
      <c r="I823" s="282">
        <v>239</v>
      </c>
      <c r="J823" s="282">
        <v>897</v>
      </c>
      <c r="K823" s="282">
        <v>0</v>
      </c>
      <c r="L823" s="282">
        <v>611</v>
      </c>
      <c r="M823" s="210">
        <v>2101</v>
      </c>
    </row>
    <row r="824" spans="1:13" x14ac:dyDescent="0.25">
      <c r="A824" s="567"/>
      <c r="B824" s="546"/>
      <c r="C824" s="546"/>
      <c r="D824" s="546"/>
      <c r="E824" s="546"/>
      <c r="F824" s="29" t="s">
        <v>0</v>
      </c>
      <c r="G824" s="281">
        <v>0</v>
      </c>
      <c r="H824" s="282">
        <v>0</v>
      </c>
      <c r="I824" s="282">
        <v>12624</v>
      </c>
      <c r="J824" s="282">
        <v>10497</v>
      </c>
      <c r="K824" s="282">
        <v>404</v>
      </c>
      <c r="L824" s="282">
        <v>0</v>
      </c>
      <c r="M824" s="210">
        <v>23525</v>
      </c>
    </row>
    <row r="825" spans="1:13" x14ac:dyDescent="0.25">
      <c r="A825" s="567"/>
      <c r="B825" s="546"/>
      <c r="C825" s="546"/>
      <c r="D825" s="547"/>
      <c r="E825" s="549" t="s">
        <v>25</v>
      </c>
      <c r="F825" s="550"/>
      <c r="G825" s="283">
        <v>0</v>
      </c>
      <c r="H825" s="284">
        <v>2711</v>
      </c>
      <c r="I825" s="284">
        <v>14282</v>
      </c>
      <c r="J825" s="284">
        <v>28880</v>
      </c>
      <c r="K825" s="284">
        <v>2838</v>
      </c>
      <c r="L825" s="284">
        <v>611</v>
      </c>
      <c r="M825" s="211">
        <v>49322</v>
      </c>
    </row>
    <row r="826" spans="1:13" x14ac:dyDescent="0.25">
      <c r="A826" s="567"/>
      <c r="B826" s="546"/>
      <c r="C826" s="546"/>
      <c r="D826" s="545" t="s">
        <v>570</v>
      </c>
      <c r="E826" s="548" t="s">
        <v>159</v>
      </c>
      <c r="F826" s="30" t="s">
        <v>3</v>
      </c>
      <c r="G826" s="285">
        <v>0</v>
      </c>
      <c r="H826" s="286">
        <v>555</v>
      </c>
      <c r="I826" s="286">
        <v>434</v>
      </c>
      <c r="J826" s="286">
        <v>463</v>
      </c>
      <c r="K826" s="286">
        <v>0</v>
      </c>
      <c r="L826" s="287">
        <v>0</v>
      </c>
      <c r="M826" s="212">
        <v>1452</v>
      </c>
    </row>
    <row r="827" spans="1:13" x14ac:dyDescent="0.25">
      <c r="A827" s="567"/>
      <c r="B827" s="546"/>
      <c r="C827" s="546"/>
      <c r="D827" s="546"/>
      <c r="E827" s="546"/>
      <c r="F827" s="29" t="s">
        <v>2</v>
      </c>
      <c r="G827" s="281">
        <v>0</v>
      </c>
      <c r="H827" s="282">
        <v>11207</v>
      </c>
      <c r="I827" s="282">
        <v>1453</v>
      </c>
      <c r="J827" s="282">
        <v>3672</v>
      </c>
      <c r="K827" s="282">
        <v>594</v>
      </c>
      <c r="L827" s="288">
        <v>0</v>
      </c>
      <c r="M827" s="210">
        <v>16926</v>
      </c>
    </row>
    <row r="828" spans="1:13" x14ac:dyDescent="0.25">
      <c r="A828" s="567"/>
      <c r="B828" s="546"/>
      <c r="C828" s="546"/>
      <c r="D828" s="546"/>
      <c r="E828" s="546"/>
      <c r="F828" s="29" t="s">
        <v>1</v>
      </c>
      <c r="G828" s="281">
        <v>0</v>
      </c>
      <c r="H828" s="282">
        <v>0</v>
      </c>
      <c r="I828" s="282">
        <v>0</v>
      </c>
      <c r="J828" s="282">
        <v>41</v>
      </c>
      <c r="K828" s="282">
        <v>0</v>
      </c>
      <c r="L828" s="288">
        <v>0</v>
      </c>
      <c r="M828" s="210">
        <v>41</v>
      </c>
    </row>
    <row r="829" spans="1:13" x14ac:dyDescent="0.25">
      <c r="A829" s="567"/>
      <c r="B829" s="546"/>
      <c r="C829" s="546"/>
      <c r="D829" s="546"/>
      <c r="E829" s="546"/>
      <c r="F829" s="29" t="s">
        <v>0</v>
      </c>
      <c r="G829" s="281">
        <v>0</v>
      </c>
      <c r="H829" s="282">
        <v>0</v>
      </c>
      <c r="I829" s="282">
        <v>42721</v>
      </c>
      <c r="J829" s="282">
        <v>1479</v>
      </c>
      <c r="K829" s="282">
        <v>0</v>
      </c>
      <c r="L829" s="288">
        <v>0</v>
      </c>
      <c r="M829" s="210">
        <v>44200</v>
      </c>
    </row>
    <row r="830" spans="1:13" x14ac:dyDescent="0.25">
      <c r="A830" s="567"/>
      <c r="B830" s="546"/>
      <c r="C830" s="546"/>
      <c r="D830" s="547"/>
      <c r="E830" s="549" t="s">
        <v>25</v>
      </c>
      <c r="F830" s="550"/>
      <c r="G830" s="283">
        <v>0</v>
      </c>
      <c r="H830" s="284">
        <v>11762</v>
      </c>
      <c r="I830" s="284">
        <v>44608</v>
      </c>
      <c r="J830" s="284">
        <v>5655</v>
      </c>
      <c r="K830" s="284">
        <v>594</v>
      </c>
      <c r="L830" s="289">
        <v>0</v>
      </c>
      <c r="M830" s="211">
        <v>62619</v>
      </c>
    </row>
    <row r="831" spans="1:13" x14ac:dyDescent="0.25">
      <c r="A831" s="567"/>
      <c r="B831" s="546"/>
      <c r="C831" s="546"/>
      <c r="D831" s="545" t="s">
        <v>571</v>
      </c>
      <c r="E831" s="548" t="s">
        <v>159</v>
      </c>
      <c r="F831" s="30" t="s">
        <v>3</v>
      </c>
      <c r="G831" s="285">
        <v>0</v>
      </c>
      <c r="H831" s="286">
        <v>555532</v>
      </c>
      <c r="I831" s="286">
        <v>686648</v>
      </c>
      <c r="J831" s="286">
        <v>1523013</v>
      </c>
      <c r="K831" s="286">
        <v>612052</v>
      </c>
      <c r="L831" s="286">
        <v>73647</v>
      </c>
      <c r="M831" s="212">
        <v>3450892</v>
      </c>
    </row>
    <row r="832" spans="1:13" x14ac:dyDescent="0.25">
      <c r="A832" s="567"/>
      <c r="B832" s="546"/>
      <c r="C832" s="546"/>
      <c r="D832" s="546"/>
      <c r="E832" s="546"/>
      <c r="F832" s="29" t="s">
        <v>2</v>
      </c>
      <c r="G832" s="281">
        <v>0</v>
      </c>
      <c r="H832" s="282">
        <v>2019952</v>
      </c>
      <c r="I832" s="282">
        <v>2004787</v>
      </c>
      <c r="J832" s="282">
        <v>4941225</v>
      </c>
      <c r="K832" s="282">
        <v>2204270</v>
      </c>
      <c r="L832" s="282">
        <v>131019</v>
      </c>
      <c r="M832" s="210">
        <v>11301253</v>
      </c>
    </row>
    <row r="833" spans="1:13" x14ac:dyDescent="0.25">
      <c r="A833" s="567"/>
      <c r="B833" s="546"/>
      <c r="C833" s="546"/>
      <c r="D833" s="546"/>
      <c r="E833" s="546"/>
      <c r="F833" s="29" t="s">
        <v>1</v>
      </c>
      <c r="G833" s="281">
        <v>0</v>
      </c>
      <c r="H833" s="282">
        <v>354943</v>
      </c>
      <c r="I833" s="282">
        <v>747557</v>
      </c>
      <c r="J833" s="282">
        <v>235584</v>
      </c>
      <c r="K833" s="282">
        <v>40464</v>
      </c>
      <c r="L833" s="282">
        <v>1672</v>
      </c>
      <c r="M833" s="210">
        <v>1380220</v>
      </c>
    </row>
    <row r="834" spans="1:13" x14ac:dyDescent="0.25">
      <c r="A834" s="567"/>
      <c r="B834" s="546"/>
      <c r="C834" s="546"/>
      <c r="D834" s="546"/>
      <c r="E834" s="546"/>
      <c r="F834" s="29" t="s">
        <v>0</v>
      </c>
      <c r="G834" s="281">
        <v>0</v>
      </c>
      <c r="H834" s="282">
        <v>2535036</v>
      </c>
      <c r="I834" s="282">
        <v>6264496</v>
      </c>
      <c r="J834" s="282">
        <v>2352514</v>
      </c>
      <c r="K834" s="282">
        <v>122454</v>
      </c>
      <c r="L834" s="282">
        <v>3812</v>
      </c>
      <c r="M834" s="210">
        <v>11278312</v>
      </c>
    </row>
    <row r="835" spans="1:13" x14ac:dyDescent="0.25">
      <c r="A835" s="567"/>
      <c r="B835" s="546"/>
      <c r="C835" s="546"/>
      <c r="D835" s="547"/>
      <c r="E835" s="549" t="s">
        <v>25</v>
      </c>
      <c r="F835" s="550"/>
      <c r="G835" s="283">
        <v>0</v>
      </c>
      <c r="H835" s="284">
        <v>5465463</v>
      </c>
      <c r="I835" s="284">
        <v>9703488</v>
      </c>
      <c r="J835" s="284">
        <v>9052336</v>
      </c>
      <c r="K835" s="284">
        <v>2979240</v>
      </c>
      <c r="L835" s="284">
        <v>210150</v>
      </c>
      <c r="M835" s="211">
        <v>27410677</v>
      </c>
    </row>
    <row r="836" spans="1:13" x14ac:dyDescent="0.25">
      <c r="A836" s="567"/>
      <c r="B836" s="546"/>
      <c r="C836" s="546"/>
      <c r="D836" s="545" t="s">
        <v>572</v>
      </c>
      <c r="E836" s="548" t="s">
        <v>159</v>
      </c>
      <c r="F836" s="30" t="s">
        <v>3</v>
      </c>
      <c r="G836" s="285">
        <v>0</v>
      </c>
      <c r="H836" s="286">
        <v>6921</v>
      </c>
      <c r="I836" s="286">
        <v>32109</v>
      </c>
      <c r="J836" s="286">
        <v>19398</v>
      </c>
      <c r="K836" s="286">
        <v>12938</v>
      </c>
      <c r="L836" s="286">
        <v>983</v>
      </c>
      <c r="M836" s="212">
        <v>72349</v>
      </c>
    </row>
    <row r="837" spans="1:13" x14ac:dyDescent="0.25">
      <c r="A837" s="567"/>
      <c r="B837" s="546"/>
      <c r="C837" s="546"/>
      <c r="D837" s="546"/>
      <c r="E837" s="546"/>
      <c r="F837" s="29" t="s">
        <v>2</v>
      </c>
      <c r="G837" s="281">
        <v>0</v>
      </c>
      <c r="H837" s="282">
        <v>17222</v>
      </c>
      <c r="I837" s="282">
        <v>27955</v>
      </c>
      <c r="J837" s="282">
        <v>89718</v>
      </c>
      <c r="K837" s="282">
        <v>27098</v>
      </c>
      <c r="L837" s="282">
        <v>1532</v>
      </c>
      <c r="M837" s="210">
        <v>163525</v>
      </c>
    </row>
    <row r="838" spans="1:13" x14ac:dyDescent="0.25">
      <c r="A838" s="567"/>
      <c r="B838" s="546"/>
      <c r="C838" s="546"/>
      <c r="D838" s="546"/>
      <c r="E838" s="546"/>
      <c r="F838" s="29" t="s">
        <v>1</v>
      </c>
      <c r="G838" s="281">
        <v>0</v>
      </c>
      <c r="H838" s="282">
        <v>1090</v>
      </c>
      <c r="I838" s="282">
        <v>15188</v>
      </c>
      <c r="J838" s="282">
        <v>20479</v>
      </c>
      <c r="K838" s="282">
        <v>150</v>
      </c>
      <c r="L838" s="282">
        <v>0</v>
      </c>
      <c r="M838" s="210">
        <v>36907</v>
      </c>
    </row>
    <row r="839" spans="1:13" x14ac:dyDescent="0.25">
      <c r="A839" s="567"/>
      <c r="B839" s="546"/>
      <c r="C839" s="546"/>
      <c r="D839" s="546"/>
      <c r="E839" s="546"/>
      <c r="F839" s="29" t="s">
        <v>0</v>
      </c>
      <c r="G839" s="281">
        <v>0</v>
      </c>
      <c r="H839" s="282">
        <v>503</v>
      </c>
      <c r="I839" s="282">
        <v>83903</v>
      </c>
      <c r="J839" s="282">
        <v>45253</v>
      </c>
      <c r="K839" s="282">
        <v>1061</v>
      </c>
      <c r="L839" s="282">
        <v>0</v>
      </c>
      <c r="M839" s="210">
        <v>130720</v>
      </c>
    </row>
    <row r="840" spans="1:13" x14ac:dyDescent="0.25">
      <c r="A840" s="567"/>
      <c r="B840" s="546"/>
      <c r="C840" s="546"/>
      <c r="D840" s="547"/>
      <c r="E840" s="549" t="s">
        <v>25</v>
      </c>
      <c r="F840" s="550"/>
      <c r="G840" s="283">
        <v>0</v>
      </c>
      <c r="H840" s="284">
        <v>25736</v>
      </c>
      <c r="I840" s="284">
        <v>159155</v>
      </c>
      <c r="J840" s="284">
        <v>174848</v>
      </c>
      <c r="K840" s="284">
        <v>41247</v>
      </c>
      <c r="L840" s="284">
        <v>2515</v>
      </c>
      <c r="M840" s="211">
        <v>403501</v>
      </c>
    </row>
    <row r="841" spans="1:13" x14ac:dyDescent="0.25">
      <c r="A841" s="567"/>
      <c r="B841" s="546"/>
      <c r="C841" s="546"/>
      <c r="D841" s="545" t="s">
        <v>573</v>
      </c>
      <c r="E841" s="548" t="s">
        <v>159</v>
      </c>
      <c r="F841" s="30" t="s">
        <v>3</v>
      </c>
      <c r="G841" s="285">
        <v>0</v>
      </c>
      <c r="H841" s="286">
        <v>3106</v>
      </c>
      <c r="I841" s="286">
        <v>9383</v>
      </c>
      <c r="J841" s="286">
        <v>3507</v>
      </c>
      <c r="K841" s="286">
        <v>1486</v>
      </c>
      <c r="L841" s="287">
        <v>0</v>
      </c>
      <c r="M841" s="212">
        <v>17482</v>
      </c>
    </row>
    <row r="842" spans="1:13" x14ac:dyDescent="0.25">
      <c r="A842" s="567"/>
      <c r="B842" s="546"/>
      <c r="C842" s="546"/>
      <c r="D842" s="546"/>
      <c r="E842" s="546"/>
      <c r="F842" s="29" t="s">
        <v>2</v>
      </c>
      <c r="G842" s="281">
        <v>0</v>
      </c>
      <c r="H842" s="282">
        <v>29912</v>
      </c>
      <c r="I842" s="282">
        <v>105472</v>
      </c>
      <c r="J842" s="282">
        <v>21618</v>
      </c>
      <c r="K842" s="282">
        <v>2867</v>
      </c>
      <c r="L842" s="288">
        <v>0</v>
      </c>
      <c r="M842" s="210">
        <v>159869</v>
      </c>
    </row>
    <row r="843" spans="1:13" x14ac:dyDescent="0.25">
      <c r="A843" s="567"/>
      <c r="B843" s="546"/>
      <c r="C843" s="546"/>
      <c r="D843" s="546"/>
      <c r="E843" s="546"/>
      <c r="F843" s="29" t="s">
        <v>1</v>
      </c>
      <c r="G843" s="281">
        <v>0</v>
      </c>
      <c r="H843" s="282">
        <v>3934</v>
      </c>
      <c r="I843" s="282">
        <v>9863</v>
      </c>
      <c r="J843" s="282">
        <v>151</v>
      </c>
      <c r="K843" s="282">
        <v>0</v>
      </c>
      <c r="L843" s="288">
        <v>0</v>
      </c>
      <c r="M843" s="210">
        <v>13948</v>
      </c>
    </row>
    <row r="844" spans="1:13" x14ac:dyDescent="0.25">
      <c r="A844" s="567"/>
      <c r="B844" s="546"/>
      <c r="C844" s="546"/>
      <c r="D844" s="546"/>
      <c r="E844" s="546"/>
      <c r="F844" s="29" t="s">
        <v>0</v>
      </c>
      <c r="G844" s="281">
        <v>0</v>
      </c>
      <c r="H844" s="282">
        <v>18963</v>
      </c>
      <c r="I844" s="282">
        <v>71591</v>
      </c>
      <c r="J844" s="282">
        <v>17523</v>
      </c>
      <c r="K844" s="282">
        <v>394</v>
      </c>
      <c r="L844" s="288">
        <v>0</v>
      </c>
      <c r="M844" s="210">
        <v>108471</v>
      </c>
    </row>
    <row r="845" spans="1:13" x14ac:dyDescent="0.25">
      <c r="A845" s="567"/>
      <c r="B845" s="546"/>
      <c r="C845" s="547"/>
      <c r="D845" s="547"/>
      <c r="E845" s="549" t="s">
        <v>25</v>
      </c>
      <c r="F845" s="550"/>
      <c r="G845" s="283">
        <v>0</v>
      </c>
      <c r="H845" s="284">
        <v>55915</v>
      </c>
      <c r="I845" s="284">
        <v>196309</v>
      </c>
      <c r="J845" s="284">
        <v>42799</v>
      </c>
      <c r="K845" s="284">
        <v>4747</v>
      </c>
      <c r="L845" s="289">
        <v>0</v>
      </c>
      <c r="M845" s="211">
        <v>299770</v>
      </c>
    </row>
    <row r="846" spans="1:13" x14ac:dyDescent="0.25">
      <c r="A846" s="567"/>
      <c r="B846" s="546"/>
      <c r="C846" s="545" t="s">
        <v>5</v>
      </c>
      <c r="D846" s="545" t="s">
        <v>562</v>
      </c>
      <c r="E846" s="548" t="s">
        <v>159</v>
      </c>
      <c r="F846" s="30" t="s">
        <v>3</v>
      </c>
      <c r="G846" s="285">
        <v>0</v>
      </c>
      <c r="H846" s="286">
        <v>4420</v>
      </c>
      <c r="I846" s="286">
        <v>4828</v>
      </c>
      <c r="J846" s="286">
        <v>17871</v>
      </c>
      <c r="K846" s="286">
        <v>1227</v>
      </c>
      <c r="L846" s="286">
        <v>0</v>
      </c>
      <c r="M846" s="212">
        <v>28346</v>
      </c>
    </row>
    <row r="847" spans="1:13" x14ac:dyDescent="0.25">
      <c r="A847" s="567"/>
      <c r="B847" s="546"/>
      <c r="C847" s="546"/>
      <c r="D847" s="546"/>
      <c r="E847" s="546"/>
      <c r="F847" s="29" t="s">
        <v>2</v>
      </c>
      <c r="G847" s="281">
        <v>0</v>
      </c>
      <c r="H847" s="282">
        <v>29441</v>
      </c>
      <c r="I847" s="282">
        <v>28610</v>
      </c>
      <c r="J847" s="282">
        <v>67580</v>
      </c>
      <c r="K847" s="282">
        <v>16211</v>
      </c>
      <c r="L847" s="282">
        <v>0</v>
      </c>
      <c r="M847" s="210">
        <v>141842</v>
      </c>
    </row>
    <row r="848" spans="1:13" x14ac:dyDescent="0.25">
      <c r="A848" s="567"/>
      <c r="B848" s="546"/>
      <c r="C848" s="546"/>
      <c r="D848" s="546"/>
      <c r="E848" s="546"/>
      <c r="F848" s="29" t="s">
        <v>1</v>
      </c>
      <c r="G848" s="281">
        <v>0</v>
      </c>
      <c r="H848" s="282">
        <v>11394</v>
      </c>
      <c r="I848" s="282">
        <v>16040</v>
      </c>
      <c r="J848" s="282">
        <v>14499</v>
      </c>
      <c r="K848" s="282">
        <v>803</v>
      </c>
      <c r="L848" s="282">
        <v>0</v>
      </c>
      <c r="M848" s="210">
        <v>42736</v>
      </c>
    </row>
    <row r="849" spans="1:13" x14ac:dyDescent="0.25">
      <c r="A849" s="567"/>
      <c r="B849" s="546"/>
      <c r="C849" s="546"/>
      <c r="D849" s="546"/>
      <c r="E849" s="546"/>
      <c r="F849" s="29" t="s">
        <v>0</v>
      </c>
      <c r="G849" s="281">
        <v>0</v>
      </c>
      <c r="H849" s="282">
        <v>31007</v>
      </c>
      <c r="I849" s="282">
        <v>118708</v>
      </c>
      <c r="J849" s="282">
        <v>56896</v>
      </c>
      <c r="K849" s="282">
        <v>648</v>
      </c>
      <c r="L849" s="282">
        <v>474</v>
      </c>
      <c r="M849" s="210">
        <v>207733</v>
      </c>
    </row>
    <row r="850" spans="1:13" x14ac:dyDescent="0.25">
      <c r="A850" s="567"/>
      <c r="B850" s="546"/>
      <c r="C850" s="546"/>
      <c r="D850" s="547"/>
      <c r="E850" s="549" t="s">
        <v>25</v>
      </c>
      <c r="F850" s="550"/>
      <c r="G850" s="283">
        <v>0</v>
      </c>
      <c r="H850" s="284">
        <v>76262</v>
      </c>
      <c r="I850" s="284">
        <v>168186</v>
      </c>
      <c r="J850" s="284">
        <v>156846</v>
      </c>
      <c r="K850" s="284">
        <v>18889</v>
      </c>
      <c r="L850" s="284">
        <v>474</v>
      </c>
      <c r="M850" s="211">
        <v>420657</v>
      </c>
    </row>
    <row r="851" spans="1:13" x14ac:dyDescent="0.25">
      <c r="A851" s="567"/>
      <c r="B851" s="546"/>
      <c r="C851" s="546"/>
      <c r="D851" s="545" t="s">
        <v>563</v>
      </c>
      <c r="E851" s="548" t="s">
        <v>159</v>
      </c>
      <c r="F851" s="30" t="s">
        <v>3</v>
      </c>
      <c r="G851" s="285">
        <v>0</v>
      </c>
      <c r="H851" s="286">
        <v>0</v>
      </c>
      <c r="I851" s="286">
        <v>0</v>
      </c>
      <c r="J851" s="286">
        <v>229</v>
      </c>
      <c r="K851" s="286">
        <v>596</v>
      </c>
      <c r="L851" s="287">
        <v>0</v>
      </c>
      <c r="M851" s="212">
        <v>825</v>
      </c>
    </row>
    <row r="852" spans="1:13" x14ac:dyDescent="0.25">
      <c r="A852" s="567"/>
      <c r="B852" s="546"/>
      <c r="C852" s="546"/>
      <c r="D852" s="546"/>
      <c r="E852" s="546"/>
      <c r="F852" s="29" t="s">
        <v>2</v>
      </c>
      <c r="G852" s="281">
        <v>0</v>
      </c>
      <c r="H852" s="282">
        <v>439</v>
      </c>
      <c r="I852" s="282">
        <v>0</v>
      </c>
      <c r="J852" s="282">
        <v>22174</v>
      </c>
      <c r="K852" s="282">
        <v>0</v>
      </c>
      <c r="L852" s="288">
        <v>0</v>
      </c>
      <c r="M852" s="210">
        <v>22613</v>
      </c>
    </row>
    <row r="853" spans="1:13" x14ac:dyDescent="0.25">
      <c r="A853" s="567"/>
      <c r="B853" s="546"/>
      <c r="C853" s="546"/>
      <c r="D853" s="546"/>
      <c r="E853" s="546"/>
      <c r="F853" s="29" t="s">
        <v>1</v>
      </c>
      <c r="G853" s="281">
        <v>0</v>
      </c>
      <c r="H853" s="282">
        <v>0</v>
      </c>
      <c r="I853" s="282">
        <v>316</v>
      </c>
      <c r="J853" s="282">
        <v>434</v>
      </c>
      <c r="K853" s="282">
        <v>0</v>
      </c>
      <c r="L853" s="288">
        <v>0</v>
      </c>
      <c r="M853" s="210">
        <v>750</v>
      </c>
    </row>
    <row r="854" spans="1:13" x14ac:dyDescent="0.25">
      <c r="A854" s="567"/>
      <c r="B854" s="546"/>
      <c r="C854" s="546"/>
      <c r="D854" s="546"/>
      <c r="E854" s="546"/>
      <c r="F854" s="29" t="s">
        <v>0</v>
      </c>
      <c r="G854" s="281">
        <v>0</v>
      </c>
      <c r="H854" s="282">
        <v>1386</v>
      </c>
      <c r="I854" s="282">
        <v>15006</v>
      </c>
      <c r="J854" s="282">
        <v>16372</v>
      </c>
      <c r="K854" s="282">
        <v>0</v>
      </c>
      <c r="L854" s="288">
        <v>0</v>
      </c>
      <c r="M854" s="210">
        <v>32764</v>
      </c>
    </row>
    <row r="855" spans="1:13" x14ac:dyDescent="0.25">
      <c r="A855" s="567"/>
      <c r="B855" s="546"/>
      <c r="C855" s="546"/>
      <c r="D855" s="547"/>
      <c r="E855" s="549" t="s">
        <v>25</v>
      </c>
      <c r="F855" s="550"/>
      <c r="G855" s="283">
        <v>0</v>
      </c>
      <c r="H855" s="284">
        <v>1825</v>
      </c>
      <c r="I855" s="284">
        <v>15322</v>
      </c>
      <c r="J855" s="284">
        <v>39209</v>
      </c>
      <c r="K855" s="284">
        <v>596</v>
      </c>
      <c r="L855" s="289">
        <v>0</v>
      </c>
      <c r="M855" s="211">
        <v>56952</v>
      </c>
    </row>
    <row r="856" spans="1:13" x14ac:dyDescent="0.25">
      <c r="A856" s="567"/>
      <c r="B856" s="546"/>
      <c r="C856" s="546"/>
      <c r="D856" s="545" t="s">
        <v>564</v>
      </c>
      <c r="E856" s="548" t="s">
        <v>159</v>
      </c>
      <c r="F856" s="30" t="s">
        <v>3</v>
      </c>
      <c r="G856" s="285">
        <v>0</v>
      </c>
      <c r="H856" s="286">
        <v>0</v>
      </c>
      <c r="I856" s="286">
        <v>0</v>
      </c>
      <c r="J856" s="286">
        <v>0</v>
      </c>
      <c r="K856" s="287">
        <v>0</v>
      </c>
      <c r="L856" s="287">
        <v>0</v>
      </c>
      <c r="M856" s="212">
        <v>0</v>
      </c>
    </row>
    <row r="857" spans="1:13" s="22" customFormat="1" x14ac:dyDescent="0.25">
      <c r="A857" s="567"/>
      <c r="B857" s="546"/>
      <c r="C857" s="546"/>
      <c r="D857" s="571"/>
      <c r="E857" s="571"/>
      <c r="F857" s="29" t="s">
        <v>2</v>
      </c>
      <c r="G857" s="281">
        <v>0</v>
      </c>
      <c r="H857" s="282">
        <v>0</v>
      </c>
      <c r="I857" s="282">
        <v>4881</v>
      </c>
      <c r="J857" s="282">
        <v>540</v>
      </c>
      <c r="K857" s="288">
        <v>0</v>
      </c>
      <c r="L857" s="288">
        <v>0</v>
      </c>
      <c r="M857" s="210">
        <v>5421</v>
      </c>
    </row>
    <row r="858" spans="1:13" x14ac:dyDescent="0.25">
      <c r="A858" s="567"/>
      <c r="B858" s="546"/>
      <c r="C858" s="546"/>
      <c r="D858" s="546"/>
      <c r="E858" s="546"/>
      <c r="F858" s="29" t="s">
        <v>1</v>
      </c>
      <c r="G858" s="281">
        <v>0</v>
      </c>
      <c r="H858" s="282">
        <v>0</v>
      </c>
      <c r="I858" s="282">
        <v>758</v>
      </c>
      <c r="J858" s="282">
        <v>0</v>
      </c>
      <c r="K858" s="288">
        <v>0</v>
      </c>
      <c r="L858" s="288">
        <v>0</v>
      </c>
      <c r="M858" s="210">
        <v>758</v>
      </c>
    </row>
    <row r="859" spans="1:13" x14ac:dyDescent="0.25">
      <c r="A859" s="567"/>
      <c r="B859" s="546"/>
      <c r="C859" s="546"/>
      <c r="D859" s="546"/>
      <c r="E859" s="546"/>
      <c r="F859" s="29" t="s">
        <v>0</v>
      </c>
      <c r="G859" s="281">
        <v>0</v>
      </c>
      <c r="H859" s="282">
        <v>5383</v>
      </c>
      <c r="I859" s="282">
        <v>17940</v>
      </c>
      <c r="J859" s="282">
        <v>1292</v>
      </c>
      <c r="K859" s="288">
        <v>0</v>
      </c>
      <c r="L859" s="288">
        <v>0</v>
      </c>
      <c r="M859" s="210">
        <v>24615</v>
      </c>
    </row>
    <row r="860" spans="1:13" x14ac:dyDescent="0.25">
      <c r="A860" s="567"/>
      <c r="B860" s="546"/>
      <c r="C860" s="546"/>
      <c r="D860" s="547"/>
      <c r="E860" s="549" t="s">
        <v>25</v>
      </c>
      <c r="F860" s="550"/>
      <c r="G860" s="283">
        <v>0</v>
      </c>
      <c r="H860" s="284">
        <v>5383</v>
      </c>
      <c r="I860" s="284">
        <v>23579</v>
      </c>
      <c r="J860" s="284">
        <v>1832</v>
      </c>
      <c r="K860" s="289">
        <v>0</v>
      </c>
      <c r="L860" s="289">
        <v>0</v>
      </c>
      <c r="M860" s="211">
        <v>30794</v>
      </c>
    </row>
    <row r="861" spans="1:13" x14ac:dyDescent="0.25">
      <c r="A861" s="567"/>
      <c r="B861" s="546"/>
      <c r="C861" s="546"/>
      <c r="D861" s="545" t="s">
        <v>565</v>
      </c>
      <c r="E861" s="548" t="s">
        <v>159</v>
      </c>
      <c r="F861" s="30" t="s">
        <v>3</v>
      </c>
      <c r="G861" s="285">
        <v>0</v>
      </c>
      <c r="H861" s="286">
        <v>989</v>
      </c>
      <c r="I861" s="286">
        <v>26737</v>
      </c>
      <c r="J861" s="286">
        <v>21955</v>
      </c>
      <c r="K861" s="286">
        <v>27106</v>
      </c>
      <c r="L861" s="287">
        <v>0</v>
      </c>
      <c r="M861" s="212">
        <v>76787</v>
      </c>
    </row>
    <row r="862" spans="1:13" x14ac:dyDescent="0.25">
      <c r="A862" s="567"/>
      <c r="B862" s="546"/>
      <c r="C862" s="546"/>
      <c r="D862" s="546"/>
      <c r="E862" s="546"/>
      <c r="F862" s="29" t="s">
        <v>2</v>
      </c>
      <c r="G862" s="281">
        <v>0</v>
      </c>
      <c r="H862" s="282">
        <v>6895</v>
      </c>
      <c r="I862" s="282">
        <v>18996</v>
      </c>
      <c r="J862" s="282">
        <v>34631</v>
      </c>
      <c r="K862" s="282">
        <v>13034</v>
      </c>
      <c r="L862" s="288">
        <v>0</v>
      </c>
      <c r="M862" s="210">
        <v>73556</v>
      </c>
    </row>
    <row r="863" spans="1:13" x14ac:dyDescent="0.25">
      <c r="A863" s="567"/>
      <c r="B863" s="546"/>
      <c r="C863" s="546"/>
      <c r="D863" s="546"/>
      <c r="E863" s="546"/>
      <c r="F863" s="29" t="s">
        <v>1</v>
      </c>
      <c r="G863" s="281">
        <v>0</v>
      </c>
      <c r="H863" s="282">
        <v>19199</v>
      </c>
      <c r="I863" s="282">
        <v>10711</v>
      </c>
      <c r="J863" s="282">
        <v>5572</v>
      </c>
      <c r="K863" s="282">
        <v>0</v>
      </c>
      <c r="L863" s="288">
        <v>0</v>
      </c>
      <c r="M863" s="210">
        <v>35482</v>
      </c>
    </row>
    <row r="864" spans="1:13" x14ac:dyDescent="0.25">
      <c r="A864" s="567"/>
      <c r="B864" s="546"/>
      <c r="C864" s="546"/>
      <c r="D864" s="546"/>
      <c r="E864" s="546"/>
      <c r="F864" s="29" t="s">
        <v>0</v>
      </c>
      <c r="G864" s="281">
        <v>0</v>
      </c>
      <c r="H864" s="282">
        <v>13008</v>
      </c>
      <c r="I864" s="282">
        <v>134068</v>
      </c>
      <c r="J864" s="282">
        <v>19994</v>
      </c>
      <c r="K864" s="282">
        <v>232</v>
      </c>
      <c r="L864" s="288">
        <v>0</v>
      </c>
      <c r="M864" s="210">
        <v>167302</v>
      </c>
    </row>
    <row r="865" spans="1:13" x14ac:dyDescent="0.25">
      <c r="A865" s="567"/>
      <c r="B865" s="546"/>
      <c r="C865" s="546"/>
      <c r="D865" s="547"/>
      <c r="E865" s="549" t="s">
        <v>25</v>
      </c>
      <c r="F865" s="550"/>
      <c r="G865" s="283">
        <v>0</v>
      </c>
      <c r="H865" s="284">
        <v>40091</v>
      </c>
      <c r="I865" s="284">
        <v>190512</v>
      </c>
      <c r="J865" s="284">
        <v>82152</v>
      </c>
      <c r="K865" s="284">
        <v>40372</v>
      </c>
      <c r="L865" s="289">
        <v>0</v>
      </c>
      <c r="M865" s="211">
        <v>353127</v>
      </c>
    </row>
    <row r="866" spans="1:13" x14ac:dyDescent="0.25">
      <c r="A866" s="567"/>
      <c r="B866" s="546"/>
      <c r="C866" s="546"/>
      <c r="D866" s="545" t="s">
        <v>566</v>
      </c>
      <c r="E866" s="548" t="s">
        <v>159</v>
      </c>
      <c r="F866" s="30" t="s">
        <v>3</v>
      </c>
      <c r="G866" s="285">
        <v>0</v>
      </c>
      <c r="H866" s="286">
        <v>0</v>
      </c>
      <c r="I866" s="286">
        <v>1087</v>
      </c>
      <c r="J866" s="286">
        <v>755</v>
      </c>
      <c r="K866" s="286">
        <v>0</v>
      </c>
      <c r="L866" s="287">
        <v>0</v>
      </c>
      <c r="M866" s="212">
        <v>1842</v>
      </c>
    </row>
    <row r="867" spans="1:13" x14ac:dyDescent="0.25">
      <c r="A867" s="567"/>
      <c r="B867" s="546"/>
      <c r="C867" s="546"/>
      <c r="D867" s="546"/>
      <c r="E867" s="546"/>
      <c r="F867" s="29" t="s">
        <v>2</v>
      </c>
      <c r="G867" s="281">
        <v>0</v>
      </c>
      <c r="H867" s="282">
        <v>0</v>
      </c>
      <c r="I867" s="282">
        <v>0</v>
      </c>
      <c r="J867" s="282">
        <v>840</v>
      </c>
      <c r="K867" s="282">
        <v>811</v>
      </c>
      <c r="L867" s="288">
        <v>0</v>
      </c>
      <c r="M867" s="210">
        <v>1651</v>
      </c>
    </row>
    <row r="868" spans="1:13" x14ac:dyDescent="0.25">
      <c r="A868" s="567"/>
      <c r="B868" s="546"/>
      <c r="C868" s="546"/>
      <c r="D868" s="546"/>
      <c r="E868" s="546"/>
      <c r="F868" s="29" t="s">
        <v>1</v>
      </c>
      <c r="G868" s="281">
        <v>0</v>
      </c>
      <c r="H868" s="282">
        <v>0</v>
      </c>
      <c r="I868" s="282">
        <v>229</v>
      </c>
      <c r="J868" s="282">
        <v>0</v>
      </c>
      <c r="K868" s="282">
        <v>0</v>
      </c>
      <c r="L868" s="288">
        <v>0</v>
      </c>
      <c r="M868" s="210">
        <v>229</v>
      </c>
    </row>
    <row r="869" spans="1:13" x14ac:dyDescent="0.25">
      <c r="A869" s="567"/>
      <c r="B869" s="546"/>
      <c r="C869" s="546"/>
      <c r="D869" s="546"/>
      <c r="E869" s="546"/>
      <c r="F869" s="29" t="s">
        <v>0</v>
      </c>
      <c r="G869" s="281">
        <v>0</v>
      </c>
      <c r="H869" s="282">
        <v>4843</v>
      </c>
      <c r="I869" s="282">
        <v>545</v>
      </c>
      <c r="J869" s="282">
        <v>6759</v>
      </c>
      <c r="K869" s="282">
        <v>0</v>
      </c>
      <c r="L869" s="288">
        <v>0</v>
      </c>
      <c r="M869" s="210">
        <v>12147</v>
      </c>
    </row>
    <row r="870" spans="1:13" x14ac:dyDescent="0.25">
      <c r="A870" s="567"/>
      <c r="B870" s="546"/>
      <c r="C870" s="546"/>
      <c r="D870" s="547"/>
      <c r="E870" s="549" t="s">
        <v>25</v>
      </c>
      <c r="F870" s="550"/>
      <c r="G870" s="283">
        <v>0</v>
      </c>
      <c r="H870" s="284">
        <v>4843</v>
      </c>
      <c r="I870" s="284">
        <v>1861</v>
      </c>
      <c r="J870" s="284">
        <v>8354</v>
      </c>
      <c r="K870" s="284">
        <v>811</v>
      </c>
      <c r="L870" s="289">
        <v>0</v>
      </c>
      <c r="M870" s="211">
        <v>15869</v>
      </c>
    </row>
    <row r="871" spans="1:13" x14ac:dyDescent="0.25">
      <c r="A871" s="567"/>
      <c r="B871" s="546"/>
      <c r="C871" s="546"/>
      <c r="D871" s="545" t="s">
        <v>567</v>
      </c>
      <c r="E871" s="548" t="s">
        <v>159</v>
      </c>
      <c r="F871" s="30" t="s">
        <v>3</v>
      </c>
      <c r="G871" s="285">
        <v>0</v>
      </c>
      <c r="H871" s="287">
        <v>0</v>
      </c>
      <c r="I871" s="286">
        <v>0</v>
      </c>
      <c r="J871" s="286">
        <v>0</v>
      </c>
      <c r="K871" s="287">
        <v>0</v>
      </c>
      <c r="L871" s="287">
        <v>0</v>
      </c>
      <c r="M871" s="212">
        <v>0</v>
      </c>
    </row>
    <row r="872" spans="1:13" s="22" customFormat="1" x14ac:dyDescent="0.25">
      <c r="A872" s="567"/>
      <c r="B872" s="546"/>
      <c r="C872" s="546"/>
      <c r="D872" s="571"/>
      <c r="E872" s="571"/>
      <c r="F872" s="29" t="s">
        <v>2</v>
      </c>
      <c r="G872" s="281">
        <v>0</v>
      </c>
      <c r="H872" s="288">
        <v>0</v>
      </c>
      <c r="I872" s="282">
        <v>0</v>
      </c>
      <c r="J872" s="282">
        <v>92</v>
      </c>
      <c r="K872" s="288">
        <v>0</v>
      </c>
      <c r="L872" s="288">
        <v>0</v>
      </c>
      <c r="M872" s="210">
        <v>92</v>
      </c>
    </row>
    <row r="873" spans="1:13" x14ac:dyDescent="0.25">
      <c r="A873" s="567"/>
      <c r="B873" s="546"/>
      <c r="C873" s="546"/>
      <c r="D873" s="546"/>
      <c r="E873" s="546"/>
      <c r="F873" s="29" t="s">
        <v>1</v>
      </c>
      <c r="G873" s="281">
        <v>0</v>
      </c>
      <c r="H873" s="288">
        <v>0</v>
      </c>
      <c r="I873" s="282">
        <v>627</v>
      </c>
      <c r="J873" s="282">
        <v>0</v>
      </c>
      <c r="K873" s="288">
        <v>0</v>
      </c>
      <c r="L873" s="288">
        <v>0</v>
      </c>
      <c r="M873" s="210">
        <v>627</v>
      </c>
    </row>
    <row r="874" spans="1:13" x14ac:dyDescent="0.25">
      <c r="A874" s="567"/>
      <c r="B874" s="546"/>
      <c r="C874" s="546"/>
      <c r="D874" s="546"/>
      <c r="E874" s="546"/>
      <c r="F874" s="29" t="s">
        <v>0</v>
      </c>
      <c r="G874" s="281">
        <v>0</v>
      </c>
      <c r="H874" s="288">
        <v>0</v>
      </c>
      <c r="I874" s="282">
        <v>15644</v>
      </c>
      <c r="J874" s="282">
        <v>0</v>
      </c>
      <c r="K874" s="288">
        <v>0</v>
      </c>
      <c r="L874" s="288">
        <v>0</v>
      </c>
      <c r="M874" s="210">
        <v>15644</v>
      </c>
    </row>
    <row r="875" spans="1:13" x14ac:dyDescent="0.25">
      <c r="A875" s="567"/>
      <c r="B875" s="546"/>
      <c r="C875" s="546"/>
      <c r="D875" s="547"/>
      <c r="E875" s="549" t="s">
        <v>25</v>
      </c>
      <c r="F875" s="550"/>
      <c r="G875" s="283">
        <v>0</v>
      </c>
      <c r="H875" s="289">
        <v>0</v>
      </c>
      <c r="I875" s="284">
        <v>16271</v>
      </c>
      <c r="J875" s="284">
        <v>92</v>
      </c>
      <c r="K875" s="289">
        <v>0</v>
      </c>
      <c r="L875" s="289">
        <v>0</v>
      </c>
      <c r="M875" s="211">
        <v>16363</v>
      </c>
    </row>
    <row r="876" spans="1:13" x14ac:dyDescent="0.25">
      <c r="A876" s="567"/>
      <c r="B876" s="546"/>
      <c r="C876" s="546"/>
      <c r="D876" s="545" t="s">
        <v>568</v>
      </c>
      <c r="E876" s="548" t="s">
        <v>159</v>
      </c>
      <c r="F876" s="30" t="s">
        <v>3</v>
      </c>
      <c r="G876" s="285">
        <v>0</v>
      </c>
      <c r="H876" s="286">
        <v>3391</v>
      </c>
      <c r="I876" s="286">
        <v>1560</v>
      </c>
      <c r="J876" s="286">
        <v>301</v>
      </c>
      <c r="K876" s="286">
        <v>0</v>
      </c>
      <c r="L876" s="286">
        <v>0</v>
      </c>
      <c r="M876" s="212">
        <v>5252</v>
      </c>
    </row>
    <row r="877" spans="1:13" x14ac:dyDescent="0.25">
      <c r="A877" s="567"/>
      <c r="B877" s="546"/>
      <c r="C877" s="546"/>
      <c r="D877" s="546"/>
      <c r="E877" s="546"/>
      <c r="F877" s="29" t="s">
        <v>2</v>
      </c>
      <c r="G877" s="281">
        <v>0</v>
      </c>
      <c r="H877" s="282">
        <v>11897</v>
      </c>
      <c r="I877" s="282">
        <v>1764</v>
      </c>
      <c r="J877" s="282">
        <v>2563</v>
      </c>
      <c r="K877" s="282">
        <v>1891</v>
      </c>
      <c r="L877" s="282">
        <v>266</v>
      </c>
      <c r="M877" s="210">
        <v>18381</v>
      </c>
    </row>
    <row r="878" spans="1:13" x14ac:dyDescent="0.25">
      <c r="A878" s="567"/>
      <c r="B878" s="546"/>
      <c r="C878" s="546"/>
      <c r="D878" s="546"/>
      <c r="E878" s="546"/>
      <c r="F878" s="29" t="s">
        <v>1</v>
      </c>
      <c r="G878" s="281">
        <v>0</v>
      </c>
      <c r="H878" s="282">
        <v>0</v>
      </c>
      <c r="I878" s="282">
        <v>0</v>
      </c>
      <c r="J878" s="282">
        <v>751</v>
      </c>
      <c r="K878" s="282">
        <v>38</v>
      </c>
      <c r="L878" s="282">
        <v>0</v>
      </c>
      <c r="M878" s="210">
        <v>789</v>
      </c>
    </row>
    <row r="879" spans="1:13" x14ac:dyDescent="0.25">
      <c r="A879" s="567"/>
      <c r="B879" s="546"/>
      <c r="C879" s="546"/>
      <c r="D879" s="546"/>
      <c r="E879" s="546"/>
      <c r="F879" s="29" t="s">
        <v>0</v>
      </c>
      <c r="G879" s="281">
        <v>0</v>
      </c>
      <c r="H879" s="282">
        <v>805</v>
      </c>
      <c r="I879" s="282">
        <v>14805</v>
      </c>
      <c r="J879" s="282">
        <v>3853</v>
      </c>
      <c r="K879" s="282">
        <v>144</v>
      </c>
      <c r="L879" s="282">
        <v>0</v>
      </c>
      <c r="M879" s="210">
        <v>19607</v>
      </c>
    </row>
    <row r="880" spans="1:13" x14ac:dyDescent="0.25">
      <c r="A880" s="567"/>
      <c r="B880" s="546"/>
      <c r="C880" s="546"/>
      <c r="D880" s="547"/>
      <c r="E880" s="549" t="s">
        <v>25</v>
      </c>
      <c r="F880" s="550"/>
      <c r="G880" s="283">
        <v>0</v>
      </c>
      <c r="H880" s="284">
        <v>16093</v>
      </c>
      <c r="I880" s="284">
        <v>18129</v>
      </c>
      <c r="J880" s="284">
        <v>7468</v>
      </c>
      <c r="K880" s="284">
        <v>2073</v>
      </c>
      <c r="L880" s="284">
        <v>266</v>
      </c>
      <c r="M880" s="211">
        <v>44029</v>
      </c>
    </row>
    <row r="881" spans="1:13" x14ac:dyDescent="0.25">
      <c r="A881" s="567"/>
      <c r="B881" s="546"/>
      <c r="C881" s="546"/>
      <c r="D881" s="545" t="s">
        <v>569</v>
      </c>
      <c r="E881" s="548" t="s">
        <v>159</v>
      </c>
      <c r="F881" s="30" t="s">
        <v>3</v>
      </c>
      <c r="G881" s="285">
        <v>0</v>
      </c>
      <c r="H881" s="287">
        <v>0</v>
      </c>
      <c r="I881" s="286">
        <v>509</v>
      </c>
      <c r="J881" s="286">
        <v>2322</v>
      </c>
      <c r="K881" s="286">
        <v>3024</v>
      </c>
      <c r="L881" s="287">
        <v>0</v>
      </c>
      <c r="M881" s="212">
        <v>5855</v>
      </c>
    </row>
    <row r="882" spans="1:13" x14ac:dyDescent="0.25">
      <c r="A882" s="567"/>
      <c r="B882" s="546"/>
      <c r="C882" s="546"/>
      <c r="D882" s="546"/>
      <c r="E882" s="546"/>
      <c r="F882" s="29" t="s">
        <v>2</v>
      </c>
      <c r="G882" s="281">
        <v>0</v>
      </c>
      <c r="H882" s="288">
        <v>0</v>
      </c>
      <c r="I882" s="282">
        <v>1661</v>
      </c>
      <c r="J882" s="282">
        <v>12321</v>
      </c>
      <c r="K882" s="282">
        <v>1636</v>
      </c>
      <c r="L882" s="288">
        <v>0</v>
      </c>
      <c r="M882" s="210">
        <v>15618</v>
      </c>
    </row>
    <row r="883" spans="1:13" x14ac:dyDescent="0.25">
      <c r="A883" s="567"/>
      <c r="B883" s="546"/>
      <c r="C883" s="546"/>
      <c r="D883" s="546"/>
      <c r="E883" s="546"/>
      <c r="F883" s="29" t="s">
        <v>1</v>
      </c>
      <c r="G883" s="281">
        <v>0</v>
      </c>
      <c r="H883" s="288">
        <v>0</v>
      </c>
      <c r="I883" s="282">
        <v>1590</v>
      </c>
      <c r="J883" s="282">
        <v>1386</v>
      </c>
      <c r="K883" s="282">
        <v>0</v>
      </c>
      <c r="L883" s="288">
        <v>0</v>
      </c>
      <c r="M883" s="210">
        <v>2976</v>
      </c>
    </row>
    <row r="884" spans="1:13" x14ac:dyDescent="0.25">
      <c r="A884" s="567"/>
      <c r="B884" s="546"/>
      <c r="C884" s="546"/>
      <c r="D884" s="546"/>
      <c r="E884" s="546"/>
      <c r="F884" s="29" t="s">
        <v>0</v>
      </c>
      <c r="G884" s="281">
        <v>0</v>
      </c>
      <c r="H884" s="288">
        <v>0</v>
      </c>
      <c r="I884" s="282">
        <v>12291</v>
      </c>
      <c r="J884" s="282">
        <v>3602</v>
      </c>
      <c r="K884" s="282">
        <v>0</v>
      </c>
      <c r="L884" s="288">
        <v>0</v>
      </c>
      <c r="M884" s="210">
        <v>15893</v>
      </c>
    </row>
    <row r="885" spans="1:13" x14ac:dyDescent="0.25">
      <c r="A885" s="567"/>
      <c r="B885" s="546"/>
      <c r="C885" s="546"/>
      <c r="D885" s="547"/>
      <c r="E885" s="549" t="s">
        <v>25</v>
      </c>
      <c r="F885" s="550"/>
      <c r="G885" s="283">
        <v>0</v>
      </c>
      <c r="H885" s="289">
        <v>0</v>
      </c>
      <c r="I885" s="284">
        <v>16051</v>
      </c>
      <c r="J885" s="284">
        <v>19631</v>
      </c>
      <c r="K885" s="284">
        <v>4660</v>
      </c>
      <c r="L885" s="289">
        <v>0</v>
      </c>
      <c r="M885" s="211">
        <v>40342</v>
      </c>
    </row>
    <row r="886" spans="1:13" x14ac:dyDescent="0.25">
      <c r="A886" s="567"/>
      <c r="B886" s="546"/>
      <c r="C886" s="546"/>
      <c r="D886" s="545" t="s">
        <v>570</v>
      </c>
      <c r="E886" s="548" t="s">
        <v>159</v>
      </c>
      <c r="F886" s="30" t="s">
        <v>3</v>
      </c>
      <c r="G886" s="285">
        <v>0</v>
      </c>
      <c r="H886" s="286">
        <v>0</v>
      </c>
      <c r="I886" s="286">
        <v>369</v>
      </c>
      <c r="J886" s="286">
        <v>0</v>
      </c>
      <c r="K886" s="286">
        <v>0</v>
      </c>
      <c r="L886" s="287">
        <v>0</v>
      </c>
      <c r="M886" s="212">
        <v>369</v>
      </c>
    </row>
    <row r="887" spans="1:13" x14ac:dyDescent="0.25">
      <c r="A887" s="567"/>
      <c r="B887" s="546"/>
      <c r="C887" s="546"/>
      <c r="D887" s="546"/>
      <c r="E887" s="546"/>
      <c r="F887" s="29" t="s">
        <v>2</v>
      </c>
      <c r="G887" s="281">
        <v>0</v>
      </c>
      <c r="H887" s="282">
        <v>1276</v>
      </c>
      <c r="I887" s="282">
        <v>248</v>
      </c>
      <c r="J887" s="282">
        <v>11675</v>
      </c>
      <c r="K887" s="282">
        <v>621</v>
      </c>
      <c r="L887" s="288">
        <v>0</v>
      </c>
      <c r="M887" s="210">
        <v>13820</v>
      </c>
    </row>
    <row r="888" spans="1:13" x14ac:dyDescent="0.25">
      <c r="A888" s="567"/>
      <c r="B888" s="546"/>
      <c r="C888" s="546"/>
      <c r="D888" s="546"/>
      <c r="E888" s="546"/>
      <c r="F888" s="29" t="s">
        <v>1</v>
      </c>
      <c r="G888" s="281">
        <v>0</v>
      </c>
      <c r="H888" s="282">
        <v>0</v>
      </c>
      <c r="I888" s="282">
        <v>1085</v>
      </c>
      <c r="J888" s="282">
        <v>223</v>
      </c>
      <c r="K888" s="282">
        <v>0</v>
      </c>
      <c r="L888" s="288">
        <v>0</v>
      </c>
      <c r="M888" s="210">
        <v>1308</v>
      </c>
    </row>
    <row r="889" spans="1:13" x14ac:dyDescent="0.25">
      <c r="A889" s="567"/>
      <c r="B889" s="546"/>
      <c r="C889" s="546"/>
      <c r="D889" s="546"/>
      <c r="E889" s="546"/>
      <c r="F889" s="29" t="s">
        <v>0</v>
      </c>
      <c r="G889" s="281">
        <v>0</v>
      </c>
      <c r="H889" s="282">
        <v>0</v>
      </c>
      <c r="I889" s="282">
        <v>61038</v>
      </c>
      <c r="J889" s="282">
        <v>5736</v>
      </c>
      <c r="K889" s="282">
        <v>3509</v>
      </c>
      <c r="L889" s="288">
        <v>0</v>
      </c>
      <c r="M889" s="210">
        <v>70283</v>
      </c>
    </row>
    <row r="890" spans="1:13" x14ac:dyDescent="0.25">
      <c r="A890" s="567"/>
      <c r="B890" s="546"/>
      <c r="C890" s="546"/>
      <c r="D890" s="547"/>
      <c r="E890" s="549" t="s">
        <v>25</v>
      </c>
      <c r="F890" s="550"/>
      <c r="G890" s="283">
        <v>0</v>
      </c>
      <c r="H890" s="284">
        <v>1276</v>
      </c>
      <c r="I890" s="284">
        <v>62740</v>
      </c>
      <c r="J890" s="284">
        <v>17634</v>
      </c>
      <c r="K890" s="284">
        <v>4130</v>
      </c>
      <c r="L890" s="289">
        <v>0</v>
      </c>
      <c r="M890" s="211">
        <v>85780</v>
      </c>
    </row>
    <row r="891" spans="1:13" x14ac:dyDescent="0.25">
      <c r="A891" s="567"/>
      <c r="B891" s="546"/>
      <c r="C891" s="546"/>
      <c r="D891" s="545" t="s">
        <v>571</v>
      </c>
      <c r="E891" s="548" t="s">
        <v>159</v>
      </c>
      <c r="F891" s="30" t="s">
        <v>3</v>
      </c>
      <c r="G891" s="285">
        <v>0</v>
      </c>
      <c r="H891" s="286">
        <v>120342</v>
      </c>
      <c r="I891" s="286">
        <v>107296</v>
      </c>
      <c r="J891" s="286">
        <v>220714</v>
      </c>
      <c r="K891" s="286">
        <v>117673</v>
      </c>
      <c r="L891" s="286">
        <v>7239</v>
      </c>
      <c r="M891" s="212">
        <v>573264</v>
      </c>
    </row>
    <row r="892" spans="1:13" x14ac:dyDescent="0.25">
      <c r="A892" s="567"/>
      <c r="B892" s="546"/>
      <c r="C892" s="546"/>
      <c r="D892" s="546"/>
      <c r="E892" s="546"/>
      <c r="F892" s="29" t="s">
        <v>2</v>
      </c>
      <c r="G892" s="281">
        <v>0</v>
      </c>
      <c r="H892" s="282">
        <v>655706</v>
      </c>
      <c r="I892" s="282">
        <v>478546</v>
      </c>
      <c r="J892" s="282">
        <v>1754345</v>
      </c>
      <c r="K892" s="282">
        <v>666366</v>
      </c>
      <c r="L892" s="282">
        <v>31091</v>
      </c>
      <c r="M892" s="210">
        <v>3586054</v>
      </c>
    </row>
    <row r="893" spans="1:13" x14ac:dyDescent="0.25">
      <c r="A893" s="567"/>
      <c r="B893" s="546"/>
      <c r="C893" s="546"/>
      <c r="D893" s="546"/>
      <c r="E893" s="546"/>
      <c r="F893" s="29" t="s">
        <v>1</v>
      </c>
      <c r="G893" s="281">
        <v>0</v>
      </c>
      <c r="H893" s="282">
        <v>152864</v>
      </c>
      <c r="I893" s="282">
        <v>221998</v>
      </c>
      <c r="J893" s="282">
        <v>151046</v>
      </c>
      <c r="K893" s="282">
        <v>4009</v>
      </c>
      <c r="L893" s="282">
        <v>0</v>
      </c>
      <c r="M893" s="210">
        <v>529917</v>
      </c>
    </row>
    <row r="894" spans="1:13" x14ac:dyDescent="0.25">
      <c r="A894" s="567"/>
      <c r="B894" s="546"/>
      <c r="C894" s="546"/>
      <c r="D894" s="546"/>
      <c r="E894" s="546"/>
      <c r="F894" s="29" t="s">
        <v>0</v>
      </c>
      <c r="G894" s="281">
        <v>0</v>
      </c>
      <c r="H894" s="282">
        <v>690979</v>
      </c>
      <c r="I894" s="282">
        <v>2456651</v>
      </c>
      <c r="J894" s="282">
        <v>1164389</v>
      </c>
      <c r="K894" s="282">
        <v>51369</v>
      </c>
      <c r="L894" s="282">
        <v>207</v>
      </c>
      <c r="M894" s="210">
        <v>4363595</v>
      </c>
    </row>
    <row r="895" spans="1:13" x14ac:dyDescent="0.25">
      <c r="A895" s="567"/>
      <c r="B895" s="546"/>
      <c r="C895" s="546"/>
      <c r="D895" s="547"/>
      <c r="E895" s="549" t="s">
        <v>25</v>
      </c>
      <c r="F895" s="550"/>
      <c r="G895" s="283">
        <v>0</v>
      </c>
      <c r="H895" s="284">
        <v>1619891</v>
      </c>
      <c r="I895" s="284">
        <v>3264491</v>
      </c>
      <c r="J895" s="284">
        <v>3290494</v>
      </c>
      <c r="K895" s="284">
        <v>839417</v>
      </c>
      <c r="L895" s="284">
        <v>38537</v>
      </c>
      <c r="M895" s="211">
        <v>9052830</v>
      </c>
    </row>
    <row r="896" spans="1:13" x14ac:dyDescent="0.25">
      <c r="A896" s="567"/>
      <c r="B896" s="546"/>
      <c r="C896" s="546"/>
      <c r="D896" s="545" t="s">
        <v>572</v>
      </c>
      <c r="E896" s="548" t="s">
        <v>159</v>
      </c>
      <c r="F896" s="30" t="s">
        <v>3</v>
      </c>
      <c r="G896" s="285">
        <v>0</v>
      </c>
      <c r="H896" s="286">
        <v>2257</v>
      </c>
      <c r="I896" s="286">
        <v>2032</v>
      </c>
      <c r="J896" s="286">
        <v>8299</v>
      </c>
      <c r="K896" s="286">
        <v>3976</v>
      </c>
      <c r="L896" s="287">
        <v>0</v>
      </c>
      <c r="M896" s="212">
        <v>16564</v>
      </c>
    </row>
    <row r="897" spans="1:13" x14ac:dyDescent="0.25">
      <c r="A897" s="567"/>
      <c r="B897" s="546"/>
      <c r="C897" s="546"/>
      <c r="D897" s="546"/>
      <c r="E897" s="546"/>
      <c r="F897" s="29" t="s">
        <v>2</v>
      </c>
      <c r="G897" s="281">
        <v>0</v>
      </c>
      <c r="H897" s="282">
        <v>3903</v>
      </c>
      <c r="I897" s="282">
        <v>16576</v>
      </c>
      <c r="J897" s="282">
        <v>63268</v>
      </c>
      <c r="K897" s="282">
        <v>34666</v>
      </c>
      <c r="L897" s="288">
        <v>0</v>
      </c>
      <c r="M897" s="210">
        <v>118413</v>
      </c>
    </row>
    <row r="898" spans="1:13" x14ac:dyDescent="0.25">
      <c r="A898" s="567"/>
      <c r="B898" s="546"/>
      <c r="C898" s="546"/>
      <c r="D898" s="546"/>
      <c r="E898" s="546"/>
      <c r="F898" s="29" t="s">
        <v>1</v>
      </c>
      <c r="G898" s="281">
        <v>0</v>
      </c>
      <c r="H898" s="282">
        <v>0</v>
      </c>
      <c r="I898" s="282">
        <v>4564</v>
      </c>
      <c r="J898" s="282">
        <v>1893</v>
      </c>
      <c r="K898" s="282">
        <v>0</v>
      </c>
      <c r="L898" s="288">
        <v>0</v>
      </c>
      <c r="M898" s="210">
        <v>6457</v>
      </c>
    </row>
    <row r="899" spans="1:13" x14ac:dyDescent="0.25">
      <c r="A899" s="567"/>
      <c r="B899" s="546"/>
      <c r="C899" s="546"/>
      <c r="D899" s="546"/>
      <c r="E899" s="546"/>
      <c r="F899" s="29" t="s">
        <v>0</v>
      </c>
      <c r="G899" s="281">
        <v>0</v>
      </c>
      <c r="H899" s="282">
        <v>156</v>
      </c>
      <c r="I899" s="282">
        <v>59822</v>
      </c>
      <c r="J899" s="282">
        <v>61309</v>
      </c>
      <c r="K899" s="282">
        <v>3160</v>
      </c>
      <c r="L899" s="288">
        <v>0</v>
      </c>
      <c r="M899" s="210">
        <v>124447</v>
      </c>
    </row>
    <row r="900" spans="1:13" x14ac:dyDescent="0.25">
      <c r="A900" s="567"/>
      <c r="B900" s="546"/>
      <c r="C900" s="546"/>
      <c r="D900" s="547"/>
      <c r="E900" s="549" t="s">
        <v>25</v>
      </c>
      <c r="F900" s="550"/>
      <c r="G900" s="283">
        <v>0</v>
      </c>
      <c r="H900" s="284">
        <v>6316</v>
      </c>
      <c r="I900" s="284">
        <v>82994</v>
      </c>
      <c r="J900" s="284">
        <v>134769</v>
      </c>
      <c r="K900" s="284">
        <v>41802</v>
      </c>
      <c r="L900" s="289">
        <v>0</v>
      </c>
      <c r="M900" s="211">
        <v>265881</v>
      </c>
    </row>
    <row r="901" spans="1:13" x14ac:dyDescent="0.25">
      <c r="A901" s="567"/>
      <c r="B901" s="546"/>
      <c r="C901" s="546"/>
      <c r="D901" s="545" t="s">
        <v>573</v>
      </c>
      <c r="E901" s="548" t="s">
        <v>159</v>
      </c>
      <c r="F901" s="30" t="s">
        <v>3</v>
      </c>
      <c r="G901" s="285">
        <v>0</v>
      </c>
      <c r="H901" s="286">
        <v>0</v>
      </c>
      <c r="I901" s="286">
        <v>0</v>
      </c>
      <c r="J901" s="286">
        <v>8544</v>
      </c>
      <c r="K901" s="286">
        <v>0</v>
      </c>
      <c r="L901" s="287">
        <v>0</v>
      </c>
      <c r="M901" s="212">
        <v>8544</v>
      </c>
    </row>
    <row r="902" spans="1:13" x14ac:dyDescent="0.25">
      <c r="A902" s="567"/>
      <c r="B902" s="546"/>
      <c r="C902" s="546"/>
      <c r="D902" s="546"/>
      <c r="E902" s="546"/>
      <c r="F902" s="29" t="s">
        <v>2</v>
      </c>
      <c r="G902" s="281">
        <v>0</v>
      </c>
      <c r="H902" s="282">
        <v>9710</v>
      </c>
      <c r="I902" s="282">
        <v>23764</v>
      </c>
      <c r="J902" s="282">
        <v>7184</v>
      </c>
      <c r="K902" s="282">
        <v>1025</v>
      </c>
      <c r="L902" s="288">
        <v>0</v>
      </c>
      <c r="M902" s="210">
        <v>41683</v>
      </c>
    </row>
    <row r="903" spans="1:13" x14ac:dyDescent="0.25">
      <c r="A903" s="567"/>
      <c r="B903" s="546"/>
      <c r="C903" s="546"/>
      <c r="D903" s="546"/>
      <c r="E903" s="546"/>
      <c r="F903" s="29" t="s">
        <v>1</v>
      </c>
      <c r="G903" s="281">
        <v>0</v>
      </c>
      <c r="H903" s="282">
        <v>70</v>
      </c>
      <c r="I903" s="282">
        <v>26695</v>
      </c>
      <c r="J903" s="282">
        <v>161</v>
      </c>
      <c r="K903" s="282">
        <v>0</v>
      </c>
      <c r="L903" s="288">
        <v>0</v>
      </c>
      <c r="M903" s="210">
        <v>26926</v>
      </c>
    </row>
    <row r="904" spans="1:13" x14ac:dyDescent="0.25">
      <c r="A904" s="567"/>
      <c r="B904" s="546"/>
      <c r="C904" s="546"/>
      <c r="D904" s="546"/>
      <c r="E904" s="546"/>
      <c r="F904" s="29" t="s">
        <v>0</v>
      </c>
      <c r="G904" s="281">
        <v>0</v>
      </c>
      <c r="H904" s="282">
        <v>31260</v>
      </c>
      <c r="I904" s="282">
        <v>57213</v>
      </c>
      <c r="J904" s="282">
        <v>17835</v>
      </c>
      <c r="K904" s="282">
        <v>23</v>
      </c>
      <c r="L904" s="288">
        <v>0</v>
      </c>
      <c r="M904" s="210">
        <v>106331</v>
      </c>
    </row>
    <row r="905" spans="1:13" x14ac:dyDescent="0.25">
      <c r="A905" s="567"/>
      <c r="B905" s="547"/>
      <c r="C905" s="547"/>
      <c r="D905" s="547"/>
      <c r="E905" s="549" t="s">
        <v>25</v>
      </c>
      <c r="F905" s="550"/>
      <c r="G905" s="283">
        <v>0</v>
      </c>
      <c r="H905" s="284">
        <v>41040</v>
      </c>
      <c r="I905" s="284">
        <v>107672</v>
      </c>
      <c r="J905" s="284">
        <v>33724</v>
      </c>
      <c r="K905" s="284">
        <v>1048</v>
      </c>
      <c r="L905" s="289">
        <v>0</v>
      </c>
      <c r="M905" s="211">
        <v>183484</v>
      </c>
    </row>
    <row r="906" spans="1:13" ht="15.75" thickBot="1" x14ac:dyDescent="0.3">
      <c r="A906" s="567"/>
      <c r="B906" s="575" t="s">
        <v>8</v>
      </c>
      <c r="C906" s="545" t="s">
        <v>7</v>
      </c>
      <c r="D906" s="545" t="s">
        <v>562</v>
      </c>
      <c r="E906" s="548" t="s">
        <v>159</v>
      </c>
      <c r="F906" s="30" t="s">
        <v>3</v>
      </c>
      <c r="G906" s="290">
        <v>0</v>
      </c>
      <c r="H906" s="286">
        <v>18407</v>
      </c>
      <c r="I906" s="286">
        <v>54789</v>
      </c>
      <c r="J906" s="286">
        <v>45193</v>
      </c>
      <c r="K906" s="286">
        <v>107458</v>
      </c>
      <c r="L906" s="286">
        <v>31404</v>
      </c>
      <c r="M906" s="212">
        <v>257251</v>
      </c>
    </row>
    <row r="907" spans="1:13" x14ac:dyDescent="0.25">
      <c r="A907" s="567"/>
      <c r="B907" s="546"/>
      <c r="C907" s="546"/>
      <c r="D907" s="546"/>
      <c r="E907" s="546"/>
      <c r="F907" s="29" t="s">
        <v>2</v>
      </c>
      <c r="G907" s="291">
        <v>0</v>
      </c>
      <c r="H907" s="282">
        <v>34455</v>
      </c>
      <c r="I907" s="282">
        <v>11179</v>
      </c>
      <c r="J907" s="282">
        <v>17053</v>
      </c>
      <c r="K907" s="282">
        <v>47288</v>
      </c>
      <c r="L907" s="282">
        <v>91073</v>
      </c>
      <c r="M907" s="210">
        <v>201048</v>
      </c>
    </row>
    <row r="908" spans="1:13" x14ac:dyDescent="0.25">
      <c r="A908" s="567"/>
      <c r="B908" s="546"/>
      <c r="C908" s="546"/>
      <c r="D908" s="546"/>
      <c r="E908" s="546"/>
      <c r="F908" s="29" t="s">
        <v>1</v>
      </c>
      <c r="G908" s="291">
        <v>307550</v>
      </c>
      <c r="H908" s="282">
        <v>38031</v>
      </c>
      <c r="I908" s="282">
        <v>57003</v>
      </c>
      <c r="J908" s="282">
        <v>21321</v>
      </c>
      <c r="K908" s="282">
        <v>1195</v>
      </c>
      <c r="L908" s="282">
        <v>2313</v>
      </c>
      <c r="M908" s="210">
        <v>427413</v>
      </c>
    </row>
    <row r="909" spans="1:13" x14ac:dyDescent="0.25">
      <c r="A909" s="567"/>
      <c r="B909" s="546"/>
      <c r="C909" s="546"/>
      <c r="D909" s="546"/>
      <c r="E909" s="546"/>
      <c r="F909" s="29" t="s">
        <v>0</v>
      </c>
      <c r="G909" s="291">
        <v>394508</v>
      </c>
      <c r="H909" s="282">
        <v>118310</v>
      </c>
      <c r="I909" s="282">
        <v>25971</v>
      </c>
      <c r="J909" s="282">
        <v>15055</v>
      </c>
      <c r="K909" s="282">
        <v>3404</v>
      </c>
      <c r="L909" s="282">
        <v>0</v>
      </c>
      <c r="M909" s="210">
        <v>557248</v>
      </c>
    </row>
    <row r="910" spans="1:13" x14ac:dyDescent="0.25">
      <c r="A910" s="567"/>
      <c r="B910" s="546"/>
      <c r="C910" s="546"/>
      <c r="D910" s="547"/>
      <c r="E910" s="549" t="s">
        <v>25</v>
      </c>
      <c r="F910" s="550"/>
      <c r="G910" s="292">
        <v>702058</v>
      </c>
      <c r="H910" s="284">
        <v>209203</v>
      </c>
      <c r="I910" s="284">
        <v>148942</v>
      </c>
      <c r="J910" s="284">
        <v>98622</v>
      </c>
      <c r="K910" s="284">
        <v>159345</v>
      </c>
      <c r="L910" s="284">
        <v>124790</v>
      </c>
      <c r="M910" s="211">
        <v>1442960</v>
      </c>
    </row>
    <row r="911" spans="1:13" x14ac:dyDescent="0.25">
      <c r="A911" s="567"/>
      <c r="B911" s="546"/>
      <c r="C911" s="546"/>
      <c r="D911" s="545" t="s">
        <v>563</v>
      </c>
      <c r="E911" s="548" t="s">
        <v>159</v>
      </c>
      <c r="F911" s="30" t="s">
        <v>3</v>
      </c>
      <c r="G911" s="285">
        <v>0</v>
      </c>
      <c r="H911" s="286">
        <v>2155</v>
      </c>
      <c r="I911" s="286">
        <v>18015</v>
      </c>
      <c r="J911" s="286">
        <v>6462</v>
      </c>
      <c r="K911" s="286">
        <v>33558</v>
      </c>
      <c r="L911" s="286">
        <v>11656</v>
      </c>
      <c r="M911" s="212">
        <v>71846</v>
      </c>
    </row>
    <row r="912" spans="1:13" x14ac:dyDescent="0.25">
      <c r="A912" s="567"/>
      <c r="B912" s="546"/>
      <c r="C912" s="546"/>
      <c r="D912" s="546"/>
      <c r="E912" s="546"/>
      <c r="F912" s="29" t="s">
        <v>2</v>
      </c>
      <c r="G912" s="281">
        <v>0</v>
      </c>
      <c r="H912" s="282">
        <v>0</v>
      </c>
      <c r="I912" s="282">
        <v>5673</v>
      </c>
      <c r="J912" s="282">
        <v>13694</v>
      </c>
      <c r="K912" s="282">
        <v>30670</v>
      </c>
      <c r="L912" s="282">
        <v>4885</v>
      </c>
      <c r="M912" s="210">
        <v>54922</v>
      </c>
    </row>
    <row r="913" spans="1:13" x14ac:dyDescent="0.25">
      <c r="A913" s="567"/>
      <c r="B913" s="546"/>
      <c r="C913" s="546"/>
      <c r="D913" s="546"/>
      <c r="E913" s="546"/>
      <c r="F913" s="29" t="s">
        <v>1</v>
      </c>
      <c r="G913" s="281">
        <v>0</v>
      </c>
      <c r="H913" s="282">
        <v>1304</v>
      </c>
      <c r="I913" s="282">
        <v>9813</v>
      </c>
      <c r="J913" s="282">
        <v>4277</v>
      </c>
      <c r="K913" s="282">
        <v>13671</v>
      </c>
      <c r="L913" s="282">
        <v>2205</v>
      </c>
      <c r="M913" s="210">
        <v>31270</v>
      </c>
    </row>
    <row r="914" spans="1:13" x14ac:dyDescent="0.25">
      <c r="A914" s="567"/>
      <c r="B914" s="546"/>
      <c r="C914" s="546"/>
      <c r="D914" s="546"/>
      <c r="E914" s="546"/>
      <c r="F914" s="29" t="s">
        <v>0</v>
      </c>
      <c r="G914" s="281">
        <v>0</v>
      </c>
      <c r="H914" s="282">
        <v>2546</v>
      </c>
      <c r="I914" s="282">
        <v>19804</v>
      </c>
      <c r="J914" s="282">
        <v>3837</v>
      </c>
      <c r="K914" s="282">
        <v>7467</v>
      </c>
      <c r="L914" s="282">
        <v>3185</v>
      </c>
      <c r="M914" s="210">
        <v>36839</v>
      </c>
    </row>
    <row r="915" spans="1:13" x14ac:dyDescent="0.25">
      <c r="A915" s="567"/>
      <c r="B915" s="546"/>
      <c r="C915" s="546"/>
      <c r="D915" s="547"/>
      <c r="E915" s="549" t="s">
        <v>25</v>
      </c>
      <c r="F915" s="550"/>
      <c r="G915" s="283">
        <v>0</v>
      </c>
      <c r="H915" s="284">
        <v>6005</v>
      </c>
      <c r="I915" s="284">
        <v>53305</v>
      </c>
      <c r="J915" s="284">
        <v>28270</v>
      </c>
      <c r="K915" s="284">
        <v>85366</v>
      </c>
      <c r="L915" s="284">
        <v>21931</v>
      </c>
      <c r="M915" s="211">
        <v>194877</v>
      </c>
    </row>
    <row r="916" spans="1:13" x14ac:dyDescent="0.25">
      <c r="A916" s="567"/>
      <c r="B916" s="546"/>
      <c r="C916" s="546"/>
      <c r="D916" s="545" t="s">
        <v>564</v>
      </c>
      <c r="E916" s="548" t="s">
        <v>159</v>
      </c>
      <c r="F916" s="30" t="s">
        <v>3</v>
      </c>
      <c r="G916" s="290">
        <v>0</v>
      </c>
      <c r="H916" s="286">
        <v>11892</v>
      </c>
      <c r="I916" s="286">
        <v>3862</v>
      </c>
      <c r="J916" s="286">
        <v>670</v>
      </c>
      <c r="K916" s="286">
        <v>3633</v>
      </c>
      <c r="L916" s="286">
        <v>231</v>
      </c>
      <c r="M916" s="212">
        <v>20288</v>
      </c>
    </row>
    <row r="917" spans="1:13" x14ac:dyDescent="0.25">
      <c r="A917" s="567"/>
      <c r="B917" s="546"/>
      <c r="C917" s="546"/>
      <c r="D917" s="546"/>
      <c r="E917" s="546"/>
      <c r="F917" s="29" t="s">
        <v>2</v>
      </c>
      <c r="G917" s="291">
        <v>0</v>
      </c>
      <c r="H917" s="282">
        <v>9459</v>
      </c>
      <c r="I917" s="282">
        <v>1420</v>
      </c>
      <c r="J917" s="282">
        <v>4287</v>
      </c>
      <c r="K917" s="282">
        <v>5850</v>
      </c>
      <c r="L917" s="282">
        <v>4778</v>
      </c>
      <c r="M917" s="210">
        <v>25794</v>
      </c>
    </row>
    <row r="918" spans="1:13" x14ac:dyDescent="0.25">
      <c r="A918" s="567"/>
      <c r="B918" s="546"/>
      <c r="C918" s="546"/>
      <c r="D918" s="546"/>
      <c r="E918" s="546"/>
      <c r="F918" s="29" t="s">
        <v>1</v>
      </c>
      <c r="G918" s="291">
        <v>61516</v>
      </c>
      <c r="H918" s="282">
        <v>105034</v>
      </c>
      <c r="I918" s="282">
        <v>54801</v>
      </c>
      <c r="J918" s="282">
        <v>2819</v>
      </c>
      <c r="K918" s="282">
        <v>4780</v>
      </c>
      <c r="L918" s="282">
        <v>406</v>
      </c>
      <c r="M918" s="210">
        <v>229356</v>
      </c>
    </row>
    <row r="919" spans="1:13" x14ac:dyDescent="0.25">
      <c r="A919" s="567"/>
      <c r="B919" s="546"/>
      <c r="C919" s="546"/>
      <c r="D919" s="546"/>
      <c r="E919" s="546"/>
      <c r="F919" s="29" t="s">
        <v>0</v>
      </c>
      <c r="G919" s="291">
        <v>136653</v>
      </c>
      <c r="H919" s="282">
        <v>59884</v>
      </c>
      <c r="I919" s="282">
        <v>127483</v>
      </c>
      <c r="J919" s="282">
        <v>19442</v>
      </c>
      <c r="K919" s="282">
        <v>740</v>
      </c>
      <c r="L919" s="282">
        <v>349</v>
      </c>
      <c r="M919" s="210">
        <v>344551</v>
      </c>
    </row>
    <row r="920" spans="1:13" x14ac:dyDescent="0.25">
      <c r="A920" s="567"/>
      <c r="B920" s="546"/>
      <c r="C920" s="546"/>
      <c r="D920" s="547"/>
      <c r="E920" s="549" t="s">
        <v>25</v>
      </c>
      <c r="F920" s="550"/>
      <c r="G920" s="292">
        <v>198169</v>
      </c>
      <c r="H920" s="284">
        <v>186269</v>
      </c>
      <c r="I920" s="284">
        <v>187566</v>
      </c>
      <c r="J920" s="284">
        <v>27218</v>
      </c>
      <c r="K920" s="284">
        <v>15003</v>
      </c>
      <c r="L920" s="284">
        <v>5764</v>
      </c>
      <c r="M920" s="211">
        <v>619989</v>
      </c>
    </row>
    <row r="921" spans="1:13" x14ac:dyDescent="0.25">
      <c r="A921" s="567"/>
      <c r="B921" s="546"/>
      <c r="C921" s="546"/>
      <c r="D921" s="545" t="s">
        <v>565</v>
      </c>
      <c r="E921" s="548" t="s">
        <v>159</v>
      </c>
      <c r="F921" s="30" t="s">
        <v>3</v>
      </c>
      <c r="G921" s="290">
        <v>0</v>
      </c>
      <c r="H921" s="286">
        <v>75859</v>
      </c>
      <c r="I921" s="286">
        <v>51362</v>
      </c>
      <c r="J921" s="286">
        <v>140953</v>
      </c>
      <c r="K921" s="286">
        <v>360499</v>
      </c>
      <c r="L921" s="286">
        <v>191956</v>
      </c>
      <c r="M921" s="212">
        <v>820629</v>
      </c>
    </row>
    <row r="922" spans="1:13" x14ac:dyDescent="0.25">
      <c r="A922" s="567"/>
      <c r="B922" s="546"/>
      <c r="C922" s="546"/>
      <c r="D922" s="546"/>
      <c r="E922" s="546"/>
      <c r="F922" s="29" t="s">
        <v>2</v>
      </c>
      <c r="G922" s="291">
        <v>0</v>
      </c>
      <c r="H922" s="282">
        <v>17610</v>
      </c>
      <c r="I922" s="282">
        <v>16748</v>
      </c>
      <c r="J922" s="282">
        <v>97708</v>
      </c>
      <c r="K922" s="282">
        <v>165639</v>
      </c>
      <c r="L922" s="282">
        <v>62659</v>
      </c>
      <c r="M922" s="210">
        <v>360364</v>
      </c>
    </row>
    <row r="923" spans="1:13" x14ac:dyDescent="0.25">
      <c r="A923" s="567"/>
      <c r="B923" s="546"/>
      <c r="C923" s="546"/>
      <c r="D923" s="546"/>
      <c r="E923" s="546"/>
      <c r="F923" s="29" t="s">
        <v>1</v>
      </c>
      <c r="G923" s="291">
        <v>436882</v>
      </c>
      <c r="H923" s="282">
        <v>199870</v>
      </c>
      <c r="I923" s="282">
        <v>101798</v>
      </c>
      <c r="J923" s="282">
        <v>48582</v>
      </c>
      <c r="K923" s="282">
        <v>31358</v>
      </c>
      <c r="L923" s="282">
        <v>29089</v>
      </c>
      <c r="M923" s="210">
        <v>847579</v>
      </c>
    </row>
    <row r="924" spans="1:13" x14ac:dyDescent="0.25">
      <c r="A924" s="567"/>
      <c r="B924" s="546"/>
      <c r="C924" s="546"/>
      <c r="D924" s="546"/>
      <c r="E924" s="546"/>
      <c r="F924" s="29" t="s">
        <v>0</v>
      </c>
      <c r="G924" s="291">
        <v>210428</v>
      </c>
      <c r="H924" s="282">
        <v>116622</v>
      </c>
      <c r="I924" s="282">
        <v>14057</v>
      </c>
      <c r="J924" s="282">
        <v>65889</v>
      </c>
      <c r="K924" s="282">
        <v>18336</v>
      </c>
      <c r="L924" s="282">
        <v>2072</v>
      </c>
      <c r="M924" s="210">
        <v>427404</v>
      </c>
    </row>
    <row r="925" spans="1:13" x14ac:dyDescent="0.25">
      <c r="A925" s="567"/>
      <c r="B925" s="546"/>
      <c r="C925" s="546"/>
      <c r="D925" s="547"/>
      <c r="E925" s="549" t="s">
        <v>25</v>
      </c>
      <c r="F925" s="550"/>
      <c r="G925" s="292">
        <v>647310</v>
      </c>
      <c r="H925" s="284">
        <v>409961</v>
      </c>
      <c r="I925" s="284">
        <v>183965</v>
      </c>
      <c r="J925" s="284">
        <v>353132</v>
      </c>
      <c r="K925" s="284">
        <v>575832</v>
      </c>
      <c r="L925" s="284">
        <v>285776</v>
      </c>
      <c r="M925" s="211">
        <v>2455976</v>
      </c>
    </row>
    <row r="926" spans="1:13" x14ac:dyDescent="0.25">
      <c r="A926" s="567"/>
      <c r="B926" s="546"/>
      <c r="C926" s="546"/>
      <c r="D926" s="545" t="s">
        <v>566</v>
      </c>
      <c r="E926" s="548" t="s">
        <v>159</v>
      </c>
      <c r="F926" s="30" t="s">
        <v>3</v>
      </c>
      <c r="G926" s="285">
        <v>0</v>
      </c>
      <c r="H926" s="286">
        <v>0</v>
      </c>
      <c r="I926" s="286">
        <v>0</v>
      </c>
      <c r="J926" s="286">
        <v>7956</v>
      </c>
      <c r="K926" s="286">
        <v>856</v>
      </c>
      <c r="L926" s="286">
        <v>373</v>
      </c>
      <c r="M926" s="212">
        <v>9185</v>
      </c>
    </row>
    <row r="927" spans="1:13" x14ac:dyDescent="0.25">
      <c r="A927" s="567"/>
      <c r="B927" s="546"/>
      <c r="C927" s="546"/>
      <c r="D927" s="546"/>
      <c r="E927" s="546"/>
      <c r="F927" s="29" t="s">
        <v>2</v>
      </c>
      <c r="G927" s="281">
        <v>0</v>
      </c>
      <c r="H927" s="282">
        <v>0</v>
      </c>
      <c r="I927" s="282">
        <v>0</v>
      </c>
      <c r="J927" s="282">
        <v>0</v>
      </c>
      <c r="K927" s="282">
        <v>4607</v>
      </c>
      <c r="L927" s="282">
        <v>1413</v>
      </c>
      <c r="M927" s="210">
        <v>6020</v>
      </c>
    </row>
    <row r="928" spans="1:13" x14ac:dyDescent="0.25">
      <c r="A928" s="567"/>
      <c r="B928" s="546"/>
      <c r="C928" s="546"/>
      <c r="D928" s="546"/>
      <c r="E928" s="546"/>
      <c r="F928" s="29" t="s">
        <v>1</v>
      </c>
      <c r="G928" s="281">
        <v>0</v>
      </c>
      <c r="H928" s="282">
        <v>863</v>
      </c>
      <c r="I928" s="282">
        <v>0</v>
      </c>
      <c r="J928" s="282">
        <v>0</v>
      </c>
      <c r="K928" s="282">
        <v>322</v>
      </c>
      <c r="L928" s="282">
        <v>0</v>
      </c>
      <c r="M928" s="210">
        <v>1185</v>
      </c>
    </row>
    <row r="929" spans="1:13" x14ac:dyDescent="0.25">
      <c r="A929" s="567"/>
      <c r="B929" s="546"/>
      <c r="C929" s="546"/>
      <c r="D929" s="546"/>
      <c r="E929" s="546"/>
      <c r="F929" s="29" t="s">
        <v>0</v>
      </c>
      <c r="G929" s="281">
        <v>0</v>
      </c>
      <c r="H929" s="282">
        <v>0</v>
      </c>
      <c r="I929" s="282">
        <v>1670</v>
      </c>
      <c r="J929" s="282">
        <v>3834</v>
      </c>
      <c r="K929" s="282">
        <v>2115</v>
      </c>
      <c r="L929" s="282">
        <v>0</v>
      </c>
      <c r="M929" s="210">
        <v>7619</v>
      </c>
    </row>
    <row r="930" spans="1:13" x14ac:dyDescent="0.25">
      <c r="A930" s="567"/>
      <c r="B930" s="546"/>
      <c r="C930" s="546"/>
      <c r="D930" s="547"/>
      <c r="E930" s="549" t="s">
        <v>25</v>
      </c>
      <c r="F930" s="550"/>
      <c r="G930" s="283">
        <v>0</v>
      </c>
      <c r="H930" s="284">
        <v>863</v>
      </c>
      <c r="I930" s="284">
        <v>1670</v>
      </c>
      <c r="J930" s="284">
        <v>11790</v>
      </c>
      <c r="K930" s="284">
        <v>7900</v>
      </c>
      <c r="L930" s="284">
        <v>1786</v>
      </c>
      <c r="M930" s="211">
        <v>24009</v>
      </c>
    </row>
    <row r="931" spans="1:13" x14ac:dyDescent="0.25">
      <c r="A931" s="567"/>
      <c r="B931" s="546"/>
      <c r="C931" s="546"/>
      <c r="D931" s="545" t="s">
        <v>567</v>
      </c>
      <c r="E931" s="548" t="s">
        <v>159</v>
      </c>
      <c r="F931" s="30" t="s">
        <v>3</v>
      </c>
      <c r="G931" s="290">
        <v>0</v>
      </c>
      <c r="H931" s="286">
        <v>0</v>
      </c>
      <c r="I931" s="287">
        <v>0</v>
      </c>
      <c r="J931" s="286">
        <v>0</v>
      </c>
      <c r="K931" s="286">
        <v>0</v>
      </c>
      <c r="L931" s="286">
        <v>392</v>
      </c>
      <c r="M931" s="212">
        <v>392</v>
      </c>
    </row>
    <row r="932" spans="1:13" s="22" customFormat="1" x14ac:dyDescent="0.25">
      <c r="A932" s="567"/>
      <c r="B932" s="546"/>
      <c r="C932" s="546"/>
      <c r="D932" s="571"/>
      <c r="E932" s="571"/>
      <c r="F932" s="29" t="s">
        <v>2</v>
      </c>
      <c r="G932" s="291">
        <v>0</v>
      </c>
      <c r="H932" s="282">
        <v>0</v>
      </c>
      <c r="I932" s="288">
        <v>0</v>
      </c>
      <c r="J932" s="282">
        <v>0</v>
      </c>
      <c r="K932" s="282">
        <v>0</v>
      </c>
      <c r="L932" s="282">
        <v>0</v>
      </c>
      <c r="M932" s="210">
        <v>0</v>
      </c>
    </row>
    <row r="933" spans="1:13" x14ac:dyDescent="0.25">
      <c r="A933" s="567"/>
      <c r="B933" s="546"/>
      <c r="C933" s="546"/>
      <c r="D933" s="546"/>
      <c r="E933" s="546"/>
      <c r="F933" s="29" t="s">
        <v>1</v>
      </c>
      <c r="G933" s="291">
        <v>0</v>
      </c>
      <c r="H933" s="282">
        <v>4136</v>
      </c>
      <c r="I933" s="288">
        <v>0</v>
      </c>
      <c r="J933" s="282">
        <v>770</v>
      </c>
      <c r="K933" s="282">
        <v>0</v>
      </c>
      <c r="L933" s="282">
        <v>0</v>
      </c>
      <c r="M933" s="210">
        <v>4906</v>
      </c>
    </row>
    <row r="934" spans="1:13" x14ac:dyDescent="0.25">
      <c r="A934" s="567"/>
      <c r="B934" s="546"/>
      <c r="C934" s="546"/>
      <c r="D934" s="546"/>
      <c r="E934" s="546"/>
      <c r="F934" s="29" t="s">
        <v>0</v>
      </c>
      <c r="G934" s="291">
        <v>119</v>
      </c>
      <c r="H934" s="282">
        <v>130</v>
      </c>
      <c r="I934" s="288">
        <v>0</v>
      </c>
      <c r="J934" s="282">
        <v>0</v>
      </c>
      <c r="K934" s="282">
        <v>102</v>
      </c>
      <c r="L934" s="282">
        <v>0</v>
      </c>
      <c r="M934" s="210">
        <v>351</v>
      </c>
    </row>
    <row r="935" spans="1:13" x14ac:dyDescent="0.25">
      <c r="A935" s="567"/>
      <c r="B935" s="546"/>
      <c r="C935" s="546"/>
      <c r="D935" s="547"/>
      <c r="E935" s="549" t="s">
        <v>25</v>
      </c>
      <c r="F935" s="550"/>
      <c r="G935" s="292">
        <v>119</v>
      </c>
      <c r="H935" s="284">
        <v>4266</v>
      </c>
      <c r="I935" s="289">
        <v>0</v>
      </c>
      <c r="J935" s="284">
        <v>770</v>
      </c>
      <c r="K935" s="284">
        <v>102</v>
      </c>
      <c r="L935" s="284">
        <v>392</v>
      </c>
      <c r="M935" s="211">
        <v>5649</v>
      </c>
    </row>
    <row r="936" spans="1:13" x14ac:dyDescent="0.25">
      <c r="A936" s="567"/>
      <c r="B936" s="546"/>
      <c r="C936" s="546"/>
      <c r="D936" s="545" t="s">
        <v>568</v>
      </c>
      <c r="E936" s="548" t="s">
        <v>159</v>
      </c>
      <c r="F936" s="30" t="s">
        <v>3</v>
      </c>
      <c r="G936" s="290">
        <v>0</v>
      </c>
      <c r="H936" s="286">
        <v>3441</v>
      </c>
      <c r="I936" s="287">
        <v>0</v>
      </c>
      <c r="J936" s="286">
        <v>0</v>
      </c>
      <c r="K936" s="286">
        <v>817</v>
      </c>
      <c r="L936" s="286">
        <v>370</v>
      </c>
      <c r="M936" s="212">
        <v>4628</v>
      </c>
    </row>
    <row r="937" spans="1:13" x14ac:dyDescent="0.25">
      <c r="A937" s="567"/>
      <c r="B937" s="546"/>
      <c r="C937" s="546"/>
      <c r="D937" s="546"/>
      <c r="E937" s="546"/>
      <c r="F937" s="29" t="s">
        <v>2</v>
      </c>
      <c r="G937" s="291">
        <v>0</v>
      </c>
      <c r="H937" s="282">
        <v>0</v>
      </c>
      <c r="I937" s="288">
        <v>0</v>
      </c>
      <c r="J937" s="282">
        <v>10434</v>
      </c>
      <c r="K937" s="282">
        <v>85</v>
      </c>
      <c r="L937" s="282">
        <v>612</v>
      </c>
      <c r="M937" s="210">
        <v>11131</v>
      </c>
    </row>
    <row r="938" spans="1:13" x14ac:dyDescent="0.25">
      <c r="A938" s="567"/>
      <c r="B938" s="546"/>
      <c r="C938" s="546"/>
      <c r="D938" s="546"/>
      <c r="E938" s="546"/>
      <c r="F938" s="29" t="s">
        <v>1</v>
      </c>
      <c r="G938" s="291">
        <v>4430</v>
      </c>
      <c r="H938" s="282">
        <v>3597</v>
      </c>
      <c r="I938" s="288">
        <v>0</v>
      </c>
      <c r="J938" s="282">
        <v>0</v>
      </c>
      <c r="K938" s="282">
        <v>0</v>
      </c>
      <c r="L938" s="282">
        <v>0</v>
      </c>
      <c r="M938" s="210">
        <v>8027</v>
      </c>
    </row>
    <row r="939" spans="1:13" x14ac:dyDescent="0.25">
      <c r="A939" s="567"/>
      <c r="B939" s="546"/>
      <c r="C939" s="546"/>
      <c r="D939" s="546"/>
      <c r="E939" s="546"/>
      <c r="F939" s="29" t="s">
        <v>0</v>
      </c>
      <c r="G939" s="291">
        <v>13093</v>
      </c>
      <c r="H939" s="282">
        <v>34980</v>
      </c>
      <c r="I939" s="288">
        <v>0</v>
      </c>
      <c r="J939" s="282">
        <v>856</v>
      </c>
      <c r="K939" s="282">
        <v>0</v>
      </c>
      <c r="L939" s="282">
        <v>0</v>
      </c>
      <c r="M939" s="210">
        <v>48929</v>
      </c>
    </row>
    <row r="940" spans="1:13" x14ac:dyDescent="0.25">
      <c r="A940" s="567"/>
      <c r="B940" s="546"/>
      <c r="C940" s="546"/>
      <c r="D940" s="547"/>
      <c r="E940" s="549" t="s">
        <v>25</v>
      </c>
      <c r="F940" s="550"/>
      <c r="G940" s="292">
        <v>17523</v>
      </c>
      <c r="H940" s="284">
        <v>42018</v>
      </c>
      <c r="I940" s="289">
        <v>0</v>
      </c>
      <c r="J940" s="284">
        <v>11290</v>
      </c>
      <c r="K940" s="284">
        <v>902</v>
      </c>
      <c r="L940" s="284">
        <v>982</v>
      </c>
      <c r="M940" s="211">
        <v>72715</v>
      </c>
    </row>
    <row r="941" spans="1:13" x14ac:dyDescent="0.25">
      <c r="A941" s="567"/>
      <c r="B941" s="546"/>
      <c r="C941" s="546"/>
      <c r="D941" s="545" t="s">
        <v>569</v>
      </c>
      <c r="E941" s="548" t="s">
        <v>159</v>
      </c>
      <c r="F941" s="30" t="s">
        <v>3</v>
      </c>
      <c r="G941" s="285">
        <v>0</v>
      </c>
      <c r="H941" s="286">
        <v>4326</v>
      </c>
      <c r="I941" s="287">
        <v>0</v>
      </c>
      <c r="J941" s="286">
        <v>1784</v>
      </c>
      <c r="K941" s="286">
        <v>279</v>
      </c>
      <c r="L941" s="286">
        <v>158</v>
      </c>
      <c r="M941" s="212">
        <v>6547</v>
      </c>
    </row>
    <row r="942" spans="1:13" x14ac:dyDescent="0.25">
      <c r="A942" s="567"/>
      <c r="B942" s="546"/>
      <c r="C942" s="546"/>
      <c r="D942" s="546"/>
      <c r="E942" s="546"/>
      <c r="F942" s="29" t="s">
        <v>2</v>
      </c>
      <c r="G942" s="281">
        <v>0</v>
      </c>
      <c r="H942" s="282">
        <v>0</v>
      </c>
      <c r="I942" s="288">
        <v>0</v>
      </c>
      <c r="J942" s="282">
        <v>310</v>
      </c>
      <c r="K942" s="282">
        <v>3664</v>
      </c>
      <c r="L942" s="282">
        <v>2584</v>
      </c>
      <c r="M942" s="210">
        <v>6558</v>
      </c>
    </row>
    <row r="943" spans="1:13" s="22" customFormat="1" x14ac:dyDescent="0.25">
      <c r="A943" s="567"/>
      <c r="B943" s="546"/>
      <c r="C943" s="546"/>
      <c r="D943" s="546"/>
      <c r="E943" s="546"/>
      <c r="F943" s="29" t="s">
        <v>1</v>
      </c>
      <c r="G943" s="281">
        <v>0</v>
      </c>
      <c r="H943" s="282">
        <v>0</v>
      </c>
      <c r="I943" s="288">
        <v>0</v>
      </c>
      <c r="J943" s="282">
        <v>0</v>
      </c>
      <c r="K943" s="282">
        <v>0</v>
      </c>
      <c r="L943" s="282">
        <v>0</v>
      </c>
      <c r="M943" s="210">
        <v>0</v>
      </c>
    </row>
    <row r="944" spans="1:13" x14ac:dyDescent="0.25">
      <c r="A944" s="567"/>
      <c r="B944" s="546"/>
      <c r="C944" s="546"/>
      <c r="D944" s="546"/>
      <c r="E944" s="546"/>
      <c r="F944" s="29" t="s">
        <v>0</v>
      </c>
      <c r="G944" s="281">
        <v>0</v>
      </c>
      <c r="H944" s="282">
        <v>0</v>
      </c>
      <c r="I944" s="288">
        <v>0</v>
      </c>
      <c r="J944" s="282">
        <v>55</v>
      </c>
      <c r="K944" s="282">
        <v>0</v>
      </c>
      <c r="L944" s="282">
        <v>0</v>
      </c>
      <c r="M944" s="210">
        <v>55</v>
      </c>
    </row>
    <row r="945" spans="1:13" x14ac:dyDescent="0.25">
      <c r="A945" s="567"/>
      <c r="B945" s="546"/>
      <c r="C945" s="546"/>
      <c r="D945" s="547"/>
      <c r="E945" s="549" t="s">
        <v>25</v>
      </c>
      <c r="F945" s="550"/>
      <c r="G945" s="283">
        <v>0</v>
      </c>
      <c r="H945" s="284">
        <v>4326</v>
      </c>
      <c r="I945" s="289">
        <v>0</v>
      </c>
      <c r="J945" s="284">
        <v>2149</v>
      </c>
      <c r="K945" s="284">
        <v>3943</v>
      </c>
      <c r="L945" s="284">
        <v>2742</v>
      </c>
      <c r="M945" s="211">
        <v>13160</v>
      </c>
    </row>
    <row r="946" spans="1:13" x14ac:dyDescent="0.25">
      <c r="A946" s="567"/>
      <c r="B946" s="546"/>
      <c r="C946" s="546"/>
      <c r="D946" s="545" t="s">
        <v>570</v>
      </c>
      <c r="E946" s="548" t="s">
        <v>159</v>
      </c>
      <c r="F946" s="30" t="s">
        <v>3</v>
      </c>
      <c r="G946" s="290">
        <v>0</v>
      </c>
      <c r="H946" s="286">
        <v>75</v>
      </c>
      <c r="I946" s="286">
        <v>49</v>
      </c>
      <c r="J946" s="286">
        <v>911</v>
      </c>
      <c r="K946" s="286">
        <v>0</v>
      </c>
      <c r="L946" s="287">
        <v>0</v>
      </c>
      <c r="M946" s="212">
        <v>1035</v>
      </c>
    </row>
    <row r="947" spans="1:13" x14ac:dyDescent="0.25">
      <c r="A947" s="567"/>
      <c r="B947" s="546"/>
      <c r="C947" s="546"/>
      <c r="D947" s="546"/>
      <c r="E947" s="546"/>
      <c r="F947" s="29" t="s">
        <v>2</v>
      </c>
      <c r="G947" s="291">
        <v>0</v>
      </c>
      <c r="H947" s="282">
        <v>0</v>
      </c>
      <c r="I947" s="282">
        <v>1330</v>
      </c>
      <c r="J947" s="282">
        <v>45</v>
      </c>
      <c r="K947" s="282">
        <v>0</v>
      </c>
      <c r="L947" s="288">
        <v>0</v>
      </c>
      <c r="M947" s="210">
        <v>1375</v>
      </c>
    </row>
    <row r="948" spans="1:13" x14ac:dyDescent="0.25">
      <c r="A948" s="567"/>
      <c r="B948" s="546"/>
      <c r="C948" s="546"/>
      <c r="D948" s="546"/>
      <c r="E948" s="546"/>
      <c r="F948" s="29" t="s">
        <v>1</v>
      </c>
      <c r="G948" s="291">
        <v>3557</v>
      </c>
      <c r="H948" s="282">
        <v>0</v>
      </c>
      <c r="I948" s="282">
        <v>259</v>
      </c>
      <c r="J948" s="282">
        <v>2110</v>
      </c>
      <c r="K948" s="282">
        <v>0</v>
      </c>
      <c r="L948" s="288">
        <v>0</v>
      </c>
      <c r="M948" s="210">
        <v>5926</v>
      </c>
    </row>
    <row r="949" spans="1:13" x14ac:dyDescent="0.25">
      <c r="A949" s="567"/>
      <c r="B949" s="546"/>
      <c r="C949" s="546"/>
      <c r="D949" s="546"/>
      <c r="E949" s="546"/>
      <c r="F949" s="29" t="s">
        <v>0</v>
      </c>
      <c r="G949" s="291">
        <v>31</v>
      </c>
      <c r="H949" s="282">
        <v>0</v>
      </c>
      <c r="I949" s="282">
        <v>2208</v>
      </c>
      <c r="J949" s="282">
        <v>0</v>
      </c>
      <c r="K949" s="282">
        <v>1086</v>
      </c>
      <c r="L949" s="288">
        <v>0</v>
      </c>
      <c r="M949" s="210">
        <v>3325</v>
      </c>
    </row>
    <row r="950" spans="1:13" x14ac:dyDescent="0.25">
      <c r="A950" s="567"/>
      <c r="B950" s="546"/>
      <c r="C950" s="546"/>
      <c r="D950" s="547"/>
      <c r="E950" s="549" t="s">
        <v>25</v>
      </c>
      <c r="F950" s="550"/>
      <c r="G950" s="292">
        <v>3588</v>
      </c>
      <c r="H950" s="284">
        <v>75</v>
      </c>
      <c r="I950" s="284">
        <v>3846</v>
      </c>
      <c r="J950" s="284">
        <v>3066</v>
      </c>
      <c r="K950" s="284">
        <v>1086</v>
      </c>
      <c r="L950" s="289">
        <v>0</v>
      </c>
      <c r="M950" s="211">
        <v>11661</v>
      </c>
    </row>
    <row r="951" spans="1:13" x14ac:dyDescent="0.25">
      <c r="A951" s="567"/>
      <c r="B951" s="546"/>
      <c r="C951" s="546"/>
      <c r="D951" s="545" t="s">
        <v>571</v>
      </c>
      <c r="E951" s="548" t="s">
        <v>159</v>
      </c>
      <c r="F951" s="30" t="s">
        <v>3</v>
      </c>
      <c r="G951" s="290">
        <v>0</v>
      </c>
      <c r="H951" s="286">
        <v>270368</v>
      </c>
      <c r="I951" s="286">
        <v>252468</v>
      </c>
      <c r="J951" s="286">
        <v>541702</v>
      </c>
      <c r="K951" s="286">
        <v>1062305</v>
      </c>
      <c r="L951" s="286">
        <v>1378830</v>
      </c>
      <c r="M951" s="212">
        <v>3505673</v>
      </c>
    </row>
    <row r="952" spans="1:13" x14ac:dyDescent="0.25">
      <c r="A952" s="567"/>
      <c r="B952" s="546"/>
      <c r="C952" s="546"/>
      <c r="D952" s="546"/>
      <c r="E952" s="546"/>
      <c r="F952" s="29" t="s">
        <v>2</v>
      </c>
      <c r="G952" s="291">
        <v>0</v>
      </c>
      <c r="H952" s="282">
        <v>302988</v>
      </c>
      <c r="I952" s="282">
        <v>360402</v>
      </c>
      <c r="J952" s="282">
        <v>736848</v>
      </c>
      <c r="K952" s="282">
        <v>1571515</v>
      </c>
      <c r="L952" s="282">
        <v>1083564</v>
      </c>
      <c r="M952" s="210">
        <v>4055317</v>
      </c>
    </row>
    <row r="953" spans="1:13" x14ac:dyDescent="0.25">
      <c r="A953" s="567"/>
      <c r="B953" s="546"/>
      <c r="C953" s="546"/>
      <c r="D953" s="546"/>
      <c r="E953" s="546"/>
      <c r="F953" s="29" t="s">
        <v>1</v>
      </c>
      <c r="G953" s="291">
        <v>899040</v>
      </c>
      <c r="H953" s="282">
        <v>499469</v>
      </c>
      <c r="I953" s="282">
        <v>181473</v>
      </c>
      <c r="J953" s="282">
        <v>206731</v>
      </c>
      <c r="K953" s="282">
        <v>151396</v>
      </c>
      <c r="L953" s="282">
        <v>28770</v>
      </c>
      <c r="M953" s="210">
        <v>1966879</v>
      </c>
    </row>
    <row r="954" spans="1:13" x14ac:dyDescent="0.25">
      <c r="A954" s="567"/>
      <c r="B954" s="546"/>
      <c r="C954" s="546"/>
      <c r="D954" s="546"/>
      <c r="E954" s="546"/>
      <c r="F954" s="29" t="s">
        <v>0</v>
      </c>
      <c r="G954" s="291">
        <v>1311025</v>
      </c>
      <c r="H954" s="282">
        <v>785953</v>
      </c>
      <c r="I954" s="282">
        <v>530129</v>
      </c>
      <c r="J954" s="282">
        <v>213169</v>
      </c>
      <c r="K954" s="282">
        <v>146458</v>
      </c>
      <c r="L954" s="282">
        <v>27221</v>
      </c>
      <c r="M954" s="210">
        <v>3013955</v>
      </c>
    </row>
    <row r="955" spans="1:13" x14ac:dyDescent="0.25">
      <c r="A955" s="567"/>
      <c r="B955" s="546"/>
      <c r="C955" s="546"/>
      <c r="D955" s="547"/>
      <c r="E955" s="549" t="s">
        <v>25</v>
      </c>
      <c r="F955" s="550"/>
      <c r="G955" s="292">
        <v>2210065</v>
      </c>
      <c r="H955" s="284">
        <v>1858778</v>
      </c>
      <c r="I955" s="284">
        <v>1324472</v>
      </c>
      <c r="J955" s="284">
        <v>1698450</v>
      </c>
      <c r="K955" s="284">
        <v>2931674</v>
      </c>
      <c r="L955" s="284">
        <v>2518385</v>
      </c>
      <c r="M955" s="211">
        <v>12541824</v>
      </c>
    </row>
    <row r="956" spans="1:13" x14ac:dyDescent="0.25">
      <c r="A956" s="567"/>
      <c r="B956" s="546"/>
      <c r="C956" s="546"/>
      <c r="D956" s="545" t="s">
        <v>572</v>
      </c>
      <c r="E956" s="548" t="s">
        <v>159</v>
      </c>
      <c r="F956" s="30" t="s">
        <v>3</v>
      </c>
      <c r="G956" s="285">
        <v>0</v>
      </c>
      <c r="H956" s="286">
        <v>496</v>
      </c>
      <c r="I956" s="286">
        <v>2213</v>
      </c>
      <c r="J956" s="286">
        <v>3200</v>
      </c>
      <c r="K956" s="286">
        <v>13881</v>
      </c>
      <c r="L956" s="286">
        <v>23244</v>
      </c>
      <c r="M956" s="212">
        <v>43034</v>
      </c>
    </row>
    <row r="957" spans="1:13" x14ac:dyDescent="0.25">
      <c r="A957" s="567"/>
      <c r="B957" s="546"/>
      <c r="C957" s="546"/>
      <c r="D957" s="546"/>
      <c r="E957" s="546"/>
      <c r="F957" s="29" t="s">
        <v>2</v>
      </c>
      <c r="G957" s="281">
        <v>0</v>
      </c>
      <c r="H957" s="282">
        <v>215</v>
      </c>
      <c r="I957" s="282">
        <v>392</v>
      </c>
      <c r="J957" s="282">
        <v>5028</v>
      </c>
      <c r="K957" s="282">
        <v>34251</v>
      </c>
      <c r="L957" s="282">
        <v>24759</v>
      </c>
      <c r="M957" s="210">
        <v>64645</v>
      </c>
    </row>
    <row r="958" spans="1:13" x14ac:dyDescent="0.25">
      <c r="A958" s="567"/>
      <c r="B958" s="546"/>
      <c r="C958" s="546"/>
      <c r="D958" s="546"/>
      <c r="E958" s="546"/>
      <c r="F958" s="29" t="s">
        <v>1</v>
      </c>
      <c r="G958" s="281">
        <v>0</v>
      </c>
      <c r="H958" s="282">
        <v>190</v>
      </c>
      <c r="I958" s="282">
        <v>248</v>
      </c>
      <c r="J958" s="282">
        <v>23766</v>
      </c>
      <c r="K958" s="282">
        <v>550</v>
      </c>
      <c r="L958" s="282">
        <v>0</v>
      </c>
      <c r="M958" s="210">
        <v>24754</v>
      </c>
    </row>
    <row r="959" spans="1:13" x14ac:dyDescent="0.25">
      <c r="A959" s="567"/>
      <c r="B959" s="546"/>
      <c r="C959" s="546"/>
      <c r="D959" s="546"/>
      <c r="E959" s="546"/>
      <c r="F959" s="29" t="s">
        <v>0</v>
      </c>
      <c r="G959" s="281">
        <v>0</v>
      </c>
      <c r="H959" s="282">
        <v>8378</v>
      </c>
      <c r="I959" s="282">
        <v>23335</v>
      </c>
      <c r="J959" s="282">
        <v>16149</v>
      </c>
      <c r="K959" s="282">
        <v>2483</v>
      </c>
      <c r="L959" s="282">
        <v>186</v>
      </c>
      <c r="M959" s="210">
        <v>50531</v>
      </c>
    </row>
    <row r="960" spans="1:13" x14ac:dyDescent="0.25">
      <c r="A960" s="567"/>
      <c r="B960" s="546"/>
      <c r="C960" s="546"/>
      <c r="D960" s="547"/>
      <c r="E960" s="549" t="s">
        <v>25</v>
      </c>
      <c r="F960" s="550"/>
      <c r="G960" s="283">
        <v>0</v>
      </c>
      <c r="H960" s="284">
        <v>9279</v>
      </c>
      <c r="I960" s="284">
        <v>26188</v>
      </c>
      <c r="J960" s="284">
        <v>48143</v>
      </c>
      <c r="K960" s="284">
        <v>51165</v>
      </c>
      <c r="L960" s="284">
        <v>48189</v>
      </c>
      <c r="M960" s="211">
        <v>182964</v>
      </c>
    </row>
    <row r="961" spans="1:13" x14ac:dyDescent="0.25">
      <c r="A961" s="567"/>
      <c r="B961" s="546"/>
      <c r="C961" s="546"/>
      <c r="D961" s="545" t="s">
        <v>573</v>
      </c>
      <c r="E961" s="548" t="s">
        <v>159</v>
      </c>
      <c r="F961" s="30" t="s">
        <v>3</v>
      </c>
      <c r="G961" s="290">
        <v>0</v>
      </c>
      <c r="H961" s="286">
        <v>127</v>
      </c>
      <c r="I961" s="286">
        <v>0</v>
      </c>
      <c r="J961" s="286">
        <v>161</v>
      </c>
      <c r="K961" s="286">
        <v>259</v>
      </c>
      <c r="L961" s="286">
        <v>70</v>
      </c>
      <c r="M961" s="212">
        <v>617</v>
      </c>
    </row>
    <row r="962" spans="1:13" x14ac:dyDescent="0.25">
      <c r="A962" s="567"/>
      <c r="B962" s="546"/>
      <c r="C962" s="546"/>
      <c r="D962" s="546"/>
      <c r="E962" s="546"/>
      <c r="F962" s="29" t="s">
        <v>2</v>
      </c>
      <c r="G962" s="291">
        <v>0</v>
      </c>
      <c r="H962" s="282">
        <v>538</v>
      </c>
      <c r="I962" s="282">
        <v>410</v>
      </c>
      <c r="J962" s="282">
        <v>731</v>
      </c>
      <c r="K962" s="282">
        <v>2407</v>
      </c>
      <c r="L962" s="282">
        <v>1398</v>
      </c>
      <c r="M962" s="210">
        <v>5484</v>
      </c>
    </row>
    <row r="963" spans="1:13" x14ac:dyDescent="0.25">
      <c r="A963" s="567"/>
      <c r="B963" s="546"/>
      <c r="C963" s="546"/>
      <c r="D963" s="546"/>
      <c r="E963" s="546"/>
      <c r="F963" s="29" t="s">
        <v>1</v>
      </c>
      <c r="G963" s="291">
        <v>0</v>
      </c>
      <c r="H963" s="282">
        <v>4353</v>
      </c>
      <c r="I963" s="282">
        <v>0</v>
      </c>
      <c r="J963" s="282">
        <v>3476</v>
      </c>
      <c r="K963" s="282">
        <v>0</v>
      </c>
      <c r="L963" s="282">
        <v>0</v>
      </c>
      <c r="M963" s="210">
        <v>7829</v>
      </c>
    </row>
    <row r="964" spans="1:13" x14ac:dyDescent="0.25">
      <c r="A964" s="567"/>
      <c r="B964" s="546"/>
      <c r="C964" s="546"/>
      <c r="D964" s="546"/>
      <c r="E964" s="546"/>
      <c r="F964" s="29" t="s">
        <v>0</v>
      </c>
      <c r="G964" s="291">
        <v>2263</v>
      </c>
      <c r="H964" s="282">
        <v>8491</v>
      </c>
      <c r="I964" s="282">
        <v>24575</v>
      </c>
      <c r="J964" s="282">
        <v>898</v>
      </c>
      <c r="K964" s="282">
        <v>321</v>
      </c>
      <c r="L964" s="282">
        <v>0</v>
      </c>
      <c r="M964" s="210">
        <v>36548</v>
      </c>
    </row>
    <row r="965" spans="1:13" x14ac:dyDescent="0.25">
      <c r="A965" s="567"/>
      <c r="B965" s="546"/>
      <c r="C965" s="547"/>
      <c r="D965" s="547"/>
      <c r="E965" s="549" t="s">
        <v>25</v>
      </c>
      <c r="F965" s="550"/>
      <c r="G965" s="292">
        <v>2263</v>
      </c>
      <c r="H965" s="284">
        <v>13509</v>
      </c>
      <c r="I965" s="284">
        <v>24985</v>
      </c>
      <c r="J965" s="284">
        <v>5266</v>
      </c>
      <c r="K965" s="284">
        <v>2987</v>
      </c>
      <c r="L965" s="284">
        <v>1468</v>
      </c>
      <c r="M965" s="211">
        <v>50478</v>
      </c>
    </row>
    <row r="966" spans="1:13" x14ac:dyDescent="0.25">
      <c r="A966" s="567"/>
      <c r="B966" s="546"/>
      <c r="C966" s="545" t="s">
        <v>6</v>
      </c>
      <c r="D966" s="545" t="s">
        <v>562</v>
      </c>
      <c r="E966" s="548" t="s">
        <v>159</v>
      </c>
      <c r="F966" s="30" t="s">
        <v>3</v>
      </c>
      <c r="G966" s="290">
        <v>0</v>
      </c>
      <c r="H966" s="286">
        <v>20981</v>
      </c>
      <c r="I966" s="286">
        <v>5594</v>
      </c>
      <c r="J966" s="286">
        <v>5356</v>
      </c>
      <c r="K966" s="286">
        <v>36834</v>
      </c>
      <c r="L966" s="286">
        <v>19605</v>
      </c>
      <c r="M966" s="212">
        <v>88370</v>
      </c>
    </row>
    <row r="967" spans="1:13" x14ac:dyDescent="0.25">
      <c r="A967" s="567"/>
      <c r="B967" s="546"/>
      <c r="C967" s="546"/>
      <c r="D967" s="546"/>
      <c r="E967" s="546"/>
      <c r="F967" s="29" t="s">
        <v>2</v>
      </c>
      <c r="G967" s="291">
        <v>0</v>
      </c>
      <c r="H967" s="282">
        <v>15149</v>
      </c>
      <c r="I967" s="282">
        <v>7237</v>
      </c>
      <c r="J967" s="282">
        <v>24300</v>
      </c>
      <c r="K967" s="282">
        <v>91739</v>
      </c>
      <c r="L967" s="282">
        <v>36517</v>
      </c>
      <c r="M967" s="210">
        <v>174942</v>
      </c>
    </row>
    <row r="968" spans="1:13" x14ac:dyDescent="0.25">
      <c r="A968" s="567"/>
      <c r="B968" s="546"/>
      <c r="C968" s="546"/>
      <c r="D968" s="546"/>
      <c r="E968" s="546"/>
      <c r="F968" s="29" t="s">
        <v>1</v>
      </c>
      <c r="G968" s="291">
        <v>173143</v>
      </c>
      <c r="H968" s="282">
        <v>45001</v>
      </c>
      <c r="I968" s="282">
        <v>39632</v>
      </c>
      <c r="J968" s="282">
        <v>9626</v>
      </c>
      <c r="K968" s="282">
        <v>5080</v>
      </c>
      <c r="L968" s="282">
        <v>2036</v>
      </c>
      <c r="M968" s="210">
        <v>274518</v>
      </c>
    </row>
    <row r="969" spans="1:13" x14ac:dyDescent="0.25">
      <c r="A969" s="567"/>
      <c r="B969" s="546"/>
      <c r="C969" s="546"/>
      <c r="D969" s="546"/>
      <c r="E969" s="546"/>
      <c r="F969" s="29" t="s">
        <v>0</v>
      </c>
      <c r="G969" s="291">
        <v>435990</v>
      </c>
      <c r="H969" s="282">
        <v>122916</v>
      </c>
      <c r="I969" s="282">
        <v>70314</v>
      </c>
      <c r="J969" s="282">
        <v>17701</v>
      </c>
      <c r="K969" s="282">
        <v>8984</v>
      </c>
      <c r="L969" s="282">
        <v>441</v>
      </c>
      <c r="M969" s="210">
        <v>656346</v>
      </c>
    </row>
    <row r="970" spans="1:13" x14ac:dyDescent="0.25">
      <c r="A970" s="567"/>
      <c r="B970" s="546"/>
      <c r="C970" s="546"/>
      <c r="D970" s="547"/>
      <c r="E970" s="549" t="s">
        <v>25</v>
      </c>
      <c r="F970" s="550"/>
      <c r="G970" s="292">
        <v>609133</v>
      </c>
      <c r="H970" s="284">
        <v>204047</v>
      </c>
      <c r="I970" s="284">
        <v>122777</v>
      </c>
      <c r="J970" s="284">
        <v>56983</v>
      </c>
      <c r="K970" s="284">
        <v>142637</v>
      </c>
      <c r="L970" s="284">
        <v>58599</v>
      </c>
      <c r="M970" s="211">
        <v>1194176</v>
      </c>
    </row>
    <row r="971" spans="1:13" x14ac:dyDescent="0.25">
      <c r="A971" s="567"/>
      <c r="B971" s="546"/>
      <c r="C971" s="546"/>
      <c r="D971" s="545" t="s">
        <v>563</v>
      </c>
      <c r="E971" s="548" t="s">
        <v>159</v>
      </c>
      <c r="F971" s="30" t="s">
        <v>3</v>
      </c>
      <c r="G971" s="285">
        <v>0</v>
      </c>
      <c r="H971" s="286">
        <v>1611</v>
      </c>
      <c r="I971" s="286">
        <v>1371</v>
      </c>
      <c r="J971" s="286">
        <v>2715</v>
      </c>
      <c r="K971" s="286">
        <v>11620</v>
      </c>
      <c r="L971" s="286">
        <v>2594</v>
      </c>
      <c r="M971" s="212">
        <v>19911</v>
      </c>
    </row>
    <row r="972" spans="1:13" x14ac:dyDescent="0.25">
      <c r="A972" s="567"/>
      <c r="B972" s="546"/>
      <c r="C972" s="546"/>
      <c r="D972" s="546"/>
      <c r="E972" s="546"/>
      <c r="F972" s="29" t="s">
        <v>2</v>
      </c>
      <c r="G972" s="281">
        <v>0</v>
      </c>
      <c r="H972" s="282">
        <v>0</v>
      </c>
      <c r="I972" s="282">
        <v>1074</v>
      </c>
      <c r="J972" s="282">
        <v>5105</v>
      </c>
      <c r="K972" s="282">
        <v>16688</v>
      </c>
      <c r="L972" s="282">
        <v>5810</v>
      </c>
      <c r="M972" s="210">
        <v>28677</v>
      </c>
    </row>
    <row r="973" spans="1:13" x14ac:dyDescent="0.25">
      <c r="A973" s="567"/>
      <c r="B973" s="546"/>
      <c r="C973" s="546"/>
      <c r="D973" s="546"/>
      <c r="E973" s="546"/>
      <c r="F973" s="29" t="s">
        <v>1</v>
      </c>
      <c r="G973" s="281">
        <v>0</v>
      </c>
      <c r="H973" s="282">
        <v>0</v>
      </c>
      <c r="I973" s="282">
        <v>24194</v>
      </c>
      <c r="J973" s="282">
        <v>19374</v>
      </c>
      <c r="K973" s="282">
        <v>128</v>
      </c>
      <c r="L973" s="282">
        <v>0</v>
      </c>
      <c r="M973" s="210">
        <v>43696</v>
      </c>
    </row>
    <row r="974" spans="1:13" x14ac:dyDescent="0.25">
      <c r="A974" s="567"/>
      <c r="B974" s="546"/>
      <c r="C974" s="546"/>
      <c r="D974" s="546"/>
      <c r="E974" s="546"/>
      <c r="F974" s="29" t="s">
        <v>0</v>
      </c>
      <c r="G974" s="281">
        <v>0</v>
      </c>
      <c r="H974" s="282">
        <v>483</v>
      </c>
      <c r="I974" s="282">
        <v>8618</v>
      </c>
      <c r="J974" s="282">
        <v>3955</v>
      </c>
      <c r="K974" s="282">
        <v>2943</v>
      </c>
      <c r="L974" s="282">
        <v>1220</v>
      </c>
      <c r="M974" s="210">
        <v>17219</v>
      </c>
    </row>
    <row r="975" spans="1:13" x14ac:dyDescent="0.25">
      <c r="A975" s="567"/>
      <c r="B975" s="546"/>
      <c r="C975" s="546"/>
      <c r="D975" s="547"/>
      <c r="E975" s="549" t="s">
        <v>25</v>
      </c>
      <c r="F975" s="550"/>
      <c r="G975" s="283">
        <v>0</v>
      </c>
      <c r="H975" s="284">
        <v>2094</v>
      </c>
      <c r="I975" s="284">
        <v>35257</v>
      </c>
      <c r="J975" s="284">
        <v>31149</v>
      </c>
      <c r="K975" s="284">
        <v>31379</v>
      </c>
      <c r="L975" s="284">
        <v>9624</v>
      </c>
      <c r="M975" s="211">
        <v>109503</v>
      </c>
    </row>
    <row r="976" spans="1:13" x14ac:dyDescent="0.25">
      <c r="A976" s="567"/>
      <c r="B976" s="546"/>
      <c r="C976" s="546"/>
      <c r="D976" s="545" t="s">
        <v>564</v>
      </c>
      <c r="E976" s="548" t="s">
        <v>159</v>
      </c>
      <c r="F976" s="30" t="s">
        <v>3</v>
      </c>
      <c r="G976" s="290">
        <v>0</v>
      </c>
      <c r="H976" s="286">
        <v>9275</v>
      </c>
      <c r="I976" s="286">
        <v>1419</v>
      </c>
      <c r="J976" s="286">
        <v>1526</v>
      </c>
      <c r="K976" s="286">
        <v>322</v>
      </c>
      <c r="L976" s="287">
        <v>0</v>
      </c>
      <c r="M976" s="212">
        <v>12542</v>
      </c>
    </row>
    <row r="977" spans="1:13" x14ac:dyDescent="0.25">
      <c r="A977" s="567"/>
      <c r="B977" s="546"/>
      <c r="C977" s="546"/>
      <c r="D977" s="546"/>
      <c r="E977" s="546"/>
      <c r="F977" s="29" t="s">
        <v>2</v>
      </c>
      <c r="G977" s="291">
        <v>0</v>
      </c>
      <c r="H977" s="282">
        <v>2120</v>
      </c>
      <c r="I977" s="282">
        <v>1841</v>
      </c>
      <c r="J977" s="282">
        <v>1384</v>
      </c>
      <c r="K977" s="282">
        <v>1020</v>
      </c>
      <c r="L977" s="288">
        <v>0</v>
      </c>
      <c r="M977" s="210">
        <v>6365</v>
      </c>
    </row>
    <row r="978" spans="1:13" x14ac:dyDescent="0.25">
      <c r="A978" s="567"/>
      <c r="B978" s="546"/>
      <c r="C978" s="546"/>
      <c r="D978" s="546"/>
      <c r="E978" s="546"/>
      <c r="F978" s="29" t="s">
        <v>1</v>
      </c>
      <c r="G978" s="291">
        <v>14400</v>
      </c>
      <c r="H978" s="282">
        <v>3040</v>
      </c>
      <c r="I978" s="282">
        <v>5571</v>
      </c>
      <c r="J978" s="282">
        <v>1258</v>
      </c>
      <c r="K978" s="282">
        <v>0</v>
      </c>
      <c r="L978" s="288">
        <v>0</v>
      </c>
      <c r="M978" s="210">
        <v>24269</v>
      </c>
    </row>
    <row r="979" spans="1:13" x14ac:dyDescent="0.25">
      <c r="A979" s="567"/>
      <c r="B979" s="546"/>
      <c r="C979" s="546"/>
      <c r="D979" s="546"/>
      <c r="E979" s="546"/>
      <c r="F979" s="29" t="s">
        <v>0</v>
      </c>
      <c r="G979" s="291">
        <v>33953</v>
      </c>
      <c r="H979" s="282">
        <v>13567</v>
      </c>
      <c r="I979" s="282">
        <v>27331</v>
      </c>
      <c r="J979" s="282">
        <v>2120</v>
      </c>
      <c r="K979" s="282">
        <v>396</v>
      </c>
      <c r="L979" s="288">
        <v>0</v>
      </c>
      <c r="M979" s="210">
        <v>77367</v>
      </c>
    </row>
    <row r="980" spans="1:13" x14ac:dyDescent="0.25">
      <c r="A980" s="567"/>
      <c r="B980" s="546"/>
      <c r="C980" s="546"/>
      <c r="D980" s="547"/>
      <c r="E980" s="549" t="s">
        <v>25</v>
      </c>
      <c r="F980" s="550"/>
      <c r="G980" s="292">
        <v>48353</v>
      </c>
      <c r="H980" s="284">
        <v>28002</v>
      </c>
      <c r="I980" s="284">
        <v>36162</v>
      </c>
      <c r="J980" s="284">
        <v>6288</v>
      </c>
      <c r="K980" s="284">
        <v>1738</v>
      </c>
      <c r="L980" s="289">
        <v>0</v>
      </c>
      <c r="M980" s="211">
        <v>120543</v>
      </c>
    </row>
    <row r="981" spans="1:13" x14ac:dyDescent="0.25">
      <c r="A981" s="567"/>
      <c r="B981" s="546"/>
      <c r="C981" s="546"/>
      <c r="D981" s="545" t="s">
        <v>565</v>
      </c>
      <c r="E981" s="548" t="s">
        <v>159</v>
      </c>
      <c r="F981" s="30" t="s">
        <v>3</v>
      </c>
      <c r="G981" s="290">
        <v>0</v>
      </c>
      <c r="H981" s="286">
        <v>40746</v>
      </c>
      <c r="I981" s="286">
        <v>19087</v>
      </c>
      <c r="J981" s="286">
        <v>35331</v>
      </c>
      <c r="K981" s="286">
        <v>44666</v>
      </c>
      <c r="L981" s="286">
        <v>48537</v>
      </c>
      <c r="M981" s="212">
        <v>188367</v>
      </c>
    </row>
    <row r="982" spans="1:13" x14ac:dyDescent="0.25">
      <c r="A982" s="567"/>
      <c r="B982" s="546"/>
      <c r="C982" s="546"/>
      <c r="D982" s="546"/>
      <c r="E982" s="546"/>
      <c r="F982" s="29" t="s">
        <v>2</v>
      </c>
      <c r="G982" s="291">
        <v>0</v>
      </c>
      <c r="H982" s="282">
        <v>33458</v>
      </c>
      <c r="I982" s="282">
        <v>6183</v>
      </c>
      <c r="J982" s="282">
        <v>39342</v>
      </c>
      <c r="K982" s="282">
        <v>74516</v>
      </c>
      <c r="L982" s="282">
        <v>41019</v>
      </c>
      <c r="M982" s="210">
        <v>194518</v>
      </c>
    </row>
    <row r="983" spans="1:13" x14ac:dyDescent="0.25">
      <c r="A983" s="567"/>
      <c r="B983" s="546"/>
      <c r="C983" s="546"/>
      <c r="D983" s="546"/>
      <c r="E983" s="546"/>
      <c r="F983" s="29" t="s">
        <v>1</v>
      </c>
      <c r="G983" s="291">
        <v>178626</v>
      </c>
      <c r="H983" s="282">
        <v>40965</v>
      </c>
      <c r="I983" s="282">
        <v>13300</v>
      </c>
      <c r="J983" s="282">
        <v>11350</v>
      </c>
      <c r="K983" s="282">
        <v>15513</v>
      </c>
      <c r="L983" s="282">
        <v>6258</v>
      </c>
      <c r="M983" s="210">
        <v>266012</v>
      </c>
    </row>
    <row r="984" spans="1:13" x14ac:dyDescent="0.25">
      <c r="A984" s="567"/>
      <c r="B984" s="546"/>
      <c r="C984" s="546"/>
      <c r="D984" s="546"/>
      <c r="E984" s="546"/>
      <c r="F984" s="29" t="s">
        <v>0</v>
      </c>
      <c r="G984" s="291">
        <v>351705</v>
      </c>
      <c r="H984" s="282">
        <v>60473</v>
      </c>
      <c r="I984" s="282">
        <v>73663</v>
      </c>
      <c r="J984" s="282">
        <v>13534</v>
      </c>
      <c r="K984" s="282">
        <v>13824</v>
      </c>
      <c r="L984" s="282">
        <v>2319</v>
      </c>
      <c r="M984" s="210">
        <v>515518</v>
      </c>
    </row>
    <row r="985" spans="1:13" x14ac:dyDescent="0.25">
      <c r="A985" s="567"/>
      <c r="B985" s="546"/>
      <c r="C985" s="546"/>
      <c r="D985" s="547"/>
      <c r="E985" s="549" t="s">
        <v>25</v>
      </c>
      <c r="F985" s="550"/>
      <c r="G985" s="292">
        <v>530331</v>
      </c>
      <c r="H985" s="284">
        <v>175642</v>
      </c>
      <c r="I985" s="284">
        <v>112233</v>
      </c>
      <c r="J985" s="284">
        <v>99557</v>
      </c>
      <c r="K985" s="284">
        <v>148519</v>
      </c>
      <c r="L985" s="284">
        <v>98133</v>
      </c>
      <c r="M985" s="211">
        <v>1164415</v>
      </c>
    </row>
    <row r="986" spans="1:13" x14ac:dyDescent="0.25">
      <c r="A986" s="567"/>
      <c r="B986" s="546"/>
      <c r="C986" s="546"/>
      <c r="D986" s="545" t="s">
        <v>566</v>
      </c>
      <c r="E986" s="548" t="s">
        <v>159</v>
      </c>
      <c r="F986" s="30" t="s">
        <v>3</v>
      </c>
      <c r="G986" s="285">
        <v>0</v>
      </c>
      <c r="H986" s="286">
        <v>818</v>
      </c>
      <c r="I986" s="286">
        <v>0</v>
      </c>
      <c r="J986" s="286">
        <v>0</v>
      </c>
      <c r="K986" s="286">
        <v>0</v>
      </c>
      <c r="L986" s="286">
        <v>745</v>
      </c>
      <c r="M986" s="212">
        <v>1563</v>
      </c>
    </row>
    <row r="987" spans="1:13" x14ac:dyDescent="0.25">
      <c r="A987" s="567"/>
      <c r="B987" s="546"/>
      <c r="C987" s="546"/>
      <c r="D987" s="546"/>
      <c r="E987" s="546"/>
      <c r="F987" s="29" t="s">
        <v>2</v>
      </c>
      <c r="G987" s="281">
        <v>0</v>
      </c>
      <c r="H987" s="282">
        <v>1381</v>
      </c>
      <c r="I987" s="282">
        <v>0</v>
      </c>
      <c r="J987" s="282">
        <v>0</v>
      </c>
      <c r="K987" s="282">
        <v>1198</v>
      </c>
      <c r="L987" s="282">
        <v>0</v>
      </c>
      <c r="M987" s="210">
        <v>2579</v>
      </c>
    </row>
    <row r="988" spans="1:13" x14ac:dyDescent="0.25">
      <c r="A988" s="567"/>
      <c r="B988" s="546"/>
      <c r="C988" s="546"/>
      <c r="D988" s="546"/>
      <c r="E988" s="546"/>
      <c r="F988" s="29" t="s">
        <v>1</v>
      </c>
      <c r="G988" s="281">
        <v>0</v>
      </c>
      <c r="H988" s="282">
        <v>0</v>
      </c>
      <c r="I988" s="282">
        <v>1681</v>
      </c>
      <c r="J988" s="282">
        <v>1065</v>
      </c>
      <c r="K988" s="282">
        <v>904</v>
      </c>
      <c r="L988" s="282">
        <v>0</v>
      </c>
      <c r="M988" s="210">
        <v>3650</v>
      </c>
    </row>
    <row r="989" spans="1:13" x14ac:dyDescent="0.25">
      <c r="A989" s="567"/>
      <c r="B989" s="546"/>
      <c r="C989" s="546"/>
      <c r="D989" s="546"/>
      <c r="E989" s="546"/>
      <c r="F989" s="29" t="s">
        <v>0</v>
      </c>
      <c r="G989" s="281">
        <v>0</v>
      </c>
      <c r="H989" s="282">
        <v>0</v>
      </c>
      <c r="I989" s="282">
        <v>17669</v>
      </c>
      <c r="J989" s="282">
        <v>0</v>
      </c>
      <c r="K989" s="282">
        <v>2320</v>
      </c>
      <c r="L989" s="282">
        <v>0</v>
      </c>
      <c r="M989" s="210">
        <v>19989</v>
      </c>
    </row>
    <row r="990" spans="1:13" x14ac:dyDescent="0.25">
      <c r="A990" s="567"/>
      <c r="B990" s="546"/>
      <c r="C990" s="546"/>
      <c r="D990" s="547"/>
      <c r="E990" s="549" t="s">
        <v>25</v>
      </c>
      <c r="F990" s="550"/>
      <c r="G990" s="283">
        <v>0</v>
      </c>
      <c r="H990" s="284">
        <v>2199</v>
      </c>
      <c r="I990" s="284">
        <v>19350</v>
      </c>
      <c r="J990" s="284">
        <v>1065</v>
      </c>
      <c r="K990" s="284">
        <v>4422</v>
      </c>
      <c r="L990" s="284">
        <v>745</v>
      </c>
      <c r="M990" s="211">
        <v>27781</v>
      </c>
    </row>
    <row r="991" spans="1:13" x14ac:dyDescent="0.25">
      <c r="A991" s="567"/>
      <c r="B991" s="546"/>
      <c r="C991" s="546"/>
      <c r="D991" s="545" t="s">
        <v>567</v>
      </c>
      <c r="E991" s="548" t="s">
        <v>159</v>
      </c>
      <c r="F991" s="30" t="s">
        <v>3</v>
      </c>
      <c r="G991" s="290">
        <v>0</v>
      </c>
      <c r="H991" s="286">
        <v>898</v>
      </c>
      <c r="I991" s="286">
        <v>0</v>
      </c>
      <c r="J991" s="287">
        <v>0</v>
      </c>
      <c r="K991" s="286">
        <v>2043</v>
      </c>
      <c r="L991" s="287">
        <v>0</v>
      </c>
      <c r="M991" s="212">
        <v>2941</v>
      </c>
    </row>
    <row r="992" spans="1:13" x14ac:dyDescent="0.25">
      <c r="A992" s="567"/>
      <c r="B992" s="546"/>
      <c r="C992" s="546"/>
      <c r="D992" s="546"/>
      <c r="E992" s="546"/>
      <c r="F992" s="29" t="s">
        <v>2</v>
      </c>
      <c r="G992" s="291">
        <v>0</v>
      </c>
      <c r="H992" s="282">
        <v>0</v>
      </c>
      <c r="I992" s="282">
        <v>1823</v>
      </c>
      <c r="J992" s="288">
        <v>0</v>
      </c>
      <c r="K992" s="282">
        <v>201</v>
      </c>
      <c r="L992" s="288">
        <v>0</v>
      </c>
      <c r="M992" s="210">
        <v>2024</v>
      </c>
    </row>
    <row r="993" spans="1:13" x14ac:dyDescent="0.25">
      <c r="A993" s="567"/>
      <c r="B993" s="546"/>
      <c r="C993" s="546"/>
      <c r="D993" s="546"/>
      <c r="E993" s="546"/>
      <c r="F993" s="29" t="s">
        <v>1</v>
      </c>
      <c r="G993" s="291">
        <v>0</v>
      </c>
      <c r="H993" s="282">
        <v>0</v>
      </c>
      <c r="I993" s="282">
        <v>1121</v>
      </c>
      <c r="J993" s="288">
        <v>0</v>
      </c>
      <c r="K993" s="282">
        <v>0</v>
      </c>
      <c r="L993" s="288">
        <v>0</v>
      </c>
      <c r="M993" s="210">
        <v>1121</v>
      </c>
    </row>
    <row r="994" spans="1:13" x14ac:dyDescent="0.25">
      <c r="A994" s="567"/>
      <c r="B994" s="546"/>
      <c r="C994" s="546"/>
      <c r="D994" s="546"/>
      <c r="E994" s="546"/>
      <c r="F994" s="29" t="s">
        <v>0</v>
      </c>
      <c r="G994" s="291">
        <v>3480</v>
      </c>
      <c r="H994" s="282">
        <v>2490</v>
      </c>
      <c r="I994" s="282">
        <v>2481</v>
      </c>
      <c r="J994" s="288">
        <v>0</v>
      </c>
      <c r="K994" s="282">
        <v>0</v>
      </c>
      <c r="L994" s="288">
        <v>0</v>
      </c>
      <c r="M994" s="210">
        <v>8451</v>
      </c>
    </row>
    <row r="995" spans="1:13" x14ac:dyDescent="0.25">
      <c r="A995" s="567"/>
      <c r="B995" s="546"/>
      <c r="C995" s="546"/>
      <c r="D995" s="547"/>
      <c r="E995" s="549" t="s">
        <v>25</v>
      </c>
      <c r="F995" s="550"/>
      <c r="G995" s="292">
        <v>3480</v>
      </c>
      <c r="H995" s="284">
        <v>3388</v>
      </c>
      <c r="I995" s="284">
        <v>5425</v>
      </c>
      <c r="J995" s="289">
        <v>0</v>
      </c>
      <c r="K995" s="284">
        <v>2244</v>
      </c>
      <c r="L995" s="289">
        <v>0</v>
      </c>
      <c r="M995" s="211">
        <v>14537</v>
      </c>
    </row>
    <row r="996" spans="1:13" x14ac:dyDescent="0.25">
      <c r="A996" s="567"/>
      <c r="B996" s="546"/>
      <c r="C996" s="546"/>
      <c r="D996" s="545" t="s">
        <v>568</v>
      </c>
      <c r="E996" s="548" t="s">
        <v>159</v>
      </c>
      <c r="F996" s="30" t="s">
        <v>3</v>
      </c>
      <c r="G996" s="290">
        <v>0</v>
      </c>
      <c r="H996" s="286">
        <v>366</v>
      </c>
      <c r="I996" s="286">
        <v>0</v>
      </c>
      <c r="J996" s="286">
        <v>48</v>
      </c>
      <c r="K996" s="286">
        <v>411</v>
      </c>
      <c r="L996" s="286">
        <v>6326</v>
      </c>
      <c r="M996" s="212">
        <v>7151</v>
      </c>
    </row>
    <row r="997" spans="1:13" x14ac:dyDescent="0.25">
      <c r="A997" s="567"/>
      <c r="B997" s="546"/>
      <c r="C997" s="546"/>
      <c r="D997" s="546"/>
      <c r="E997" s="546"/>
      <c r="F997" s="29" t="s">
        <v>2</v>
      </c>
      <c r="G997" s="291">
        <v>0</v>
      </c>
      <c r="H997" s="282">
        <v>273</v>
      </c>
      <c r="I997" s="282">
        <v>11376</v>
      </c>
      <c r="J997" s="282">
        <v>1121</v>
      </c>
      <c r="K997" s="282">
        <v>33991</v>
      </c>
      <c r="L997" s="282">
        <v>1452</v>
      </c>
      <c r="M997" s="210">
        <v>48213</v>
      </c>
    </row>
    <row r="998" spans="1:13" x14ac:dyDescent="0.25">
      <c r="A998" s="567"/>
      <c r="B998" s="546"/>
      <c r="C998" s="546"/>
      <c r="D998" s="546"/>
      <c r="E998" s="546"/>
      <c r="F998" s="29" t="s">
        <v>1</v>
      </c>
      <c r="G998" s="291">
        <v>2921</v>
      </c>
      <c r="H998" s="282">
        <v>1600</v>
      </c>
      <c r="I998" s="282">
        <v>0</v>
      </c>
      <c r="J998" s="282">
        <v>0</v>
      </c>
      <c r="K998" s="282">
        <v>0</v>
      </c>
      <c r="L998" s="282">
        <v>641</v>
      </c>
      <c r="M998" s="210">
        <v>5162</v>
      </c>
    </row>
    <row r="999" spans="1:13" x14ac:dyDescent="0.25">
      <c r="A999" s="567"/>
      <c r="B999" s="546"/>
      <c r="C999" s="546"/>
      <c r="D999" s="546"/>
      <c r="E999" s="546"/>
      <c r="F999" s="29" t="s">
        <v>0</v>
      </c>
      <c r="G999" s="291">
        <v>46778</v>
      </c>
      <c r="H999" s="282">
        <v>7210</v>
      </c>
      <c r="I999" s="282">
        <v>3218</v>
      </c>
      <c r="J999" s="282">
        <v>4702</v>
      </c>
      <c r="K999" s="282">
        <v>1067</v>
      </c>
      <c r="L999" s="282">
        <v>119</v>
      </c>
      <c r="M999" s="210">
        <v>63094</v>
      </c>
    </row>
    <row r="1000" spans="1:13" x14ac:dyDescent="0.25">
      <c r="A1000" s="567"/>
      <c r="B1000" s="546"/>
      <c r="C1000" s="546"/>
      <c r="D1000" s="547"/>
      <c r="E1000" s="549" t="s">
        <v>25</v>
      </c>
      <c r="F1000" s="550"/>
      <c r="G1000" s="292">
        <v>49699</v>
      </c>
      <c r="H1000" s="284">
        <v>9449</v>
      </c>
      <c r="I1000" s="284">
        <v>14594</v>
      </c>
      <c r="J1000" s="284">
        <v>5871</v>
      </c>
      <c r="K1000" s="284">
        <v>35469</v>
      </c>
      <c r="L1000" s="284">
        <v>8538</v>
      </c>
      <c r="M1000" s="211">
        <v>123620</v>
      </c>
    </row>
    <row r="1001" spans="1:13" x14ac:dyDescent="0.25">
      <c r="A1001" s="567"/>
      <c r="B1001" s="546"/>
      <c r="C1001" s="546"/>
      <c r="D1001" s="545" t="s">
        <v>569</v>
      </c>
      <c r="E1001" s="548" t="s">
        <v>159</v>
      </c>
      <c r="F1001" s="30" t="s">
        <v>3</v>
      </c>
      <c r="G1001" s="285">
        <v>0</v>
      </c>
      <c r="H1001" s="286">
        <v>49</v>
      </c>
      <c r="I1001" s="286">
        <v>0</v>
      </c>
      <c r="J1001" s="286">
        <v>388</v>
      </c>
      <c r="K1001" s="286">
        <v>301</v>
      </c>
      <c r="L1001" s="286">
        <v>304</v>
      </c>
      <c r="M1001" s="212">
        <v>1042</v>
      </c>
    </row>
    <row r="1002" spans="1:13" x14ac:dyDescent="0.25">
      <c r="A1002" s="567"/>
      <c r="B1002" s="546"/>
      <c r="C1002" s="546"/>
      <c r="D1002" s="546"/>
      <c r="E1002" s="546"/>
      <c r="F1002" s="29" t="s">
        <v>2</v>
      </c>
      <c r="G1002" s="281">
        <v>0</v>
      </c>
      <c r="H1002" s="282">
        <v>0</v>
      </c>
      <c r="I1002" s="282">
        <v>93</v>
      </c>
      <c r="J1002" s="282">
        <v>6434</v>
      </c>
      <c r="K1002" s="282">
        <v>10559</v>
      </c>
      <c r="L1002" s="282">
        <v>2637</v>
      </c>
      <c r="M1002" s="210">
        <v>19723</v>
      </c>
    </row>
    <row r="1003" spans="1:13" x14ac:dyDescent="0.25">
      <c r="A1003" s="567"/>
      <c r="B1003" s="546"/>
      <c r="C1003" s="546"/>
      <c r="D1003" s="546"/>
      <c r="E1003" s="546"/>
      <c r="F1003" s="29" t="s">
        <v>1</v>
      </c>
      <c r="G1003" s="281">
        <v>0</v>
      </c>
      <c r="H1003" s="282">
        <v>0</v>
      </c>
      <c r="I1003" s="282">
        <v>682</v>
      </c>
      <c r="J1003" s="282">
        <v>0</v>
      </c>
      <c r="K1003" s="282">
        <v>0</v>
      </c>
      <c r="L1003" s="282">
        <v>0</v>
      </c>
      <c r="M1003" s="210">
        <v>682</v>
      </c>
    </row>
    <row r="1004" spans="1:13" x14ac:dyDescent="0.25">
      <c r="A1004" s="567"/>
      <c r="B1004" s="546"/>
      <c r="C1004" s="546"/>
      <c r="D1004" s="546"/>
      <c r="E1004" s="546"/>
      <c r="F1004" s="29" t="s">
        <v>0</v>
      </c>
      <c r="G1004" s="281">
        <v>0</v>
      </c>
      <c r="H1004" s="282">
        <v>0</v>
      </c>
      <c r="I1004" s="282">
        <v>2294</v>
      </c>
      <c r="J1004" s="282">
        <v>684</v>
      </c>
      <c r="K1004" s="282">
        <v>713</v>
      </c>
      <c r="L1004" s="282">
        <v>0</v>
      </c>
      <c r="M1004" s="210">
        <v>3691</v>
      </c>
    </row>
    <row r="1005" spans="1:13" x14ac:dyDescent="0.25">
      <c r="A1005" s="567"/>
      <c r="B1005" s="546"/>
      <c r="C1005" s="546"/>
      <c r="D1005" s="547"/>
      <c r="E1005" s="549" t="s">
        <v>25</v>
      </c>
      <c r="F1005" s="550"/>
      <c r="G1005" s="283">
        <v>0</v>
      </c>
      <c r="H1005" s="284">
        <v>49</v>
      </c>
      <c r="I1005" s="284">
        <v>3069</v>
      </c>
      <c r="J1005" s="284">
        <v>7506</v>
      </c>
      <c r="K1005" s="284">
        <v>11573</v>
      </c>
      <c r="L1005" s="284">
        <v>2941</v>
      </c>
      <c r="M1005" s="211">
        <v>25138</v>
      </c>
    </row>
    <row r="1006" spans="1:13" x14ac:dyDescent="0.25">
      <c r="A1006" s="567"/>
      <c r="B1006" s="546"/>
      <c r="C1006" s="546"/>
      <c r="D1006" s="545" t="s">
        <v>570</v>
      </c>
      <c r="E1006" s="548" t="s">
        <v>159</v>
      </c>
      <c r="F1006" s="30" t="s">
        <v>3</v>
      </c>
      <c r="G1006" s="290">
        <v>0</v>
      </c>
      <c r="H1006" s="286">
        <v>60</v>
      </c>
      <c r="I1006" s="286">
        <v>0</v>
      </c>
      <c r="J1006" s="286">
        <v>200</v>
      </c>
      <c r="K1006" s="286">
        <v>0</v>
      </c>
      <c r="L1006" s="286">
        <v>0</v>
      </c>
      <c r="M1006" s="212">
        <v>260</v>
      </c>
    </row>
    <row r="1007" spans="1:13" x14ac:dyDescent="0.25">
      <c r="A1007" s="567"/>
      <c r="B1007" s="546"/>
      <c r="C1007" s="546"/>
      <c r="D1007" s="546"/>
      <c r="E1007" s="546"/>
      <c r="F1007" s="29" t="s">
        <v>2</v>
      </c>
      <c r="G1007" s="291">
        <v>0</v>
      </c>
      <c r="H1007" s="282">
        <v>1737</v>
      </c>
      <c r="I1007" s="282">
        <v>181</v>
      </c>
      <c r="J1007" s="282">
        <v>2322</v>
      </c>
      <c r="K1007" s="282">
        <v>281</v>
      </c>
      <c r="L1007" s="282">
        <v>0</v>
      </c>
      <c r="M1007" s="210">
        <v>4521</v>
      </c>
    </row>
    <row r="1008" spans="1:13" x14ac:dyDescent="0.25">
      <c r="A1008" s="567"/>
      <c r="B1008" s="546"/>
      <c r="C1008" s="546"/>
      <c r="D1008" s="546"/>
      <c r="E1008" s="546"/>
      <c r="F1008" s="29" t="s">
        <v>1</v>
      </c>
      <c r="G1008" s="291">
        <v>1174</v>
      </c>
      <c r="H1008" s="282">
        <v>17053</v>
      </c>
      <c r="I1008" s="282">
        <v>633</v>
      </c>
      <c r="J1008" s="282">
        <v>0</v>
      </c>
      <c r="K1008" s="282">
        <v>267</v>
      </c>
      <c r="L1008" s="282">
        <v>0</v>
      </c>
      <c r="M1008" s="210">
        <v>19127</v>
      </c>
    </row>
    <row r="1009" spans="1:13" x14ac:dyDescent="0.25">
      <c r="A1009" s="567"/>
      <c r="B1009" s="546"/>
      <c r="C1009" s="546"/>
      <c r="D1009" s="546"/>
      <c r="E1009" s="546"/>
      <c r="F1009" s="29" t="s">
        <v>0</v>
      </c>
      <c r="G1009" s="291">
        <v>5158</v>
      </c>
      <c r="H1009" s="282">
        <v>2949</v>
      </c>
      <c r="I1009" s="282">
        <v>23390</v>
      </c>
      <c r="J1009" s="282">
        <v>1046</v>
      </c>
      <c r="K1009" s="282">
        <v>1904</v>
      </c>
      <c r="L1009" s="282">
        <v>299</v>
      </c>
      <c r="M1009" s="210">
        <v>34746</v>
      </c>
    </row>
    <row r="1010" spans="1:13" x14ac:dyDescent="0.25">
      <c r="A1010" s="567"/>
      <c r="B1010" s="546"/>
      <c r="C1010" s="546"/>
      <c r="D1010" s="547"/>
      <c r="E1010" s="549" t="s">
        <v>25</v>
      </c>
      <c r="F1010" s="550"/>
      <c r="G1010" s="292">
        <v>6332</v>
      </c>
      <c r="H1010" s="284">
        <v>21799</v>
      </c>
      <c r="I1010" s="284">
        <v>24204</v>
      </c>
      <c r="J1010" s="284">
        <v>3568</v>
      </c>
      <c r="K1010" s="284">
        <v>2452</v>
      </c>
      <c r="L1010" s="284">
        <v>299</v>
      </c>
      <c r="M1010" s="211">
        <v>58654</v>
      </c>
    </row>
    <row r="1011" spans="1:13" x14ac:dyDescent="0.25">
      <c r="A1011" s="567"/>
      <c r="B1011" s="546"/>
      <c r="C1011" s="546"/>
      <c r="D1011" s="545" t="s">
        <v>571</v>
      </c>
      <c r="E1011" s="548" t="s">
        <v>159</v>
      </c>
      <c r="F1011" s="30" t="s">
        <v>3</v>
      </c>
      <c r="G1011" s="290">
        <v>0</v>
      </c>
      <c r="H1011" s="286">
        <v>275172</v>
      </c>
      <c r="I1011" s="286">
        <v>116609</v>
      </c>
      <c r="J1011" s="286">
        <v>191815</v>
      </c>
      <c r="K1011" s="286">
        <v>497700</v>
      </c>
      <c r="L1011" s="286">
        <v>538269</v>
      </c>
      <c r="M1011" s="212">
        <v>1619565</v>
      </c>
    </row>
    <row r="1012" spans="1:13" x14ac:dyDescent="0.25">
      <c r="A1012" s="567"/>
      <c r="B1012" s="546"/>
      <c r="C1012" s="546"/>
      <c r="D1012" s="546"/>
      <c r="E1012" s="546"/>
      <c r="F1012" s="29" t="s">
        <v>2</v>
      </c>
      <c r="G1012" s="291">
        <v>0</v>
      </c>
      <c r="H1012" s="282">
        <v>576493</v>
      </c>
      <c r="I1012" s="282">
        <v>264787</v>
      </c>
      <c r="J1012" s="282">
        <v>1088648</v>
      </c>
      <c r="K1012" s="282">
        <v>2737856</v>
      </c>
      <c r="L1012" s="282">
        <v>977130</v>
      </c>
      <c r="M1012" s="210">
        <v>5644914</v>
      </c>
    </row>
    <row r="1013" spans="1:13" x14ac:dyDescent="0.25">
      <c r="A1013" s="567"/>
      <c r="B1013" s="546"/>
      <c r="C1013" s="546"/>
      <c r="D1013" s="546"/>
      <c r="E1013" s="546"/>
      <c r="F1013" s="29" t="s">
        <v>1</v>
      </c>
      <c r="G1013" s="291">
        <v>1129414</v>
      </c>
      <c r="H1013" s="282">
        <v>273784</v>
      </c>
      <c r="I1013" s="282">
        <v>179220</v>
      </c>
      <c r="J1013" s="282">
        <v>39526</v>
      </c>
      <c r="K1013" s="282">
        <v>54087</v>
      </c>
      <c r="L1013" s="282">
        <v>12334</v>
      </c>
      <c r="M1013" s="210">
        <v>1688365</v>
      </c>
    </row>
    <row r="1014" spans="1:13" x14ac:dyDescent="0.25">
      <c r="A1014" s="567"/>
      <c r="B1014" s="546"/>
      <c r="C1014" s="546"/>
      <c r="D1014" s="546"/>
      <c r="E1014" s="546"/>
      <c r="F1014" s="29" t="s">
        <v>0</v>
      </c>
      <c r="G1014" s="291">
        <v>6208083</v>
      </c>
      <c r="H1014" s="282">
        <v>1490247</v>
      </c>
      <c r="I1014" s="282">
        <v>1360868</v>
      </c>
      <c r="J1014" s="282">
        <v>434950</v>
      </c>
      <c r="K1014" s="282">
        <v>158099</v>
      </c>
      <c r="L1014" s="282">
        <v>63778</v>
      </c>
      <c r="M1014" s="210">
        <v>9716025</v>
      </c>
    </row>
    <row r="1015" spans="1:13" x14ac:dyDescent="0.25">
      <c r="A1015" s="567"/>
      <c r="B1015" s="546"/>
      <c r="C1015" s="546"/>
      <c r="D1015" s="547"/>
      <c r="E1015" s="549" t="s">
        <v>25</v>
      </c>
      <c r="F1015" s="550"/>
      <c r="G1015" s="292">
        <v>7337497</v>
      </c>
      <c r="H1015" s="284">
        <v>2615696</v>
      </c>
      <c r="I1015" s="284">
        <v>1921484</v>
      </c>
      <c r="J1015" s="284">
        <v>1754939</v>
      </c>
      <c r="K1015" s="284">
        <v>3447742</v>
      </c>
      <c r="L1015" s="284">
        <v>1591511</v>
      </c>
      <c r="M1015" s="211">
        <v>18668869</v>
      </c>
    </row>
    <row r="1016" spans="1:13" x14ac:dyDescent="0.25">
      <c r="A1016" s="567"/>
      <c r="B1016" s="546"/>
      <c r="C1016" s="546"/>
      <c r="D1016" s="545" t="s">
        <v>572</v>
      </c>
      <c r="E1016" s="548" t="s">
        <v>159</v>
      </c>
      <c r="F1016" s="30" t="s">
        <v>3</v>
      </c>
      <c r="G1016" s="285">
        <v>0</v>
      </c>
      <c r="H1016" s="286">
        <v>307</v>
      </c>
      <c r="I1016" s="286">
        <v>1581</v>
      </c>
      <c r="J1016" s="286">
        <v>5284</v>
      </c>
      <c r="K1016" s="286">
        <v>31672</v>
      </c>
      <c r="L1016" s="286">
        <v>22202</v>
      </c>
      <c r="M1016" s="212">
        <v>61046</v>
      </c>
    </row>
    <row r="1017" spans="1:13" x14ac:dyDescent="0.25">
      <c r="A1017" s="567"/>
      <c r="B1017" s="546"/>
      <c r="C1017" s="546"/>
      <c r="D1017" s="546"/>
      <c r="E1017" s="546"/>
      <c r="F1017" s="29" t="s">
        <v>2</v>
      </c>
      <c r="G1017" s="281">
        <v>0</v>
      </c>
      <c r="H1017" s="282">
        <v>3388</v>
      </c>
      <c r="I1017" s="282">
        <v>1200</v>
      </c>
      <c r="J1017" s="282">
        <v>15419</v>
      </c>
      <c r="K1017" s="282">
        <v>44371</v>
      </c>
      <c r="L1017" s="282">
        <v>28301</v>
      </c>
      <c r="M1017" s="210">
        <v>92679</v>
      </c>
    </row>
    <row r="1018" spans="1:13" x14ac:dyDescent="0.25">
      <c r="A1018" s="567"/>
      <c r="B1018" s="546"/>
      <c r="C1018" s="546"/>
      <c r="D1018" s="546"/>
      <c r="E1018" s="546"/>
      <c r="F1018" s="29" t="s">
        <v>1</v>
      </c>
      <c r="G1018" s="281">
        <v>0</v>
      </c>
      <c r="H1018" s="282">
        <v>1444</v>
      </c>
      <c r="I1018" s="282">
        <v>380</v>
      </c>
      <c r="J1018" s="282">
        <v>872</v>
      </c>
      <c r="K1018" s="282">
        <v>145</v>
      </c>
      <c r="L1018" s="282">
        <v>193</v>
      </c>
      <c r="M1018" s="210">
        <v>3034</v>
      </c>
    </row>
    <row r="1019" spans="1:13" x14ac:dyDescent="0.25">
      <c r="A1019" s="567"/>
      <c r="B1019" s="546"/>
      <c r="C1019" s="546"/>
      <c r="D1019" s="546"/>
      <c r="E1019" s="546"/>
      <c r="F1019" s="29" t="s">
        <v>0</v>
      </c>
      <c r="G1019" s="281">
        <v>0</v>
      </c>
      <c r="H1019" s="282">
        <v>2892</v>
      </c>
      <c r="I1019" s="282">
        <v>31188</v>
      </c>
      <c r="J1019" s="282">
        <v>6999</v>
      </c>
      <c r="K1019" s="282">
        <v>1835</v>
      </c>
      <c r="L1019" s="282">
        <v>2528</v>
      </c>
      <c r="M1019" s="210">
        <v>45442</v>
      </c>
    </row>
    <row r="1020" spans="1:13" x14ac:dyDescent="0.25">
      <c r="A1020" s="567"/>
      <c r="B1020" s="546"/>
      <c r="C1020" s="546"/>
      <c r="D1020" s="547"/>
      <c r="E1020" s="549" t="s">
        <v>25</v>
      </c>
      <c r="F1020" s="550"/>
      <c r="G1020" s="283">
        <v>0</v>
      </c>
      <c r="H1020" s="284">
        <v>8031</v>
      </c>
      <c r="I1020" s="284">
        <v>34349</v>
      </c>
      <c r="J1020" s="284">
        <v>28574</v>
      </c>
      <c r="K1020" s="284">
        <v>78023</v>
      </c>
      <c r="L1020" s="284">
        <v>53224</v>
      </c>
      <c r="M1020" s="211">
        <v>202201</v>
      </c>
    </row>
    <row r="1021" spans="1:13" x14ac:dyDescent="0.25">
      <c r="A1021" s="567"/>
      <c r="B1021" s="546"/>
      <c r="C1021" s="546"/>
      <c r="D1021" s="545" t="s">
        <v>573</v>
      </c>
      <c r="E1021" s="548" t="s">
        <v>159</v>
      </c>
      <c r="F1021" s="30" t="s">
        <v>3</v>
      </c>
      <c r="G1021" s="290">
        <v>0</v>
      </c>
      <c r="H1021" s="286">
        <v>6658</v>
      </c>
      <c r="I1021" s="286">
        <v>1075</v>
      </c>
      <c r="J1021" s="286">
        <v>272</v>
      </c>
      <c r="K1021" s="286">
        <v>93</v>
      </c>
      <c r="L1021" s="286">
        <v>274</v>
      </c>
      <c r="M1021" s="212">
        <v>8372</v>
      </c>
    </row>
    <row r="1022" spans="1:13" x14ac:dyDescent="0.25">
      <c r="A1022" s="567"/>
      <c r="B1022" s="546"/>
      <c r="C1022" s="546"/>
      <c r="D1022" s="546"/>
      <c r="E1022" s="546"/>
      <c r="F1022" s="29" t="s">
        <v>2</v>
      </c>
      <c r="G1022" s="291">
        <v>0</v>
      </c>
      <c r="H1022" s="282">
        <v>8084</v>
      </c>
      <c r="I1022" s="282">
        <v>2691</v>
      </c>
      <c r="J1022" s="282">
        <v>6288</v>
      </c>
      <c r="K1022" s="282">
        <v>3516</v>
      </c>
      <c r="L1022" s="282">
        <v>619</v>
      </c>
      <c r="M1022" s="210">
        <v>21198</v>
      </c>
    </row>
    <row r="1023" spans="1:13" x14ac:dyDescent="0.25">
      <c r="A1023" s="567"/>
      <c r="B1023" s="546"/>
      <c r="C1023" s="546"/>
      <c r="D1023" s="546"/>
      <c r="E1023" s="546"/>
      <c r="F1023" s="29" t="s">
        <v>1</v>
      </c>
      <c r="G1023" s="291">
        <v>2944</v>
      </c>
      <c r="H1023" s="282">
        <v>1940</v>
      </c>
      <c r="I1023" s="282">
        <v>425</v>
      </c>
      <c r="J1023" s="282">
        <v>1813</v>
      </c>
      <c r="K1023" s="282">
        <v>0</v>
      </c>
      <c r="L1023" s="282">
        <v>0</v>
      </c>
      <c r="M1023" s="210">
        <v>7122</v>
      </c>
    </row>
    <row r="1024" spans="1:13" x14ac:dyDescent="0.25">
      <c r="A1024" s="567"/>
      <c r="B1024" s="546"/>
      <c r="C1024" s="546"/>
      <c r="D1024" s="546"/>
      <c r="E1024" s="546"/>
      <c r="F1024" s="29" t="s">
        <v>0</v>
      </c>
      <c r="G1024" s="291">
        <v>12319</v>
      </c>
      <c r="H1024" s="282">
        <v>59907</v>
      </c>
      <c r="I1024" s="282">
        <v>54247</v>
      </c>
      <c r="J1024" s="282">
        <v>5493</v>
      </c>
      <c r="K1024" s="282">
        <v>283</v>
      </c>
      <c r="L1024" s="282">
        <v>347</v>
      </c>
      <c r="M1024" s="210">
        <v>132596</v>
      </c>
    </row>
    <row r="1025" spans="1:13" x14ac:dyDescent="0.25">
      <c r="A1025" s="567"/>
      <c r="B1025" s="546"/>
      <c r="C1025" s="547"/>
      <c r="D1025" s="547"/>
      <c r="E1025" s="549" t="s">
        <v>25</v>
      </c>
      <c r="F1025" s="550"/>
      <c r="G1025" s="292">
        <v>15263</v>
      </c>
      <c r="H1025" s="284">
        <v>76589</v>
      </c>
      <c r="I1025" s="284">
        <v>58438</v>
      </c>
      <c r="J1025" s="284">
        <v>13866</v>
      </c>
      <c r="K1025" s="284">
        <v>3892</v>
      </c>
      <c r="L1025" s="284">
        <v>1240</v>
      </c>
      <c r="M1025" s="211">
        <v>169288</v>
      </c>
    </row>
    <row r="1026" spans="1:13" ht="15.75" thickBot="1" x14ac:dyDescent="0.3">
      <c r="A1026" s="567"/>
      <c r="B1026" s="546"/>
      <c r="C1026" s="575" t="s">
        <v>5</v>
      </c>
      <c r="D1026" s="545" t="s">
        <v>562</v>
      </c>
      <c r="E1026" s="548" t="s">
        <v>159</v>
      </c>
      <c r="F1026" s="30" t="s">
        <v>3</v>
      </c>
      <c r="G1026" s="290">
        <v>0</v>
      </c>
      <c r="H1026" s="286">
        <v>993</v>
      </c>
      <c r="I1026" s="286">
        <v>42</v>
      </c>
      <c r="J1026" s="286">
        <v>1233</v>
      </c>
      <c r="K1026" s="286">
        <v>407</v>
      </c>
      <c r="L1026" s="286">
        <v>1699</v>
      </c>
      <c r="M1026" s="212">
        <v>4374</v>
      </c>
    </row>
    <row r="1027" spans="1:13" x14ac:dyDescent="0.25">
      <c r="A1027" s="567"/>
      <c r="B1027" s="546"/>
      <c r="C1027" s="546"/>
      <c r="D1027" s="546"/>
      <c r="E1027" s="546"/>
      <c r="F1027" s="29" t="s">
        <v>2</v>
      </c>
      <c r="G1027" s="291">
        <v>0</v>
      </c>
      <c r="H1027" s="282">
        <v>3488</v>
      </c>
      <c r="I1027" s="282">
        <v>1175</v>
      </c>
      <c r="J1027" s="282">
        <v>15713</v>
      </c>
      <c r="K1027" s="282">
        <v>16035</v>
      </c>
      <c r="L1027" s="282">
        <v>1802</v>
      </c>
      <c r="M1027" s="210">
        <v>38213</v>
      </c>
    </row>
    <row r="1028" spans="1:13" x14ac:dyDescent="0.25">
      <c r="A1028" s="567"/>
      <c r="B1028" s="546"/>
      <c r="C1028" s="546"/>
      <c r="D1028" s="546"/>
      <c r="E1028" s="546"/>
      <c r="F1028" s="29" t="s">
        <v>1</v>
      </c>
      <c r="G1028" s="291">
        <v>16141</v>
      </c>
      <c r="H1028" s="282">
        <v>2052</v>
      </c>
      <c r="I1028" s="282">
        <v>2579</v>
      </c>
      <c r="J1028" s="282">
        <v>0</v>
      </c>
      <c r="K1028" s="282">
        <v>0</v>
      </c>
      <c r="L1028" s="282">
        <v>0</v>
      </c>
      <c r="M1028" s="210">
        <v>20772</v>
      </c>
    </row>
    <row r="1029" spans="1:13" x14ac:dyDescent="0.25">
      <c r="A1029" s="567"/>
      <c r="B1029" s="546"/>
      <c r="C1029" s="546"/>
      <c r="D1029" s="546"/>
      <c r="E1029" s="546"/>
      <c r="F1029" s="29" t="s">
        <v>0</v>
      </c>
      <c r="G1029" s="291">
        <v>130646</v>
      </c>
      <c r="H1029" s="282">
        <v>17961</v>
      </c>
      <c r="I1029" s="282">
        <v>15169</v>
      </c>
      <c r="J1029" s="282">
        <v>2762</v>
      </c>
      <c r="K1029" s="282">
        <v>944</v>
      </c>
      <c r="L1029" s="282">
        <v>595</v>
      </c>
      <c r="M1029" s="210">
        <v>168077</v>
      </c>
    </row>
    <row r="1030" spans="1:13" x14ac:dyDescent="0.25">
      <c r="A1030" s="567"/>
      <c r="B1030" s="546"/>
      <c r="C1030" s="546"/>
      <c r="D1030" s="547"/>
      <c r="E1030" s="549" t="s">
        <v>25</v>
      </c>
      <c r="F1030" s="550"/>
      <c r="G1030" s="292">
        <v>146787</v>
      </c>
      <c r="H1030" s="284">
        <v>24494</v>
      </c>
      <c r="I1030" s="284">
        <v>18965</v>
      </c>
      <c r="J1030" s="284">
        <v>19708</v>
      </c>
      <c r="K1030" s="284">
        <v>17386</v>
      </c>
      <c r="L1030" s="284">
        <v>4096</v>
      </c>
      <c r="M1030" s="211">
        <v>231436</v>
      </c>
    </row>
    <row r="1031" spans="1:13" x14ac:dyDescent="0.25">
      <c r="A1031" s="567"/>
      <c r="B1031" s="546"/>
      <c r="C1031" s="546"/>
      <c r="D1031" s="545" t="s">
        <v>563</v>
      </c>
      <c r="E1031" s="548" t="s">
        <v>159</v>
      </c>
      <c r="F1031" s="30" t="s">
        <v>3</v>
      </c>
      <c r="G1031" s="285">
        <v>0</v>
      </c>
      <c r="H1031" s="287">
        <v>0</v>
      </c>
      <c r="I1031" s="286">
        <v>0</v>
      </c>
      <c r="J1031" s="286">
        <v>0</v>
      </c>
      <c r="K1031" s="286">
        <v>761</v>
      </c>
      <c r="L1031" s="286">
        <v>0</v>
      </c>
      <c r="M1031" s="212">
        <v>761</v>
      </c>
    </row>
    <row r="1032" spans="1:13" x14ac:dyDescent="0.25">
      <c r="A1032" s="567"/>
      <c r="B1032" s="546"/>
      <c r="C1032" s="546"/>
      <c r="D1032" s="546"/>
      <c r="E1032" s="546"/>
      <c r="F1032" s="29" t="s">
        <v>2</v>
      </c>
      <c r="G1032" s="281">
        <v>0</v>
      </c>
      <c r="H1032" s="288">
        <v>0</v>
      </c>
      <c r="I1032" s="282">
        <v>1109</v>
      </c>
      <c r="J1032" s="282">
        <v>1244</v>
      </c>
      <c r="K1032" s="282">
        <v>286</v>
      </c>
      <c r="L1032" s="282">
        <v>75</v>
      </c>
      <c r="M1032" s="210">
        <v>2714</v>
      </c>
    </row>
    <row r="1033" spans="1:13" x14ac:dyDescent="0.25">
      <c r="A1033" s="567"/>
      <c r="B1033" s="546"/>
      <c r="C1033" s="546"/>
      <c r="D1033" s="546"/>
      <c r="E1033" s="546"/>
      <c r="F1033" s="29" t="s">
        <v>1</v>
      </c>
      <c r="G1033" s="281">
        <v>0</v>
      </c>
      <c r="H1033" s="288">
        <v>0</v>
      </c>
      <c r="I1033" s="282">
        <v>4652</v>
      </c>
      <c r="J1033" s="282">
        <v>1034</v>
      </c>
      <c r="K1033" s="282">
        <v>0</v>
      </c>
      <c r="L1033" s="282">
        <v>201</v>
      </c>
      <c r="M1033" s="210">
        <v>5887</v>
      </c>
    </row>
    <row r="1034" spans="1:13" x14ac:dyDescent="0.25">
      <c r="A1034" s="567"/>
      <c r="B1034" s="546"/>
      <c r="C1034" s="546"/>
      <c r="D1034" s="546"/>
      <c r="E1034" s="546"/>
      <c r="F1034" s="29" t="s">
        <v>0</v>
      </c>
      <c r="G1034" s="281">
        <v>0</v>
      </c>
      <c r="H1034" s="288">
        <v>0</v>
      </c>
      <c r="I1034" s="282">
        <v>1851</v>
      </c>
      <c r="J1034" s="282">
        <v>3114</v>
      </c>
      <c r="K1034" s="282">
        <v>0</v>
      </c>
      <c r="L1034" s="282">
        <v>1131</v>
      </c>
      <c r="M1034" s="210">
        <v>6096</v>
      </c>
    </row>
    <row r="1035" spans="1:13" x14ac:dyDescent="0.25">
      <c r="A1035" s="567"/>
      <c r="B1035" s="546"/>
      <c r="C1035" s="546"/>
      <c r="D1035" s="547"/>
      <c r="E1035" s="549" t="s">
        <v>25</v>
      </c>
      <c r="F1035" s="550"/>
      <c r="G1035" s="283">
        <v>0</v>
      </c>
      <c r="H1035" s="289">
        <v>0</v>
      </c>
      <c r="I1035" s="284">
        <v>7612</v>
      </c>
      <c r="J1035" s="284">
        <v>5392</v>
      </c>
      <c r="K1035" s="284">
        <v>1047</v>
      </c>
      <c r="L1035" s="284">
        <v>1407</v>
      </c>
      <c r="M1035" s="211">
        <v>15458</v>
      </c>
    </row>
    <row r="1036" spans="1:13" x14ac:dyDescent="0.25">
      <c r="A1036" s="567"/>
      <c r="B1036" s="546"/>
      <c r="C1036" s="546"/>
      <c r="D1036" s="545" t="s">
        <v>564</v>
      </c>
      <c r="E1036" s="548" t="s">
        <v>159</v>
      </c>
      <c r="F1036" s="30" t="s">
        <v>3</v>
      </c>
      <c r="G1036" s="290">
        <v>0</v>
      </c>
      <c r="H1036" s="286">
        <v>0</v>
      </c>
      <c r="I1036" s="286">
        <v>0</v>
      </c>
      <c r="J1036" s="286">
        <v>0</v>
      </c>
      <c r="K1036" s="287">
        <v>0</v>
      </c>
      <c r="L1036" s="287">
        <v>0</v>
      </c>
      <c r="M1036" s="212">
        <v>0</v>
      </c>
    </row>
    <row r="1037" spans="1:13" s="22" customFormat="1" x14ac:dyDescent="0.25">
      <c r="A1037" s="567"/>
      <c r="B1037" s="546"/>
      <c r="C1037" s="546"/>
      <c r="D1037" s="571"/>
      <c r="E1037" s="571"/>
      <c r="F1037" s="29" t="s">
        <v>2</v>
      </c>
      <c r="G1037" s="291">
        <v>0</v>
      </c>
      <c r="H1037" s="282">
        <v>1103</v>
      </c>
      <c r="I1037" s="282">
        <v>0</v>
      </c>
      <c r="J1037" s="282">
        <v>1003</v>
      </c>
      <c r="K1037" s="288">
        <v>0</v>
      </c>
      <c r="L1037" s="288">
        <v>0</v>
      </c>
      <c r="M1037" s="210">
        <v>2106</v>
      </c>
    </row>
    <row r="1038" spans="1:13" s="22" customFormat="1" x14ac:dyDescent="0.25">
      <c r="A1038" s="567"/>
      <c r="B1038" s="546"/>
      <c r="C1038" s="546"/>
      <c r="D1038" s="571"/>
      <c r="E1038" s="571"/>
      <c r="F1038" s="29" t="s">
        <v>1</v>
      </c>
      <c r="G1038" s="291">
        <v>0</v>
      </c>
      <c r="H1038" s="282">
        <v>0</v>
      </c>
      <c r="I1038" s="282">
        <v>0</v>
      </c>
      <c r="J1038" s="282">
        <v>0</v>
      </c>
      <c r="K1038" s="288">
        <v>0</v>
      </c>
      <c r="L1038" s="288">
        <v>0</v>
      </c>
      <c r="M1038" s="210">
        <v>0</v>
      </c>
    </row>
    <row r="1039" spans="1:13" x14ac:dyDescent="0.25">
      <c r="A1039" s="567"/>
      <c r="B1039" s="546"/>
      <c r="C1039" s="546"/>
      <c r="D1039" s="546"/>
      <c r="E1039" s="546"/>
      <c r="F1039" s="29" t="s">
        <v>0</v>
      </c>
      <c r="G1039" s="291">
        <v>3576</v>
      </c>
      <c r="H1039" s="282">
        <v>8078</v>
      </c>
      <c r="I1039" s="282">
        <v>2161</v>
      </c>
      <c r="J1039" s="282">
        <v>882</v>
      </c>
      <c r="K1039" s="288">
        <v>0</v>
      </c>
      <c r="L1039" s="288">
        <v>0</v>
      </c>
      <c r="M1039" s="210">
        <v>14697</v>
      </c>
    </row>
    <row r="1040" spans="1:13" x14ac:dyDescent="0.25">
      <c r="A1040" s="567"/>
      <c r="B1040" s="546"/>
      <c r="C1040" s="546"/>
      <c r="D1040" s="547"/>
      <c r="E1040" s="549" t="s">
        <v>25</v>
      </c>
      <c r="F1040" s="550"/>
      <c r="G1040" s="292">
        <v>3576</v>
      </c>
      <c r="H1040" s="284">
        <v>9181</v>
      </c>
      <c r="I1040" s="284">
        <v>2161</v>
      </c>
      <c r="J1040" s="284">
        <v>1885</v>
      </c>
      <c r="K1040" s="289">
        <v>0</v>
      </c>
      <c r="L1040" s="289">
        <v>0</v>
      </c>
      <c r="M1040" s="211">
        <v>16803</v>
      </c>
    </row>
    <row r="1041" spans="1:13" x14ac:dyDescent="0.25">
      <c r="A1041" s="567"/>
      <c r="B1041" s="546"/>
      <c r="C1041" s="546"/>
      <c r="D1041" s="545" t="s">
        <v>565</v>
      </c>
      <c r="E1041" s="548" t="s">
        <v>159</v>
      </c>
      <c r="F1041" s="30" t="s">
        <v>3</v>
      </c>
      <c r="G1041" s="290">
        <v>0</v>
      </c>
      <c r="H1041" s="286">
        <v>1344</v>
      </c>
      <c r="I1041" s="286">
        <v>0</v>
      </c>
      <c r="J1041" s="286">
        <v>2193</v>
      </c>
      <c r="K1041" s="286">
        <v>1336</v>
      </c>
      <c r="L1041" s="286">
        <v>1839</v>
      </c>
      <c r="M1041" s="212">
        <v>6712</v>
      </c>
    </row>
    <row r="1042" spans="1:13" x14ac:dyDescent="0.25">
      <c r="A1042" s="567"/>
      <c r="B1042" s="546"/>
      <c r="C1042" s="546"/>
      <c r="D1042" s="546"/>
      <c r="E1042" s="546"/>
      <c r="F1042" s="29" t="s">
        <v>2</v>
      </c>
      <c r="G1042" s="291">
        <v>0</v>
      </c>
      <c r="H1042" s="282">
        <v>6166</v>
      </c>
      <c r="I1042" s="282">
        <v>1728</v>
      </c>
      <c r="J1042" s="282">
        <v>2851</v>
      </c>
      <c r="K1042" s="282">
        <v>29624</v>
      </c>
      <c r="L1042" s="282">
        <v>170</v>
      </c>
      <c r="M1042" s="210">
        <v>40539</v>
      </c>
    </row>
    <row r="1043" spans="1:13" x14ac:dyDescent="0.25">
      <c r="A1043" s="567"/>
      <c r="B1043" s="546"/>
      <c r="C1043" s="546"/>
      <c r="D1043" s="546"/>
      <c r="E1043" s="546"/>
      <c r="F1043" s="29" t="s">
        <v>1</v>
      </c>
      <c r="G1043" s="291">
        <v>15504</v>
      </c>
      <c r="H1043" s="282">
        <v>919</v>
      </c>
      <c r="I1043" s="282">
        <v>2230</v>
      </c>
      <c r="J1043" s="282">
        <v>0</v>
      </c>
      <c r="K1043" s="282">
        <v>42</v>
      </c>
      <c r="L1043" s="282">
        <v>0</v>
      </c>
      <c r="M1043" s="210">
        <v>18695</v>
      </c>
    </row>
    <row r="1044" spans="1:13" x14ac:dyDescent="0.25">
      <c r="A1044" s="567"/>
      <c r="B1044" s="546"/>
      <c r="C1044" s="546"/>
      <c r="D1044" s="546"/>
      <c r="E1044" s="546"/>
      <c r="F1044" s="29" t="s">
        <v>0</v>
      </c>
      <c r="G1044" s="291">
        <v>103303</v>
      </c>
      <c r="H1044" s="282">
        <v>7766</v>
      </c>
      <c r="I1044" s="282">
        <v>14322</v>
      </c>
      <c r="J1044" s="282">
        <v>2800</v>
      </c>
      <c r="K1044" s="282">
        <v>2798</v>
      </c>
      <c r="L1044" s="282">
        <v>381</v>
      </c>
      <c r="M1044" s="210">
        <v>131370</v>
      </c>
    </row>
    <row r="1045" spans="1:13" x14ac:dyDescent="0.25">
      <c r="A1045" s="567"/>
      <c r="B1045" s="546"/>
      <c r="C1045" s="546"/>
      <c r="D1045" s="547"/>
      <c r="E1045" s="549" t="s">
        <v>25</v>
      </c>
      <c r="F1045" s="550"/>
      <c r="G1045" s="292">
        <v>118807</v>
      </c>
      <c r="H1045" s="284">
        <v>16195</v>
      </c>
      <c r="I1045" s="284">
        <v>18280</v>
      </c>
      <c r="J1045" s="284">
        <v>7844</v>
      </c>
      <c r="K1045" s="284">
        <v>33800</v>
      </c>
      <c r="L1045" s="284">
        <v>2390</v>
      </c>
      <c r="M1045" s="211">
        <v>197316</v>
      </c>
    </row>
    <row r="1046" spans="1:13" x14ac:dyDescent="0.25">
      <c r="A1046" s="567"/>
      <c r="B1046" s="546"/>
      <c r="C1046" s="546"/>
      <c r="D1046" s="545" t="s">
        <v>566</v>
      </c>
      <c r="E1046" s="548" t="s">
        <v>159</v>
      </c>
      <c r="F1046" s="30" t="s">
        <v>3</v>
      </c>
      <c r="G1046" s="285">
        <v>0</v>
      </c>
      <c r="H1046" s="287">
        <v>0</v>
      </c>
      <c r="I1046" s="287">
        <v>0</v>
      </c>
      <c r="J1046" s="286">
        <v>0</v>
      </c>
      <c r="K1046" s="286">
        <v>0</v>
      </c>
      <c r="L1046" s="287">
        <v>0</v>
      </c>
      <c r="M1046" s="212">
        <v>0</v>
      </c>
    </row>
    <row r="1047" spans="1:13" s="22" customFormat="1" x14ac:dyDescent="0.25">
      <c r="A1047" s="567"/>
      <c r="B1047" s="546"/>
      <c r="C1047" s="546"/>
      <c r="D1047" s="571"/>
      <c r="E1047" s="571"/>
      <c r="F1047" s="29" t="s">
        <v>2</v>
      </c>
      <c r="G1047" s="281">
        <v>0</v>
      </c>
      <c r="H1047" s="288">
        <v>0</v>
      </c>
      <c r="I1047" s="288">
        <v>0</v>
      </c>
      <c r="J1047" s="282">
        <v>272</v>
      </c>
      <c r="K1047" s="282">
        <v>571</v>
      </c>
      <c r="L1047" s="288">
        <v>0</v>
      </c>
      <c r="M1047" s="210">
        <v>843</v>
      </c>
    </row>
    <row r="1048" spans="1:13" ht="15.75" customHeight="1" x14ac:dyDescent="0.25">
      <c r="A1048" s="567"/>
      <c r="B1048" s="546"/>
      <c r="C1048" s="546"/>
      <c r="D1048" s="546"/>
      <c r="E1048" s="546"/>
      <c r="F1048" s="29" t="s">
        <v>1</v>
      </c>
      <c r="G1048" s="281">
        <v>0</v>
      </c>
      <c r="H1048" s="288">
        <v>0</v>
      </c>
      <c r="I1048" s="288">
        <v>0</v>
      </c>
      <c r="J1048" s="282">
        <v>0</v>
      </c>
      <c r="K1048" s="282">
        <v>88</v>
      </c>
      <c r="L1048" s="288">
        <v>0</v>
      </c>
      <c r="M1048" s="210">
        <v>88</v>
      </c>
    </row>
    <row r="1049" spans="1:13" x14ac:dyDescent="0.25">
      <c r="A1049" s="567"/>
      <c r="B1049" s="546"/>
      <c r="C1049" s="546"/>
      <c r="D1049" s="546"/>
      <c r="E1049" s="546"/>
      <c r="F1049" s="29" t="s">
        <v>0</v>
      </c>
      <c r="G1049" s="281">
        <v>0</v>
      </c>
      <c r="H1049" s="288">
        <v>0</v>
      </c>
      <c r="I1049" s="288">
        <v>0</v>
      </c>
      <c r="J1049" s="282">
        <v>0</v>
      </c>
      <c r="K1049" s="282">
        <v>182</v>
      </c>
      <c r="L1049" s="288">
        <v>0</v>
      </c>
      <c r="M1049" s="210">
        <v>182</v>
      </c>
    </row>
    <row r="1050" spans="1:13" x14ac:dyDescent="0.25">
      <c r="A1050" s="567"/>
      <c r="B1050" s="546"/>
      <c r="C1050" s="546"/>
      <c r="D1050" s="547"/>
      <c r="E1050" s="549" t="s">
        <v>25</v>
      </c>
      <c r="F1050" s="550"/>
      <c r="G1050" s="283">
        <v>0</v>
      </c>
      <c r="H1050" s="289">
        <v>0</v>
      </c>
      <c r="I1050" s="289">
        <v>0</v>
      </c>
      <c r="J1050" s="284">
        <v>272</v>
      </c>
      <c r="K1050" s="284">
        <v>841</v>
      </c>
      <c r="L1050" s="289">
        <v>0</v>
      </c>
      <c r="M1050" s="211">
        <v>1113</v>
      </c>
    </row>
    <row r="1051" spans="1:13" x14ac:dyDescent="0.25">
      <c r="A1051" s="567"/>
      <c r="B1051" s="546"/>
      <c r="C1051" s="546"/>
      <c r="D1051" s="545" t="s">
        <v>567</v>
      </c>
      <c r="E1051" s="208" t="s">
        <v>159</v>
      </c>
      <c r="F1051" s="30" t="s">
        <v>3</v>
      </c>
      <c r="G1051" s="285">
        <v>0</v>
      </c>
      <c r="H1051" s="287">
        <v>0</v>
      </c>
      <c r="I1051" s="286">
        <v>0</v>
      </c>
      <c r="J1051" s="287">
        <v>0</v>
      </c>
      <c r="K1051" s="287">
        <v>0</v>
      </c>
      <c r="L1051" s="287">
        <v>0</v>
      </c>
      <c r="M1051" s="212">
        <v>0</v>
      </c>
    </row>
    <row r="1052" spans="1:13" s="22" customFormat="1" x14ac:dyDescent="0.25">
      <c r="A1052" s="567"/>
      <c r="B1052" s="546"/>
      <c r="C1052" s="546"/>
      <c r="D1052" s="577"/>
      <c r="E1052" s="214"/>
      <c r="F1052" s="29" t="s">
        <v>2</v>
      </c>
      <c r="G1052" s="281">
        <v>0</v>
      </c>
      <c r="H1052" s="288">
        <v>0</v>
      </c>
      <c r="I1052" s="282">
        <v>0</v>
      </c>
      <c r="J1052" s="288">
        <v>0</v>
      </c>
      <c r="K1052" s="288">
        <v>0</v>
      </c>
      <c r="L1052" s="288">
        <v>0</v>
      </c>
      <c r="M1052" s="210">
        <v>0</v>
      </c>
    </row>
    <row r="1053" spans="1:13" s="22" customFormat="1" x14ac:dyDescent="0.25">
      <c r="A1053" s="567"/>
      <c r="B1053" s="546"/>
      <c r="C1053" s="546"/>
      <c r="D1053" s="577"/>
      <c r="E1053" s="214"/>
      <c r="F1053" s="29" t="s">
        <v>1</v>
      </c>
      <c r="G1053" s="281">
        <v>0</v>
      </c>
      <c r="H1053" s="288">
        <v>0</v>
      </c>
      <c r="I1053" s="282">
        <v>0</v>
      </c>
      <c r="J1053" s="288">
        <v>0</v>
      </c>
      <c r="K1053" s="288">
        <v>0</v>
      </c>
      <c r="L1053" s="288">
        <v>0</v>
      </c>
      <c r="M1053" s="210">
        <v>0</v>
      </c>
    </row>
    <row r="1054" spans="1:13" s="22" customFormat="1" x14ac:dyDescent="0.25">
      <c r="A1054" s="567"/>
      <c r="B1054" s="546"/>
      <c r="C1054" s="546"/>
      <c r="D1054" s="577"/>
      <c r="E1054" s="214"/>
      <c r="F1054" s="29" t="s">
        <v>0</v>
      </c>
      <c r="G1054" s="281">
        <v>0</v>
      </c>
      <c r="H1054" s="288">
        <v>0</v>
      </c>
      <c r="I1054" s="282">
        <v>2252</v>
      </c>
      <c r="J1054" s="288">
        <v>0</v>
      </c>
      <c r="K1054" s="288">
        <v>0</v>
      </c>
      <c r="L1054" s="288">
        <v>0</v>
      </c>
      <c r="M1054" s="210">
        <v>2252</v>
      </c>
    </row>
    <row r="1055" spans="1:13" x14ac:dyDescent="0.25">
      <c r="A1055" s="567"/>
      <c r="B1055" s="546"/>
      <c r="C1055" s="546"/>
      <c r="D1055" s="547"/>
      <c r="E1055" s="549" t="s">
        <v>25</v>
      </c>
      <c r="F1055" s="550"/>
      <c r="G1055" s="283">
        <v>0</v>
      </c>
      <c r="H1055" s="289">
        <v>0</v>
      </c>
      <c r="I1055" s="284">
        <v>2252</v>
      </c>
      <c r="J1055" s="289">
        <v>0</v>
      </c>
      <c r="K1055" s="289">
        <v>0</v>
      </c>
      <c r="L1055" s="289">
        <v>0</v>
      </c>
      <c r="M1055" s="211">
        <v>2252</v>
      </c>
    </row>
    <row r="1056" spans="1:13" x14ac:dyDescent="0.25">
      <c r="A1056" s="567"/>
      <c r="B1056" s="546"/>
      <c r="C1056" s="546"/>
      <c r="D1056" s="545" t="s">
        <v>568</v>
      </c>
      <c r="E1056" s="548" t="s">
        <v>159</v>
      </c>
      <c r="F1056" s="30" t="s">
        <v>3</v>
      </c>
      <c r="G1056" s="290">
        <v>0</v>
      </c>
      <c r="H1056" s="286">
        <v>1548</v>
      </c>
      <c r="I1056" s="286">
        <v>0</v>
      </c>
      <c r="J1056" s="286">
        <v>386</v>
      </c>
      <c r="K1056" s="286">
        <v>96</v>
      </c>
      <c r="L1056" s="286">
        <v>288</v>
      </c>
      <c r="M1056" s="212">
        <v>2318</v>
      </c>
    </row>
    <row r="1057" spans="1:13" s="22" customFormat="1" x14ac:dyDescent="0.25">
      <c r="A1057" s="567"/>
      <c r="B1057" s="546"/>
      <c r="C1057" s="546"/>
      <c r="D1057" s="571"/>
      <c r="E1057" s="571"/>
      <c r="F1057" s="29" t="s">
        <v>2</v>
      </c>
      <c r="G1057" s="291">
        <v>0</v>
      </c>
      <c r="H1057" s="282">
        <v>0</v>
      </c>
      <c r="I1057" s="282">
        <v>0</v>
      </c>
      <c r="J1057" s="282">
        <v>0</v>
      </c>
      <c r="K1057" s="282">
        <v>0</v>
      </c>
      <c r="L1057" s="282">
        <v>0</v>
      </c>
      <c r="M1057" s="210">
        <v>0</v>
      </c>
    </row>
    <row r="1058" spans="1:13" x14ac:dyDescent="0.25">
      <c r="A1058" s="567"/>
      <c r="B1058" s="546"/>
      <c r="C1058" s="546"/>
      <c r="D1058" s="546"/>
      <c r="E1058" s="546"/>
      <c r="F1058" s="29" t="s">
        <v>1</v>
      </c>
      <c r="G1058" s="291">
        <v>2938</v>
      </c>
      <c r="H1058" s="282">
        <v>1428</v>
      </c>
      <c r="I1058" s="282">
        <v>2055</v>
      </c>
      <c r="J1058" s="282">
        <v>0</v>
      </c>
      <c r="K1058" s="282">
        <v>0</v>
      </c>
      <c r="L1058" s="282">
        <v>0</v>
      </c>
      <c r="M1058" s="210">
        <v>6421</v>
      </c>
    </row>
    <row r="1059" spans="1:13" x14ac:dyDescent="0.25">
      <c r="A1059" s="567"/>
      <c r="B1059" s="546"/>
      <c r="C1059" s="546"/>
      <c r="D1059" s="546"/>
      <c r="E1059" s="546"/>
      <c r="F1059" s="29" t="s">
        <v>0</v>
      </c>
      <c r="G1059" s="291">
        <v>58320</v>
      </c>
      <c r="H1059" s="282">
        <v>2686</v>
      </c>
      <c r="I1059" s="282">
        <v>8575</v>
      </c>
      <c r="J1059" s="282">
        <v>547</v>
      </c>
      <c r="K1059" s="282">
        <v>0</v>
      </c>
      <c r="L1059" s="282">
        <v>0</v>
      </c>
      <c r="M1059" s="210">
        <v>70128</v>
      </c>
    </row>
    <row r="1060" spans="1:13" x14ac:dyDescent="0.25">
      <c r="A1060" s="567"/>
      <c r="B1060" s="546"/>
      <c r="C1060" s="546"/>
      <c r="D1060" s="547"/>
      <c r="E1060" s="549" t="s">
        <v>25</v>
      </c>
      <c r="F1060" s="550"/>
      <c r="G1060" s="292">
        <v>61258</v>
      </c>
      <c r="H1060" s="284">
        <v>5662</v>
      </c>
      <c r="I1060" s="284">
        <v>10630</v>
      </c>
      <c r="J1060" s="284">
        <v>933</v>
      </c>
      <c r="K1060" s="284">
        <v>96</v>
      </c>
      <c r="L1060" s="284">
        <v>288</v>
      </c>
      <c r="M1060" s="211">
        <v>78867</v>
      </c>
    </row>
    <row r="1061" spans="1:13" x14ac:dyDescent="0.25">
      <c r="A1061" s="567"/>
      <c r="B1061" s="546"/>
      <c r="C1061" s="546"/>
      <c r="D1061" s="545" t="s">
        <v>569</v>
      </c>
      <c r="E1061" s="548" t="s">
        <v>159</v>
      </c>
      <c r="F1061" s="30" t="s">
        <v>3</v>
      </c>
      <c r="G1061" s="285">
        <v>0</v>
      </c>
      <c r="H1061" s="287">
        <v>0</v>
      </c>
      <c r="I1061" s="286">
        <v>0</v>
      </c>
      <c r="J1061" s="286">
        <v>15</v>
      </c>
      <c r="K1061" s="286">
        <v>756</v>
      </c>
      <c r="L1061" s="286">
        <v>16</v>
      </c>
      <c r="M1061" s="212">
        <v>787</v>
      </c>
    </row>
    <row r="1062" spans="1:13" x14ac:dyDescent="0.25">
      <c r="A1062" s="567"/>
      <c r="B1062" s="546"/>
      <c r="C1062" s="546"/>
      <c r="D1062" s="546"/>
      <c r="E1062" s="546"/>
      <c r="F1062" s="29" t="s">
        <v>2</v>
      </c>
      <c r="G1062" s="281">
        <v>0</v>
      </c>
      <c r="H1062" s="288">
        <v>0</v>
      </c>
      <c r="I1062" s="282">
        <v>0</v>
      </c>
      <c r="J1062" s="282">
        <v>5833</v>
      </c>
      <c r="K1062" s="282">
        <v>1163</v>
      </c>
      <c r="L1062" s="282">
        <v>962</v>
      </c>
      <c r="M1062" s="210">
        <v>7958</v>
      </c>
    </row>
    <row r="1063" spans="1:13" s="22" customFormat="1" x14ac:dyDescent="0.25">
      <c r="A1063" s="567"/>
      <c r="B1063" s="546"/>
      <c r="C1063" s="546"/>
      <c r="D1063" s="546"/>
      <c r="E1063" s="546"/>
      <c r="F1063" s="29" t="s">
        <v>1</v>
      </c>
      <c r="G1063" s="281">
        <v>0</v>
      </c>
      <c r="H1063" s="288">
        <v>0</v>
      </c>
      <c r="I1063" s="282">
        <v>0</v>
      </c>
      <c r="J1063" s="282">
        <v>0</v>
      </c>
      <c r="K1063" s="282">
        <v>0</v>
      </c>
      <c r="L1063" s="282">
        <v>0</v>
      </c>
      <c r="M1063" s="210">
        <v>0</v>
      </c>
    </row>
    <row r="1064" spans="1:13" x14ac:dyDescent="0.25">
      <c r="A1064" s="567"/>
      <c r="B1064" s="546"/>
      <c r="C1064" s="546"/>
      <c r="D1064" s="546"/>
      <c r="E1064" s="546"/>
      <c r="F1064" s="29" t="s">
        <v>0</v>
      </c>
      <c r="G1064" s="281">
        <v>0</v>
      </c>
      <c r="H1064" s="288">
        <v>0</v>
      </c>
      <c r="I1064" s="282">
        <v>10081</v>
      </c>
      <c r="J1064" s="282">
        <v>921</v>
      </c>
      <c r="K1064" s="282">
        <v>0</v>
      </c>
      <c r="L1064" s="282">
        <v>0</v>
      </c>
      <c r="M1064" s="210">
        <v>11002</v>
      </c>
    </row>
    <row r="1065" spans="1:13" x14ac:dyDescent="0.25">
      <c r="A1065" s="567"/>
      <c r="B1065" s="546"/>
      <c r="C1065" s="546"/>
      <c r="D1065" s="547"/>
      <c r="E1065" s="549" t="s">
        <v>25</v>
      </c>
      <c r="F1065" s="550"/>
      <c r="G1065" s="283">
        <v>0</v>
      </c>
      <c r="H1065" s="289">
        <v>0</v>
      </c>
      <c r="I1065" s="284">
        <v>10081</v>
      </c>
      <c r="J1065" s="284">
        <v>6769</v>
      </c>
      <c r="K1065" s="284">
        <v>1919</v>
      </c>
      <c r="L1065" s="284">
        <v>978</v>
      </c>
      <c r="M1065" s="211">
        <v>19747</v>
      </c>
    </row>
    <row r="1066" spans="1:13" x14ac:dyDescent="0.25">
      <c r="A1066" s="567"/>
      <c r="B1066" s="546"/>
      <c r="C1066" s="546"/>
      <c r="D1066" s="545" t="s">
        <v>570</v>
      </c>
      <c r="E1066" s="548" t="s">
        <v>159</v>
      </c>
      <c r="F1066" s="30" t="s">
        <v>3</v>
      </c>
      <c r="G1066" s="290">
        <v>0</v>
      </c>
      <c r="H1066" s="286">
        <v>0</v>
      </c>
      <c r="I1066" s="286">
        <v>0</v>
      </c>
      <c r="J1066" s="286">
        <v>0</v>
      </c>
      <c r="K1066" s="286">
        <v>0</v>
      </c>
      <c r="L1066" s="286">
        <v>0</v>
      </c>
      <c r="M1066" s="212">
        <v>0</v>
      </c>
    </row>
    <row r="1067" spans="1:13" s="22" customFormat="1" x14ac:dyDescent="0.25">
      <c r="A1067" s="567"/>
      <c r="B1067" s="546"/>
      <c r="C1067" s="546"/>
      <c r="D1067" s="571"/>
      <c r="E1067" s="571"/>
      <c r="F1067" s="29" t="s">
        <v>2</v>
      </c>
      <c r="G1067" s="291">
        <v>0</v>
      </c>
      <c r="H1067" s="282">
        <v>0</v>
      </c>
      <c r="I1067" s="282">
        <v>0</v>
      </c>
      <c r="J1067" s="282">
        <v>0</v>
      </c>
      <c r="K1067" s="282">
        <v>435</v>
      </c>
      <c r="L1067" s="282">
        <v>0</v>
      </c>
      <c r="M1067" s="210">
        <v>435</v>
      </c>
    </row>
    <row r="1068" spans="1:13" x14ac:dyDescent="0.25">
      <c r="A1068" s="567"/>
      <c r="B1068" s="546"/>
      <c r="C1068" s="546"/>
      <c r="D1068" s="546"/>
      <c r="E1068" s="546"/>
      <c r="F1068" s="29" t="s">
        <v>1</v>
      </c>
      <c r="G1068" s="291">
        <v>0</v>
      </c>
      <c r="H1068" s="282">
        <v>1098</v>
      </c>
      <c r="I1068" s="282">
        <v>297</v>
      </c>
      <c r="J1068" s="282">
        <v>0</v>
      </c>
      <c r="K1068" s="282">
        <v>0</v>
      </c>
      <c r="L1068" s="282">
        <v>0</v>
      </c>
      <c r="M1068" s="210">
        <v>1395</v>
      </c>
    </row>
    <row r="1069" spans="1:13" x14ac:dyDescent="0.25">
      <c r="A1069" s="567"/>
      <c r="B1069" s="546"/>
      <c r="C1069" s="546"/>
      <c r="D1069" s="546"/>
      <c r="E1069" s="546"/>
      <c r="F1069" s="29" t="s">
        <v>0</v>
      </c>
      <c r="G1069" s="291">
        <v>1457</v>
      </c>
      <c r="H1069" s="282">
        <v>405</v>
      </c>
      <c r="I1069" s="282">
        <v>3404</v>
      </c>
      <c r="J1069" s="282">
        <v>194</v>
      </c>
      <c r="K1069" s="282">
        <v>1458</v>
      </c>
      <c r="L1069" s="282">
        <v>288</v>
      </c>
      <c r="M1069" s="210">
        <v>7206</v>
      </c>
    </row>
    <row r="1070" spans="1:13" x14ac:dyDescent="0.25">
      <c r="A1070" s="567"/>
      <c r="B1070" s="546"/>
      <c r="C1070" s="546"/>
      <c r="D1070" s="547"/>
      <c r="E1070" s="549" t="s">
        <v>25</v>
      </c>
      <c r="F1070" s="550"/>
      <c r="G1070" s="292">
        <v>1457</v>
      </c>
      <c r="H1070" s="284">
        <v>1503</v>
      </c>
      <c r="I1070" s="284">
        <v>3701</v>
      </c>
      <c r="J1070" s="284">
        <v>194</v>
      </c>
      <c r="K1070" s="284">
        <v>1893</v>
      </c>
      <c r="L1070" s="284">
        <v>288</v>
      </c>
      <c r="M1070" s="211">
        <v>9036</v>
      </c>
    </row>
    <row r="1071" spans="1:13" x14ac:dyDescent="0.25">
      <c r="A1071" s="567"/>
      <c r="B1071" s="546"/>
      <c r="C1071" s="546"/>
      <c r="D1071" s="545" t="s">
        <v>571</v>
      </c>
      <c r="E1071" s="548" t="s">
        <v>159</v>
      </c>
      <c r="F1071" s="30" t="s">
        <v>3</v>
      </c>
      <c r="G1071" s="290">
        <v>0</v>
      </c>
      <c r="H1071" s="286">
        <v>61884</v>
      </c>
      <c r="I1071" s="286">
        <v>4061</v>
      </c>
      <c r="J1071" s="286">
        <v>36900</v>
      </c>
      <c r="K1071" s="286">
        <v>39968</v>
      </c>
      <c r="L1071" s="286">
        <v>22483</v>
      </c>
      <c r="M1071" s="212">
        <v>165296</v>
      </c>
    </row>
    <row r="1072" spans="1:13" x14ac:dyDescent="0.25">
      <c r="A1072" s="567"/>
      <c r="B1072" s="546"/>
      <c r="C1072" s="546"/>
      <c r="D1072" s="546"/>
      <c r="E1072" s="546"/>
      <c r="F1072" s="29" t="s">
        <v>2</v>
      </c>
      <c r="G1072" s="291">
        <v>0</v>
      </c>
      <c r="H1072" s="282">
        <v>235862</v>
      </c>
      <c r="I1072" s="282">
        <v>52954</v>
      </c>
      <c r="J1072" s="282">
        <v>254247</v>
      </c>
      <c r="K1072" s="282">
        <v>410492</v>
      </c>
      <c r="L1072" s="282">
        <v>117052</v>
      </c>
      <c r="M1072" s="210">
        <v>1070607</v>
      </c>
    </row>
    <row r="1073" spans="1:13" x14ac:dyDescent="0.25">
      <c r="A1073" s="567"/>
      <c r="B1073" s="546"/>
      <c r="C1073" s="546"/>
      <c r="D1073" s="546"/>
      <c r="E1073" s="546"/>
      <c r="F1073" s="29" t="s">
        <v>1</v>
      </c>
      <c r="G1073" s="291">
        <v>377315</v>
      </c>
      <c r="H1073" s="282">
        <v>69615</v>
      </c>
      <c r="I1073" s="282">
        <v>31854</v>
      </c>
      <c r="J1073" s="282">
        <v>26932</v>
      </c>
      <c r="K1073" s="282">
        <v>6440</v>
      </c>
      <c r="L1073" s="282">
        <v>2663</v>
      </c>
      <c r="M1073" s="210">
        <v>514819</v>
      </c>
    </row>
    <row r="1074" spans="1:13" x14ac:dyDescent="0.25">
      <c r="A1074" s="567"/>
      <c r="B1074" s="546"/>
      <c r="C1074" s="546"/>
      <c r="D1074" s="546"/>
      <c r="E1074" s="546"/>
      <c r="F1074" s="29" t="s">
        <v>0</v>
      </c>
      <c r="G1074" s="291">
        <v>2446338</v>
      </c>
      <c r="H1074" s="282">
        <v>661730</v>
      </c>
      <c r="I1074" s="282">
        <v>431639</v>
      </c>
      <c r="J1074" s="282">
        <v>178374</v>
      </c>
      <c r="K1074" s="282">
        <v>52140</v>
      </c>
      <c r="L1074" s="282">
        <v>8783</v>
      </c>
      <c r="M1074" s="210">
        <v>3779004</v>
      </c>
    </row>
    <row r="1075" spans="1:13" x14ac:dyDescent="0.25">
      <c r="A1075" s="567"/>
      <c r="B1075" s="546"/>
      <c r="C1075" s="546"/>
      <c r="D1075" s="547"/>
      <c r="E1075" s="549" t="s">
        <v>25</v>
      </c>
      <c r="F1075" s="550"/>
      <c r="G1075" s="292">
        <v>2823653</v>
      </c>
      <c r="H1075" s="284">
        <v>1029091</v>
      </c>
      <c r="I1075" s="284">
        <v>520508</v>
      </c>
      <c r="J1075" s="284">
        <v>496453</v>
      </c>
      <c r="K1075" s="284">
        <v>509040</v>
      </c>
      <c r="L1075" s="284">
        <v>150981</v>
      </c>
      <c r="M1075" s="211">
        <v>5529726</v>
      </c>
    </row>
    <row r="1076" spans="1:13" x14ac:dyDescent="0.25">
      <c r="A1076" s="567"/>
      <c r="B1076" s="546"/>
      <c r="C1076" s="546"/>
      <c r="D1076" s="545" t="s">
        <v>572</v>
      </c>
      <c r="E1076" s="548" t="s">
        <v>159</v>
      </c>
      <c r="F1076" s="30" t="s">
        <v>3</v>
      </c>
      <c r="G1076" s="285">
        <v>0</v>
      </c>
      <c r="H1076" s="286">
        <v>491</v>
      </c>
      <c r="I1076" s="286">
        <v>1027</v>
      </c>
      <c r="J1076" s="286">
        <v>75</v>
      </c>
      <c r="K1076" s="286">
        <v>296</v>
      </c>
      <c r="L1076" s="286">
        <v>433</v>
      </c>
      <c r="M1076" s="212">
        <v>2322</v>
      </c>
    </row>
    <row r="1077" spans="1:13" x14ac:dyDescent="0.25">
      <c r="A1077" s="567"/>
      <c r="B1077" s="546"/>
      <c r="C1077" s="546"/>
      <c r="D1077" s="546"/>
      <c r="E1077" s="546"/>
      <c r="F1077" s="29" t="s">
        <v>2</v>
      </c>
      <c r="G1077" s="281">
        <v>0</v>
      </c>
      <c r="H1077" s="282">
        <v>739</v>
      </c>
      <c r="I1077" s="282">
        <v>1213</v>
      </c>
      <c r="J1077" s="282">
        <v>7361</v>
      </c>
      <c r="K1077" s="282">
        <v>18634</v>
      </c>
      <c r="L1077" s="282">
        <v>5266</v>
      </c>
      <c r="M1077" s="210">
        <v>33213</v>
      </c>
    </row>
    <row r="1078" spans="1:13" x14ac:dyDescent="0.25">
      <c r="A1078" s="567"/>
      <c r="B1078" s="546"/>
      <c r="C1078" s="546"/>
      <c r="D1078" s="546"/>
      <c r="E1078" s="546"/>
      <c r="F1078" s="29" t="s">
        <v>1</v>
      </c>
      <c r="G1078" s="281">
        <v>0</v>
      </c>
      <c r="H1078" s="282">
        <v>0</v>
      </c>
      <c r="I1078" s="282">
        <v>3533</v>
      </c>
      <c r="J1078" s="282">
        <v>68</v>
      </c>
      <c r="K1078" s="282">
        <v>0</v>
      </c>
      <c r="L1078" s="282">
        <v>0</v>
      </c>
      <c r="M1078" s="210">
        <v>3601</v>
      </c>
    </row>
    <row r="1079" spans="1:13" x14ac:dyDescent="0.25">
      <c r="A1079" s="567"/>
      <c r="B1079" s="546"/>
      <c r="C1079" s="546"/>
      <c r="D1079" s="546"/>
      <c r="E1079" s="546"/>
      <c r="F1079" s="29" t="s">
        <v>0</v>
      </c>
      <c r="G1079" s="281">
        <v>0</v>
      </c>
      <c r="H1079" s="282">
        <v>0</v>
      </c>
      <c r="I1079" s="282">
        <v>8170</v>
      </c>
      <c r="J1079" s="282">
        <v>10722</v>
      </c>
      <c r="K1079" s="282">
        <v>444</v>
      </c>
      <c r="L1079" s="282">
        <v>3412</v>
      </c>
      <c r="M1079" s="210">
        <v>22748</v>
      </c>
    </row>
    <row r="1080" spans="1:13" x14ac:dyDescent="0.25">
      <c r="A1080" s="567"/>
      <c r="B1080" s="546"/>
      <c r="C1080" s="546"/>
      <c r="D1080" s="547"/>
      <c r="E1080" s="549" t="s">
        <v>25</v>
      </c>
      <c r="F1080" s="550"/>
      <c r="G1080" s="283">
        <v>0</v>
      </c>
      <c r="H1080" s="284">
        <v>1230</v>
      </c>
      <c r="I1080" s="284">
        <v>13943</v>
      </c>
      <c r="J1080" s="284">
        <v>18226</v>
      </c>
      <c r="K1080" s="284">
        <v>19374</v>
      </c>
      <c r="L1080" s="284">
        <v>9111</v>
      </c>
      <c r="M1080" s="211">
        <v>61884</v>
      </c>
    </row>
    <row r="1081" spans="1:13" ht="15.75" thickBot="1" x14ac:dyDescent="0.3">
      <c r="A1081" s="567"/>
      <c r="B1081" s="546"/>
      <c r="C1081" s="546"/>
      <c r="D1081" s="575" t="s">
        <v>573</v>
      </c>
      <c r="E1081" s="548" t="s">
        <v>159</v>
      </c>
      <c r="F1081" s="30" t="s">
        <v>3</v>
      </c>
      <c r="G1081" s="290">
        <v>0</v>
      </c>
      <c r="H1081" s="286">
        <v>17048</v>
      </c>
      <c r="I1081" s="286">
        <v>0</v>
      </c>
      <c r="J1081" s="286">
        <v>199</v>
      </c>
      <c r="K1081" s="286">
        <v>0</v>
      </c>
      <c r="L1081" s="286">
        <v>0</v>
      </c>
      <c r="M1081" s="212">
        <v>17247</v>
      </c>
    </row>
    <row r="1082" spans="1:13" x14ac:dyDescent="0.25">
      <c r="A1082" s="567"/>
      <c r="B1082" s="546"/>
      <c r="C1082" s="546"/>
      <c r="D1082" s="546"/>
      <c r="E1082" s="546"/>
      <c r="F1082" s="29" t="s">
        <v>2</v>
      </c>
      <c r="G1082" s="291">
        <v>0</v>
      </c>
      <c r="H1082" s="282">
        <v>1582</v>
      </c>
      <c r="I1082" s="282">
        <v>384</v>
      </c>
      <c r="J1082" s="282">
        <v>2909</v>
      </c>
      <c r="K1082" s="282">
        <v>55</v>
      </c>
      <c r="L1082" s="282">
        <v>358</v>
      </c>
      <c r="M1082" s="210">
        <v>5288</v>
      </c>
    </row>
    <row r="1083" spans="1:13" x14ac:dyDescent="0.25">
      <c r="A1083" s="567"/>
      <c r="B1083" s="546"/>
      <c r="C1083" s="546"/>
      <c r="D1083" s="546"/>
      <c r="E1083" s="546"/>
      <c r="F1083" s="29" t="s">
        <v>1</v>
      </c>
      <c r="G1083" s="291">
        <v>18934</v>
      </c>
      <c r="H1083" s="282">
        <v>202</v>
      </c>
      <c r="I1083" s="282">
        <v>15725</v>
      </c>
      <c r="J1083" s="282">
        <v>0</v>
      </c>
      <c r="K1083" s="282">
        <v>0</v>
      </c>
      <c r="L1083" s="282">
        <v>0</v>
      </c>
      <c r="M1083" s="210">
        <v>34861</v>
      </c>
    </row>
    <row r="1084" spans="1:13" x14ac:dyDescent="0.25">
      <c r="A1084" s="567"/>
      <c r="B1084" s="546"/>
      <c r="C1084" s="546"/>
      <c r="D1084" s="546"/>
      <c r="E1084" s="546"/>
      <c r="F1084" s="29" t="s">
        <v>0</v>
      </c>
      <c r="G1084" s="291">
        <v>12752</v>
      </c>
      <c r="H1084" s="282">
        <v>10017</v>
      </c>
      <c r="I1084" s="282">
        <v>19368</v>
      </c>
      <c r="J1084" s="282">
        <v>705</v>
      </c>
      <c r="K1084" s="282">
        <v>0</v>
      </c>
      <c r="L1084" s="282">
        <v>661</v>
      </c>
      <c r="M1084" s="210">
        <v>43503</v>
      </c>
    </row>
    <row r="1085" spans="1:13" ht="15.75" thickBot="1" x14ac:dyDescent="0.3">
      <c r="A1085" s="574"/>
      <c r="B1085" s="576"/>
      <c r="C1085" s="576"/>
      <c r="D1085" s="576"/>
      <c r="E1085" s="578" t="s">
        <v>25</v>
      </c>
      <c r="F1085" s="579"/>
      <c r="G1085" s="293">
        <v>31686</v>
      </c>
      <c r="H1085" s="294">
        <v>28849</v>
      </c>
      <c r="I1085" s="294">
        <v>35477</v>
      </c>
      <c r="J1085" s="294">
        <v>3813</v>
      </c>
      <c r="K1085" s="294">
        <v>55</v>
      </c>
      <c r="L1085" s="294">
        <v>1019</v>
      </c>
      <c r="M1085" s="213">
        <v>100899</v>
      </c>
    </row>
    <row r="1087" spans="1:13" x14ac:dyDescent="0.25">
      <c r="G1087" s="441">
        <f>SUM(G6:G1086)</f>
        <v>89448670</v>
      </c>
      <c r="H1087" s="441">
        <f t="shared" ref="H1087:L1087" si="0">SUM(H6:H1086)</f>
        <v>102637242</v>
      </c>
      <c r="I1087" s="441">
        <f t="shared" si="0"/>
        <v>139552096</v>
      </c>
      <c r="J1087" s="441">
        <f t="shared" si="0"/>
        <v>122523756</v>
      </c>
      <c r="K1087" s="441">
        <f t="shared" si="0"/>
        <v>76500138</v>
      </c>
      <c r="L1087" s="441">
        <f t="shared" si="0"/>
        <v>35445866</v>
      </c>
    </row>
  </sheetData>
  <mergeCells count="682">
    <mergeCell ref="D1056:D1060"/>
    <mergeCell ref="E1056:E1059"/>
    <mergeCell ref="E1060:F1060"/>
    <mergeCell ref="D1076:D1080"/>
    <mergeCell ref="E1076:E1079"/>
    <mergeCell ref="E1080:F1080"/>
    <mergeCell ref="D1081:D1085"/>
    <mergeCell ref="E1081:E1084"/>
    <mergeCell ref="E1085:F1085"/>
    <mergeCell ref="D1061:D1065"/>
    <mergeCell ref="E1061:E1064"/>
    <mergeCell ref="E1065:F1065"/>
    <mergeCell ref="D1066:D1070"/>
    <mergeCell ref="E1066:E1069"/>
    <mergeCell ref="E1070:F1070"/>
    <mergeCell ref="D1071:D1075"/>
    <mergeCell ref="E1071:E1074"/>
    <mergeCell ref="E1075:F1075"/>
    <mergeCell ref="D1016:D1020"/>
    <mergeCell ref="E1016:E1019"/>
    <mergeCell ref="E1020:F1020"/>
    <mergeCell ref="D1021:D1025"/>
    <mergeCell ref="E1021:E1024"/>
    <mergeCell ref="E1025:F1025"/>
    <mergeCell ref="C1026:C1085"/>
    <mergeCell ref="D1026:D1030"/>
    <mergeCell ref="E1026:E1029"/>
    <mergeCell ref="E1030:F1030"/>
    <mergeCell ref="D1031:D1035"/>
    <mergeCell ref="E1031:E1034"/>
    <mergeCell ref="E1035:F1035"/>
    <mergeCell ref="D1036:D1040"/>
    <mergeCell ref="E1036:E1039"/>
    <mergeCell ref="E1040:F1040"/>
    <mergeCell ref="D1041:D1045"/>
    <mergeCell ref="E1041:E1044"/>
    <mergeCell ref="E1045:F1045"/>
    <mergeCell ref="D1046:D1050"/>
    <mergeCell ref="E1046:E1049"/>
    <mergeCell ref="E1050:F1050"/>
    <mergeCell ref="D1051:D1055"/>
    <mergeCell ref="E1055:F1055"/>
    <mergeCell ref="E1000:F1000"/>
    <mergeCell ref="D1001:D1005"/>
    <mergeCell ref="E1001:E1004"/>
    <mergeCell ref="E1005:F1005"/>
    <mergeCell ref="D1006:D1010"/>
    <mergeCell ref="E1006:E1009"/>
    <mergeCell ref="E1010:F1010"/>
    <mergeCell ref="D1011:D1015"/>
    <mergeCell ref="E1011:E1014"/>
    <mergeCell ref="E1015:F1015"/>
    <mergeCell ref="D961:D965"/>
    <mergeCell ref="E961:E964"/>
    <mergeCell ref="E965:F965"/>
    <mergeCell ref="C966:C1025"/>
    <mergeCell ref="D966:D970"/>
    <mergeCell ref="E966:E969"/>
    <mergeCell ref="E970:F970"/>
    <mergeCell ref="D971:D975"/>
    <mergeCell ref="E971:E974"/>
    <mergeCell ref="E975:F975"/>
    <mergeCell ref="D976:D980"/>
    <mergeCell ref="E976:E979"/>
    <mergeCell ref="E980:F980"/>
    <mergeCell ref="D981:D985"/>
    <mergeCell ref="E981:E984"/>
    <mergeCell ref="E985:F985"/>
    <mergeCell ref="D986:D990"/>
    <mergeCell ref="E986:E989"/>
    <mergeCell ref="E990:F990"/>
    <mergeCell ref="D991:D995"/>
    <mergeCell ref="E991:E994"/>
    <mergeCell ref="E995:F995"/>
    <mergeCell ref="D996:D1000"/>
    <mergeCell ref="E996:E999"/>
    <mergeCell ref="E941:E944"/>
    <mergeCell ref="E945:F945"/>
    <mergeCell ref="D946:D950"/>
    <mergeCell ref="E946:E949"/>
    <mergeCell ref="E950:F950"/>
    <mergeCell ref="D951:D955"/>
    <mergeCell ref="E951:E954"/>
    <mergeCell ref="E955:F955"/>
    <mergeCell ref="D956:D960"/>
    <mergeCell ref="E956:E959"/>
    <mergeCell ref="E960:F960"/>
    <mergeCell ref="B906:B1085"/>
    <mergeCell ref="C906:C965"/>
    <mergeCell ref="D906:D910"/>
    <mergeCell ref="E906:E909"/>
    <mergeCell ref="E910:F910"/>
    <mergeCell ref="D911:D915"/>
    <mergeCell ref="E911:E914"/>
    <mergeCell ref="E915:F915"/>
    <mergeCell ref="D916:D920"/>
    <mergeCell ref="E916:E919"/>
    <mergeCell ref="E920:F920"/>
    <mergeCell ref="D921:D925"/>
    <mergeCell ref="E921:E924"/>
    <mergeCell ref="E925:F925"/>
    <mergeCell ref="D926:D930"/>
    <mergeCell ref="E926:E929"/>
    <mergeCell ref="E930:F930"/>
    <mergeCell ref="D931:D935"/>
    <mergeCell ref="E931:E934"/>
    <mergeCell ref="E935:F935"/>
    <mergeCell ref="D936:D940"/>
    <mergeCell ref="E936:E939"/>
    <mergeCell ref="E940:F940"/>
    <mergeCell ref="D941:D945"/>
    <mergeCell ref="D891:D895"/>
    <mergeCell ref="E891:E894"/>
    <mergeCell ref="E895:F895"/>
    <mergeCell ref="D896:D900"/>
    <mergeCell ref="E896:E899"/>
    <mergeCell ref="E900:F900"/>
    <mergeCell ref="D901:D905"/>
    <mergeCell ref="E901:E904"/>
    <mergeCell ref="E905:F905"/>
    <mergeCell ref="E875:F875"/>
    <mergeCell ref="D876:D880"/>
    <mergeCell ref="E876:E879"/>
    <mergeCell ref="E880:F880"/>
    <mergeCell ref="D881:D885"/>
    <mergeCell ref="E881:E884"/>
    <mergeCell ref="E885:F885"/>
    <mergeCell ref="D886:D890"/>
    <mergeCell ref="E886:E889"/>
    <mergeCell ref="E890:F890"/>
    <mergeCell ref="D836:D840"/>
    <mergeCell ref="E836:E839"/>
    <mergeCell ref="E840:F840"/>
    <mergeCell ref="D841:D845"/>
    <mergeCell ref="E841:E844"/>
    <mergeCell ref="E845:F845"/>
    <mergeCell ref="C846:C905"/>
    <mergeCell ref="D846:D850"/>
    <mergeCell ref="E846:E849"/>
    <mergeCell ref="E850:F850"/>
    <mergeCell ref="D851:D855"/>
    <mergeCell ref="E851:E854"/>
    <mergeCell ref="E855:F855"/>
    <mergeCell ref="D856:D860"/>
    <mergeCell ref="E856:E859"/>
    <mergeCell ref="E860:F860"/>
    <mergeCell ref="D861:D865"/>
    <mergeCell ref="E861:E864"/>
    <mergeCell ref="E865:F865"/>
    <mergeCell ref="D866:D870"/>
    <mergeCell ref="E866:E869"/>
    <mergeCell ref="E870:F870"/>
    <mergeCell ref="D871:D875"/>
    <mergeCell ref="E871:E874"/>
    <mergeCell ref="E820:F820"/>
    <mergeCell ref="D821:D825"/>
    <mergeCell ref="E821:E824"/>
    <mergeCell ref="E825:F825"/>
    <mergeCell ref="D826:D830"/>
    <mergeCell ref="E826:E829"/>
    <mergeCell ref="E830:F830"/>
    <mergeCell ref="D831:D835"/>
    <mergeCell ref="E831:E834"/>
    <mergeCell ref="E835:F835"/>
    <mergeCell ref="D781:D785"/>
    <mergeCell ref="E781:E784"/>
    <mergeCell ref="E785:F785"/>
    <mergeCell ref="C786:C845"/>
    <mergeCell ref="D786:D790"/>
    <mergeCell ref="E786:E789"/>
    <mergeCell ref="E790:F790"/>
    <mergeCell ref="D791:D795"/>
    <mergeCell ref="E791:E794"/>
    <mergeCell ref="E795:F795"/>
    <mergeCell ref="D796:D800"/>
    <mergeCell ref="E796:E799"/>
    <mergeCell ref="E800:F800"/>
    <mergeCell ref="D801:D805"/>
    <mergeCell ref="E801:E804"/>
    <mergeCell ref="E805:F805"/>
    <mergeCell ref="D806:D810"/>
    <mergeCell ref="E806:E809"/>
    <mergeCell ref="E810:F810"/>
    <mergeCell ref="D811:D815"/>
    <mergeCell ref="E811:E814"/>
    <mergeCell ref="E815:F815"/>
    <mergeCell ref="D816:D820"/>
    <mergeCell ref="E816:E819"/>
    <mergeCell ref="D766:D770"/>
    <mergeCell ref="E766:E769"/>
    <mergeCell ref="E770:F770"/>
    <mergeCell ref="D771:D775"/>
    <mergeCell ref="E771:E774"/>
    <mergeCell ref="E775:F775"/>
    <mergeCell ref="D776:D780"/>
    <mergeCell ref="E776:E779"/>
    <mergeCell ref="E780:F780"/>
    <mergeCell ref="D751:D755"/>
    <mergeCell ref="E751:E754"/>
    <mergeCell ref="E755:F755"/>
    <mergeCell ref="D756:D760"/>
    <mergeCell ref="E756:E759"/>
    <mergeCell ref="E760:F760"/>
    <mergeCell ref="D761:D765"/>
    <mergeCell ref="E761:E764"/>
    <mergeCell ref="E765:F765"/>
    <mergeCell ref="D716:D720"/>
    <mergeCell ref="E716:E719"/>
    <mergeCell ref="E720:F720"/>
    <mergeCell ref="D721:D725"/>
    <mergeCell ref="E721:E724"/>
    <mergeCell ref="E725:F725"/>
    <mergeCell ref="A726:A1085"/>
    <mergeCell ref="B726:B905"/>
    <mergeCell ref="C726:C785"/>
    <mergeCell ref="D726:D730"/>
    <mergeCell ref="E726:E729"/>
    <mergeCell ref="E730:F730"/>
    <mergeCell ref="D731:D735"/>
    <mergeCell ref="E731:E734"/>
    <mergeCell ref="E735:F735"/>
    <mergeCell ref="D736:D740"/>
    <mergeCell ref="E736:E739"/>
    <mergeCell ref="E740:F740"/>
    <mergeCell ref="D741:D745"/>
    <mergeCell ref="E741:E744"/>
    <mergeCell ref="E745:F745"/>
    <mergeCell ref="D746:D750"/>
    <mergeCell ref="E746:E749"/>
    <mergeCell ref="E750:F750"/>
    <mergeCell ref="E700:F700"/>
    <mergeCell ref="D701:D705"/>
    <mergeCell ref="E701:E704"/>
    <mergeCell ref="E705:F705"/>
    <mergeCell ref="D706:D710"/>
    <mergeCell ref="E706:E709"/>
    <mergeCell ref="E710:F710"/>
    <mergeCell ref="D711:D715"/>
    <mergeCell ref="E711:E714"/>
    <mergeCell ref="E715:F715"/>
    <mergeCell ref="D661:D665"/>
    <mergeCell ref="E661:E664"/>
    <mergeCell ref="E665:F665"/>
    <mergeCell ref="C666:C725"/>
    <mergeCell ref="D666:D670"/>
    <mergeCell ref="E666:E669"/>
    <mergeCell ref="E670:F670"/>
    <mergeCell ref="D671:D675"/>
    <mergeCell ref="E671:E674"/>
    <mergeCell ref="E675:F675"/>
    <mergeCell ref="D676:D680"/>
    <mergeCell ref="E676:E679"/>
    <mergeCell ref="E680:F680"/>
    <mergeCell ref="D681:D685"/>
    <mergeCell ref="E681:E684"/>
    <mergeCell ref="E685:F685"/>
    <mergeCell ref="D686:D690"/>
    <mergeCell ref="E686:E688"/>
    <mergeCell ref="E690:F690"/>
    <mergeCell ref="D691:D695"/>
    <mergeCell ref="E691:E694"/>
    <mergeCell ref="E695:F695"/>
    <mergeCell ref="D696:D700"/>
    <mergeCell ref="E696:E699"/>
    <mergeCell ref="E645:F645"/>
    <mergeCell ref="D646:D650"/>
    <mergeCell ref="E646:E649"/>
    <mergeCell ref="E650:F650"/>
    <mergeCell ref="D651:D655"/>
    <mergeCell ref="E651:E654"/>
    <mergeCell ref="E655:F655"/>
    <mergeCell ref="D656:D660"/>
    <mergeCell ref="E656:E659"/>
    <mergeCell ref="E660:F660"/>
    <mergeCell ref="C606:C665"/>
    <mergeCell ref="D606:D610"/>
    <mergeCell ref="E606:E609"/>
    <mergeCell ref="E610:F610"/>
    <mergeCell ref="D611:D615"/>
    <mergeCell ref="E611:E614"/>
    <mergeCell ref="E615:F615"/>
    <mergeCell ref="D616:D620"/>
    <mergeCell ref="E616:E619"/>
    <mergeCell ref="E620:F620"/>
    <mergeCell ref="D621:D625"/>
    <mergeCell ref="E621:E624"/>
    <mergeCell ref="E625:F625"/>
    <mergeCell ref="D626:D630"/>
    <mergeCell ref="E626:E629"/>
    <mergeCell ref="E630:F630"/>
    <mergeCell ref="D631:D635"/>
    <mergeCell ref="E631:E634"/>
    <mergeCell ref="E635:F635"/>
    <mergeCell ref="D636:D640"/>
    <mergeCell ref="E636:E639"/>
    <mergeCell ref="E640:F640"/>
    <mergeCell ref="D641:D645"/>
    <mergeCell ref="E641:E644"/>
    <mergeCell ref="D591:D595"/>
    <mergeCell ref="E591:E594"/>
    <mergeCell ref="E595:F595"/>
    <mergeCell ref="D596:D600"/>
    <mergeCell ref="E596:E599"/>
    <mergeCell ref="E600:F600"/>
    <mergeCell ref="D601:D605"/>
    <mergeCell ref="E601:E604"/>
    <mergeCell ref="E605:F605"/>
    <mergeCell ref="E575:F575"/>
    <mergeCell ref="D576:D580"/>
    <mergeCell ref="E576:E579"/>
    <mergeCell ref="E580:F580"/>
    <mergeCell ref="D581:D585"/>
    <mergeCell ref="E581:E584"/>
    <mergeCell ref="E585:F585"/>
    <mergeCell ref="D586:D590"/>
    <mergeCell ref="E586:E589"/>
    <mergeCell ref="E590:F590"/>
    <mergeCell ref="E515:F515"/>
    <mergeCell ref="D516:D520"/>
    <mergeCell ref="E516:E519"/>
    <mergeCell ref="E541:E544"/>
    <mergeCell ref="E545:F545"/>
    <mergeCell ref="B546:B725"/>
    <mergeCell ref="C546:C605"/>
    <mergeCell ref="D546:D550"/>
    <mergeCell ref="E546:E549"/>
    <mergeCell ref="E550:F550"/>
    <mergeCell ref="D551:D555"/>
    <mergeCell ref="E551:E554"/>
    <mergeCell ref="E555:F555"/>
    <mergeCell ref="D556:D560"/>
    <mergeCell ref="E556:E559"/>
    <mergeCell ref="E560:F560"/>
    <mergeCell ref="D561:D565"/>
    <mergeCell ref="E561:E564"/>
    <mergeCell ref="E565:F565"/>
    <mergeCell ref="D566:D570"/>
    <mergeCell ref="E566:E569"/>
    <mergeCell ref="E570:F570"/>
    <mergeCell ref="D571:D575"/>
    <mergeCell ref="E571:E574"/>
    <mergeCell ref="D476:D480"/>
    <mergeCell ref="E476:E479"/>
    <mergeCell ref="E480:F480"/>
    <mergeCell ref="D481:D485"/>
    <mergeCell ref="E481:E484"/>
    <mergeCell ref="E485:F485"/>
    <mergeCell ref="C486:C545"/>
    <mergeCell ref="D486:D490"/>
    <mergeCell ref="E486:E489"/>
    <mergeCell ref="E490:F490"/>
    <mergeCell ref="D491:D495"/>
    <mergeCell ref="E491:E494"/>
    <mergeCell ref="E495:F495"/>
    <mergeCell ref="D496:D500"/>
    <mergeCell ref="E496:E499"/>
    <mergeCell ref="E500:F500"/>
    <mergeCell ref="D501:D505"/>
    <mergeCell ref="E501:E504"/>
    <mergeCell ref="E505:F505"/>
    <mergeCell ref="D506:D510"/>
    <mergeCell ref="E506:E509"/>
    <mergeCell ref="E510:F510"/>
    <mergeCell ref="D511:D515"/>
    <mergeCell ref="E511:E514"/>
    <mergeCell ref="D451:D455"/>
    <mergeCell ref="E451:E454"/>
    <mergeCell ref="E455:F455"/>
    <mergeCell ref="D456:D460"/>
    <mergeCell ref="E456:E459"/>
    <mergeCell ref="D466:D470"/>
    <mergeCell ref="E466:E469"/>
    <mergeCell ref="E470:F470"/>
    <mergeCell ref="D471:D475"/>
    <mergeCell ref="E471:E474"/>
    <mergeCell ref="E475:F475"/>
    <mergeCell ref="E411:E414"/>
    <mergeCell ref="E415:F415"/>
    <mergeCell ref="D416:D420"/>
    <mergeCell ref="E416:E419"/>
    <mergeCell ref="E420:F420"/>
    <mergeCell ref="D421:D425"/>
    <mergeCell ref="E421:E424"/>
    <mergeCell ref="E425:F425"/>
    <mergeCell ref="C426:C485"/>
    <mergeCell ref="D426:D430"/>
    <mergeCell ref="E426:E429"/>
    <mergeCell ref="E430:F430"/>
    <mergeCell ref="D431:D435"/>
    <mergeCell ref="E431:E434"/>
    <mergeCell ref="E435:F435"/>
    <mergeCell ref="D436:D440"/>
    <mergeCell ref="E436:E439"/>
    <mergeCell ref="E440:F440"/>
    <mergeCell ref="D441:D445"/>
    <mergeCell ref="E441:E444"/>
    <mergeCell ref="E445:F445"/>
    <mergeCell ref="D446:D450"/>
    <mergeCell ref="E446:E449"/>
    <mergeCell ref="E450:F450"/>
    <mergeCell ref="A366:A725"/>
    <mergeCell ref="B366:B545"/>
    <mergeCell ref="C366:C425"/>
    <mergeCell ref="D366:D370"/>
    <mergeCell ref="E366:E369"/>
    <mergeCell ref="E370:F370"/>
    <mergeCell ref="D371:D375"/>
    <mergeCell ref="E371:E374"/>
    <mergeCell ref="E375:F375"/>
    <mergeCell ref="D376:D380"/>
    <mergeCell ref="E376:E379"/>
    <mergeCell ref="E380:F380"/>
    <mergeCell ref="D381:D385"/>
    <mergeCell ref="E381:E384"/>
    <mergeCell ref="E385:F385"/>
    <mergeCell ref="D386:D390"/>
    <mergeCell ref="E386:E389"/>
    <mergeCell ref="E390:F390"/>
    <mergeCell ref="D391:D395"/>
    <mergeCell ref="E391:E394"/>
    <mergeCell ref="E395:F395"/>
    <mergeCell ref="D396:D400"/>
    <mergeCell ref="E396:E399"/>
    <mergeCell ref="E400:F400"/>
    <mergeCell ref="D296:D300"/>
    <mergeCell ref="E296:E299"/>
    <mergeCell ref="E300:F300"/>
    <mergeCell ref="D301:D305"/>
    <mergeCell ref="E301:E304"/>
    <mergeCell ref="E305:F305"/>
    <mergeCell ref="C306:C365"/>
    <mergeCell ref="D306:D310"/>
    <mergeCell ref="E306:E309"/>
    <mergeCell ref="E310:F310"/>
    <mergeCell ref="D311:D315"/>
    <mergeCell ref="E311:E314"/>
    <mergeCell ref="E315:F315"/>
    <mergeCell ref="D316:D320"/>
    <mergeCell ref="E316:E319"/>
    <mergeCell ref="E320:F320"/>
    <mergeCell ref="D321:D325"/>
    <mergeCell ref="E321:E324"/>
    <mergeCell ref="E325:F325"/>
    <mergeCell ref="D326:D330"/>
    <mergeCell ref="E326:E327"/>
    <mergeCell ref="E330:F330"/>
    <mergeCell ref="D331:D335"/>
    <mergeCell ref="E331:E334"/>
    <mergeCell ref="E276:E279"/>
    <mergeCell ref="E280:F280"/>
    <mergeCell ref="D281:D285"/>
    <mergeCell ref="E281:E284"/>
    <mergeCell ref="E285:F285"/>
    <mergeCell ref="D286:D290"/>
    <mergeCell ref="E286:E289"/>
    <mergeCell ref="E290:F290"/>
    <mergeCell ref="D291:D295"/>
    <mergeCell ref="E291:E294"/>
    <mergeCell ref="E295:F295"/>
    <mergeCell ref="D236:D240"/>
    <mergeCell ref="E236:E239"/>
    <mergeCell ref="E240:F240"/>
    <mergeCell ref="D241:D245"/>
    <mergeCell ref="E241:E244"/>
    <mergeCell ref="E245:F245"/>
    <mergeCell ref="C246:C305"/>
    <mergeCell ref="D246:D250"/>
    <mergeCell ref="E246:E249"/>
    <mergeCell ref="E250:F250"/>
    <mergeCell ref="D251:D255"/>
    <mergeCell ref="E251:E254"/>
    <mergeCell ref="E255:F255"/>
    <mergeCell ref="D256:D260"/>
    <mergeCell ref="E256:E259"/>
    <mergeCell ref="E260:F260"/>
    <mergeCell ref="D261:D265"/>
    <mergeCell ref="E261:E264"/>
    <mergeCell ref="E265:F265"/>
    <mergeCell ref="D266:D270"/>
    <mergeCell ref="E266:E269"/>
    <mergeCell ref="E270:F270"/>
    <mergeCell ref="D271:D275"/>
    <mergeCell ref="E271:E274"/>
    <mergeCell ref="E216:E219"/>
    <mergeCell ref="E220:F220"/>
    <mergeCell ref="D221:D225"/>
    <mergeCell ref="E221:E224"/>
    <mergeCell ref="E225:F225"/>
    <mergeCell ref="D226:D230"/>
    <mergeCell ref="E226:E229"/>
    <mergeCell ref="E230:F230"/>
    <mergeCell ref="D231:D235"/>
    <mergeCell ref="E231:E234"/>
    <mergeCell ref="E235:F235"/>
    <mergeCell ref="D181:D185"/>
    <mergeCell ref="E181:E184"/>
    <mergeCell ref="E185:F185"/>
    <mergeCell ref="B186:B365"/>
    <mergeCell ref="C186:C245"/>
    <mergeCell ref="D186:D190"/>
    <mergeCell ref="E186:E189"/>
    <mergeCell ref="E190:F190"/>
    <mergeCell ref="D191:D195"/>
    <mergeCell ref="E191:E194"/>
    <mergeCell ref="E195:F195"/>
    <mergeCell ref="D196:D200"/>
    <mergeCell ref="E196:E199"/>
    <mergeCell ref="E200:F200"/>
    <mergeCell ref="D201:D205"/>
    <mergeCell ref="E201:E204"/>
    <mergeCell ref="E205:F205"/>
    <mergeCell ref="D206:D210"/>
    <mergeCell ref="E206:E209"/>
    <mergeCell ref="E210:F210"/>
    <mergeCell ref="D211:D215"/>
    <mergeCell ref="E211:E214"/>
    <mergeCell ref="E215:F215"/>
    <mergeCell ref="D216:D220"/>
    <mergeCell ref="D166:D170"/>
    <mergeCell ref="E166:E169"/>
    <mergeCell ref="E170:F170"/>
    <mergeCell ref="D171:D175"/>
    <mergeCell ref="E171:E174"/>
    <mergeCell ref="E175:F175"/>
    <mergeCell ref="D176:D180"/>
    <mergeCell ref="E176:E179"/>
    <mergeCell ref="E180:F180"/>
    <mergeCell ref="E150:F150"/>
    <mergeCell ref="D151:D155"/>
    <mergeCell ref="E151:E154"/>
    <mergeCell ref="E155:F155"/>
    <mergeCell ref="D156:D160"/>
    <mergeCell ref="E156:E159"/>
    <mergeCell ref="E160:F160"/>
    <mergeCell ref="D161:D165"/>
    <mergeCell ref="E161:E164"/>
    <mergeCell ref="E165:F165"/>
    <mergeCell ref="E100:F100"/>
    <mergeCell ref="D101:D105"/>
    <mergeCell ref="E101:E104"/>
    <mergeCell ref="E105:F105"/>
    <mergeCell ref="D106:D110"/>
    <mergeCell ref="E106:E109"/>
    <mergeCell ref="E110:F110"/>
    <mergeCell ref="D111:D115"/>
    <mergeCell ref="E111:E114"/>
    <mergeCell ref="E115:F115"/>
    <mergeCell ref="D61:D65"/>
    <mergeCell ref="E61:E64"/>
    <mergeCell ref="E65:F65"/>
    <mergeCell ref="C66:C125"/>
    <mergeCell ref="D66:D70"/>
    <mergeCell ref="E66:E69"/>
    <mergeCell ref="E70:F70"/>
    <mergeCell ref="D71:D75"/>
    <mergeCell ref="E71:E74"/>
    <mergeCell ref="E75:F75"/>
    <mergeCell ref="D76:D80"/>
    <mergeCell ref="E76:E79"/>
    <mergeCell ref="E80:F80"/>
    <mergeCell ref="D81:D85"/>
    <mergeCell ref="E81:E84"/>
    <mergeCell ref="E85:F85"/>
    <mergeCell ref="D86:D90"/>
    <mergeCell ref="E86:E89"/>
    <mergeCell ref="E90:F90"/>
    <mergeCell ref="D91:D95"/>
    <mergeCell ref="E91:E94"/>
    <mergeCell ref="E95:F95"/>
    <mergeCell ref="D96:D100"/>
    <mergeCell ref="E96:E99"/>
    <mergeCell ref="D46:D50"/>
    <mergeCell ref="E46:E49"/>
    <mergeCell ref="E50:F50"/>
    <mergeCell ref="D51:D55"/>
    <mergeCell ref="E51:E54"/>
    <mergeCell ref="E55:F55"/>
    <mergeCell ref="D56:D60"/>
    <mergeCell ref="E56:E59"/>
    <mergeCell ref="E60:F60"/>
    <mergeCell ref="A2:M2"/>
    <mergeCell ref="A3:M3"/>
    <mergeCell ref="A4:A5"/>
    <mergeCell ref="B4:B5"/>
    <mergeCell ref="C4:C5"/>
    <mergeCell ref="D4:F5"/>
    <mergeCell ref="G4:L4"/>
    <mergeCell ref="M4:M5"/>
    <mergeCell ref="A6:A365"/>
    <mergeCell ref="B6:B185"/>
    <mergeCell ref="C6:C65"/>
    <mergeCell ref="D6:D10"/>
    <mergeCell ref="E6:E9"/>
    <mergeCell ref="E10:F10"/>
    <mergeCell ref="D11:D15"/>
    <mergeCell ref="E11:E14"/>
    <mergeCell ref="E15:F15"/>
    <mergeCell ref="D16:D20"/>
    <mergeCell ref="E16:E19"/>
    <mergeCell ref="E20:F20"/>
    <mergeCell ref="D21:D25"/>
    <mergeCell ref="E21:E24"/>
    <mergeCell ref="E25:F25"/>
    <mergeCell ref="D26:D30"/>
    <mergeCell ref="D116:D120"/>
    <mergeCell ref="E116:E119"/>
    <mergeCell ref="E120:F120"/>
    <mergeCell ref="D121:D125"/>
    <mergeCell ref="E121:E124"/>
    <mergeCell ref="E125:F125"/>
    <mergeCell ref="D126:D130"/>
    <mergeCell ref="E126:E129"/>
    <mergeCell ref="E130:F130"/>
    <mergeCell ref="E26:E29"/>
    <mergeCell ref="E30:F30"/>
    <mergeCell ref="D31:D35"/>
    <mergeCell ref="E31:E34"/>
    <mergeCell ref="E35:F35"/>
    <mergeCell ref="D36:D40"/>
    <mergeCell ref="E36:E39"/>
    <mergeCell ref="E40:F40"/>
    <mergeCell ref="D41:D45"/>
    <mergeCell ref="E41:E44"/>
    <mergeCell ref="E45:F45"/>
    <mergeCell ref="C126:C185"/>
    <mergeCell ref="E140:F140"/>
    <mergeCell ref="D141:D145"/>
    <mergeCell ref="E141:E144"/>
    <mergeCell ref="E145:F145"/>
    <mergeCell ref="D146:D150"/>
    <mergeCell ref="E275:F275"/>
    <mergeCell ref="D276:D280"/>
    <mergeCell ref="D346:D350"/>
    <mergeCell ref="E346:E349"/>
    <mergeCell ref="E350:F350"/>
    <mergeCell ref="D336:D340"/>
    <mergeCell ref="E336:E339"/>
    <mergeCell ref="E340:F340"/>
    <mergeCell ref="D341:D345"/>
    <mergeCell ref="E341:E344"/>
    <mergeCell ref="E345:F345"/>
    <mergeCell ref="E335:F335"/>
    <mergeCell ref="D131:D135"/>
    <mergeCell ref="E131:E134"/>
    <mergeCell ref="E135:F135"/>
    <mergeCell ref="D136:D140"/>
    <mergeCell ref="E136:E139"/>
    <mergeCell ref="E146:E149"/>
    <mergeCell ref="D351:D355"/>
    <mergeCell ref="E351:E354"/>
    <mergeCell ref="E355:F355"/>
    <mergeCell ref="E460:F460"/>
    <mergeCell ref="D461:D465"/>
    <mergeCell ref="E461:E464"/>
    <mergeCell ref="E465:F465"/>
    <mergeCell ref="E520:F520"/>
    <mergeCell ref="D521:D525"/>
    <mergeCell ref="E521:E524"/>
    <mergeCell ref="E525:F525"/>
    <mergeCell ref="D356:D360"/>
    <mergeCell ref="E356:E359"/>
    <mergeCell ref="E360:F360"/>
    <mergeCell ref="D361:D365"/>
    <mergeCell ref="E361:E364"/>
    <mergeCell ref="E365:F365"/>
    <mergeCell ref="D401:D405"/>
    <mergeCell ref="E401:E404"/>
    <mergeCell ref="E405:F405"/>
    <mergeCell ref="D406:D410"/>
    <mergeCell ref="E406:E409"/>
    <mergeCell ref="E410:F410"/>
    <mergeCell ref="D411:D415"/>
    <mergeCell ref="D541:D545"/>
    <mergeCell ref="D526:D530"/>
    <mergeCell ref="E526:E529"/>
    <mergeCell ref="E530:F530"/>
    <mergeCell ref="D531:D535"/>
    <mergeCell ref="E531:E534"/>
    <mergeCell ref="E535:F535"/>
    <mergeCell ref="D536:D540"/>
    <mergeCell ref="E536:E539"/>
    <mergeCell ref="E540:F540"/>
  </mergeCells>
  <hyperlinks>
    <hyperlink ref="A1" location="'Main Menu'!A1" display="Return to Main Menu"/>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424"/>
  <sheetViews>
    <sheetView showGridLines="0" zoomScale="90" zoomScaleNormal="90" workbookViewId="0">
      <pane xSplit="1" ySplit="5" topLeftCell="B6" activePane="bottomRight" state="frozen"/>
      <selection pane="topRight"/>
      <selection pane="bottomLeft"/>
      <selection pane="bottomRight"/>
    </sheetView>
  </sheetViews>
  <sheetFormatPr defaultRowHeight="15" x14ac:dyDescent="0.25"/>
  <cols>
    <col min="1" max="1" width="28" customWidth="1"/>
    <col min="2" max="3" width="9.5703125" customWidth="1"/>
    <col min="4" max="4" width="11.140625" customWidth="1"/>
    <col min="5" max="6" width="11" customWidth="1"/>
    <col min="7" max="10" width="10" customWidth="1"/>
    <col min="11" max="11" width="10.140625" customWidth="1"/>
    <col min="12" max="12" width="10.28515625" customWidth="1"/>
    <col min="13" max="13" width="10" customWidth="1"/>
    <col min="14" max="14" width="11.5703125" customWidth="1"/>
    <col min="15" max="15" width="12" customWidth="1"/>
    <col min="16" max="16" width="11" customWidth="1"/>
  </cols>
  <sheetData>
    <row r="1" spans="1:16" ht="34.5" customHeight="1" x14ac:dyDescent="0.25">
      <c r="A1" s="127" t="s">
        <v>34</v>
      </c>
    </row>
    <row r="3" spans="1:16" s="17" customFormat="1" ht="50.25" customHeight="1" x14ac:dyDescent="0.25">
      <c r="A3" s="158" t="s">
        <v>178</v>
      </c>
      <c r="B3" s="159" t="s">
        <v>211</v>
      </c>
      <c r="C3" s="158" t="s">
        <v>211</v>
      </c>
      <c r="D3" s="159" t="s">
        <v>198</v>
      </c>
      <c r="E3" s="158" t="s">
        <v>201</v>
      </c>
      <c r="F3" s="159" t="s">
        <v>202</v>
      </c>
      <c r="G3" s="158" t="s">
        <v>202</v>
      </c>
      <c r="H3" s="159" t="s">
        <v>202</v>
      </c>
      <c r="I3" s="158" t="s">
        <v>206</v>
      </c>
      <c r="J3" s="159" t="s">
        <v>206</v>
      </c>
      <c r="K3" s="158" t="s">
        <v>206</v>
      </c>
      <c r="L3" s="159" t="s">
        <v>207</v>
      </c>
      <c r="M3" s="158" t="s">
        <v>207</v>
      </c>
      <c r="N3" s="159" t="s">
        <v>281</v>
      </c>
      <c r="O3" s="158" t="s">
        <v>283</v>
      </c>
      <c r="P3" s="158" t="s">
        <v>284</v>
      </c>
    </row>
    <row r="4" spans="1:16" s="17" customFormat="1" ht="30" x14ac:dyDescent="0.25">
      <c r="A4" s="32" t="s">
        <v>210</v>
      </c>
      <c r="B4" s="39" t="s">
        <v>195</v>
      </c>
      <c r="C4" s="35" t="s">
        <v>197</v>
      </c>
      <c r="D4" s="455" t="s">
        <v>199</v>
      </c>
      <c r="E4" s="456" t="s">
        <v>199</v>
      </c>
      <c r="F4" s="458" t="s">
        <v>203</v>
      </c>
      <c r="G4" s="457" t="s">
        <v>204</v>
      </c>
      <c r="H4" s="458" t="s">
        <v>205</v>
      </c>
      <c r="I4" s="38" t="s">
        <v>203</v>
      </c>
      <c r="J4" s="34" t="s">
        <v>204</v>
      </c>
      <c r="K4" s="38" t="s">
        <v>205</v>
      </c>
      <c r="L4" s="37" t="s">
        <v>204</v>
      </c>
      <c r="M4" s="32" t="s">
        <v>205</v>
      </c>
      <c r="N4" s="46" t="s">
        <v>282</v>
      </c>
      <c r="O4" s="46" t="s">
        <v>282</v>
      </c>
      <c r="P4" s="46" t="s">
        <v>282</v>
      </c>
    </row>
    <row r="5" spans="1:16" s="22" customFormat="1" x14ac:dyDescent="0.25">
      <c r="A5" s="36" t="s">
        <v>212</v>
      </c>
      <c r="B5" s="31" t="s">
        <v>196</v>
      </c>
      <c r="C5" s="33" t="s">
        <v>196</v>
      </c>
      <c r="D5" s="31" t="s">
        <v>196</v>
      </c>
      <c r="E5" s="33" t="s">
        <v>196</v>
      </c>
      <c r="F5" s="31" t="s">
        <v>196</v>
      </c>
      <c r="G5" s="33" t="s">
        <v>196</v>
      </c>
      <c r="H5" s="31" t="s">
        <v>196</v>
      </c>
      <c r="I5" s="33" t="s">
        <v>196</v>
      </c>
      <c r="J5" s="31" t="s">
        <v>196</v>
      </c>
      <c r="K5" s="33" t="s">
        <v>196</v>
      </c>
      <c r="L5" s="31" t="s">
        <v>196</v>
      </c>
      <c r="M5" s="33" t="s">
        <v>196</v>
      </c>
      <c r="N5" s="31" t="s">
        <v>196</v>
      </c>
      <c r="O5" s="33" t="s">
        <v>196</v>
      </c>
      <c r="P5" s="33" t="s">
        <v>196</v>
      </c>
    </row>
    <row r="6" spans="1:16" s="22" customFormat="1" ht="15.75" customHeight="1" x14ac:dyDescent="0.25">
      <c r="A6" s="40" t="s">
        <v>208</v>
      </c>
      <c r="B6" s="295">
        <v>-1.8107232863128015</v>
      </c>
      <c r="C6" s="295">
        <v>-2.5994303157688057</v>
      </c>
      <c r="D6" s="296">
        <v>1.5966597621566312</v>
      </c>
      <c r="E6" s="296">
        <v>0.82489950905311471</v>
      </c>
      <c r="F6" s="296">
        <v>-1.7672742845571559</v>
      </c>
      <c r="G6" s="296">
        <v>-5.1874226180383571</v>
      </c>
      <c r="H6" s="296">
        <v>-2.1148808308112144</v>
      </c>
      <c r="I6" s="296">
        <v>-3.2873657944088577</v>
      </c>
      <c r="J6" s="296">
        <v>-3.5</v>
      </c>
      <c r="K6" s="296">
        <v>-2.852581065154729</v>
      </c>
      <c r="L6" s="296">
        <v>-5.782921853465024</v>
      </c>
      <c r="M6" s="296">
        <v>-1.8984883873449891</v>
      </c>
      <c r="N6" s="296">
        <v>2.238</v>
      </c>
      <c r="O6" s="296">
        <v>1.8844000000000001</v>
      </c>
      <c r="P6" s="296">
        <v>1.9587707048757768</v>
      </c>
    </row>
    <row r="7" spans="1:16" s="22" customFormat="1" x14ac:dyDescent="0.25">
      <c r="A7" s="41" t="s">
        <v>164</v>
      </c>
      <c r="B7" s="295">
        <v>-0.5255330570699408</v>
      </c>
      <c r="C7" s="295">
        <v>-0.83832211862155603</v>
      </c>
      <c r="D7" s="296">
        <v>-0.20902555078615173</v>
      </c>
      <c r="E7" s="296">
        <v>0</v>
      </c>
      <c r="F7" s="296">
        <v>0</v>
      </c>
      <c r="G7" s="296">
        <v>0</v>
      </c>
      <c r="H7" s="296">
        <v>0</v>
      </c>
      <c r="I7" s="296">
        <v>0</v>
      </c>
      <c r="J7" s="296">
        <v>0</v>
      </c>
      <c r="K7" s="296">
        <v>0</v>
      </c>
      <c r="L7" s="296">
        <v>0</v>
      </c>
      <c r="M7" s="296">
        <v>0</v>
      </c>
      <c r="N7" s="431">
        <v>0.15754806185335099</v>
      </c>
      <c r="O7" s="296">
        <v>-0.21140196017927415</v>
      </c>
      <c r="P7" s="296">
        <v>-0.4005109205045248</v>
      </c>
    </row>
    <row r="8" spans="1:16" s="22" customFormat="1" x14ac:dyDescent="0.25">
      <c r="A8" s="42" t="s">
        <v>165</v>
      </c>
      <c r="B8" s="295">
        <v>0.54343617169795655</v>
      </c>
      <c r="C8" s="295">
        <v>-7.551502548560525E-2</v>
      </c>
      <c r="D8" s="296">
        <v>-6.8663711213040574E-2</v>
      </c>
      <c r="E8" s="296">
        <v>-3.1176680294200926E-2</v>
      </c>
      <c r="F8" s="296">
        <v>0.6823733123580753</v>
      </c>
      <c r="G8" s="296">
        <v>0.62763254285324743</v>
      </c>
      <c r="H8" s="431">
        <v>1.8217292141499999E-2</v>
      </c>
      <c r="I8" s="431">
        <v>0.73839267146059995</v>
      </c>
      <c r="J8" s="296">
        <v>7.8630732427311292E-2</v>
      </c>
      <c r="K8" s="296">
        <v>-0.11111716707701046</v>
      </c>
      <c r="L8" s="296">
        <v>0</v>
      </c>
      <c r="M8" s="296">
        <v>0</v>
      </c>
      <c r="N8" s="296">
        <v>4.4402151766664733E-2</v>
      </c>
      <c r="O8" s="296">
        <v>-7.0011688759259116E-2</v>
      </c>
      <c r="P8" s="296">
        <v>-8.3633151979011586E-3</v>
      </c>
    </row>
    <row r="9" spans="1:16" s="22" customFormat="1" x14ac:dyDescent="0.25">
      <c r="A9" s="42" t="s">
        <v>166</v>
      </c>
      <c r="B9" s="295">
        <v>-0.13128462323189674</v>
      </c>
      <c r="C9" s="295">
        <v>-0.12054265206689325</v>
      </c>
      <c r="D9" s="296">
        <v>1.849511412630564E-2</v>
      </c>
      <c r="E9" s="431">
        <v>0.13</v>
      </c>
      <c r="F9" s="296">
        <v>-7.5117631436607213E-2</v>
      </c>
      <c r="G9" s="296">
        <v>-1.9606207237061777E-2</v>
      </c>
      <c r="H9" s="431">
        <v>-0.138588810207281</v>
      </c>
      <c r="I9" s="431">
        <v>-3.6052367731703998E-2</v>
      </c>
      <c r="J9" s="296">
        <v>-9.1567855636598666E-2</v>
      </c>
      <c r="K9" s="296">
        <v>-0.20607114253475525</v>
      </c>
      <c r="L9" s="296">
        <v>0</v>
      </c>
      <c r="M9" s="296">
        <v>0</v>
      </c>
      <c r="N9" s="296">
        <v>-5.1226706795578385E-2</v>
      </c>
      <c r="O9" s="296">
        <v>-2.7477982829790335E-2</v>
      </c>
      <c r="P9" s="296">
        <v>-9.9951371141342005E-2</v>
      </c>
    </row>
    <row r="10" spans="1:16" s="22" customFormat="1" x14ac:dyDescent="0.25">
      <c r="A10" s="42" t="s">
        <v>167</v>
      </c>
      <c r="B10" s="295">
        <v>-0.40549485551660358</v>
      </c>
      <c r="C10" s="295">
        <v>-0.32433024446830944</v>
      </c>
      <c r="D10" s="296">
        <v>5.7723797587294387E-2</v>
      </c>
      <c r="E10" s="296">
        <v>-7.6436325159708746E-2</v>
      </c>
      <c r="F10" s="296">
        <v>-1.3190700656974801E-2</v>
      </c>
      <c r="G10" s="296">
        <v>-0.34196455784474517</v>
      </c>
      <c r="H10" s="431">
        <v>-0.51109700000593805</v>
      </c>
      <c r="I10" s="296">
        <v>2.9141822603748501E-3</v>
      </c>
      <c r="J10" s="296">
        <v>0.15424745470624907</v>
      </c>
      <c r="K10" s="296">
        <v>-0.26360821542774576</v>
      </c>
      <c r="L10" s="296">
        <v>0</v>
      </c>
      <c r="M10" s="296">
        <v>0</v>
      </c>
      <c r="N10" s="296">
        <v>-8.3350446303922576E-2</v>
      </c>
      <c r="O10" s="296">
        <v>-8.8344643591116032E-2</v>
      </c>
      <c r="P10" s="296">
        <v>-0.15412163334933834</v>
      </c>
    </row>
    <row r="11" spans="1:16" s="22" customFormat="1" x14ac:dyDescent="0.25">
      <c r="A11" s="43" t="s">
        <v>168</v>
      </c>
      <c r="B11" s="295">
        <v>0.18946095649068193</v>
      </c>
      <c r="C11" s="295">
        <v>0.20165437616894788</v>
      </c>
      <c r="D11" s="296">
        <v>-4.230922199652932E-3</v>
      </c>
      <c r="E11" s="431">
        <v>-0.123129430953708</v>
      </c>
      <c r="F11" s="431">
        <v>0.52988878326048905</v>
      </c>
      <c r="G11" s="296">
        <v>-0.5193703725215999</v>
      </c>
      <c r="H11" s="296">
        <v>-0.6246182232730616</v>
      </c>
      <c r="I11" s="296">
        <v>-0.60691725200505786</v>
      </c>
      <c r="J11" s="296">
        <v>0.10894255372669531</v>
      </c>
      <c r="K11" s="296">
        <v>-0.3641716105396528</v>
      </c>
      <c r="L11" s="296">
        <v>0</v>
      </c>
      <c r="M11" s="296">
        <v>0</v>
      </c>
      <c r="N11" s="296">
        <v>-0.1778509873229942</v>
      </c>
      <c r="O11" s="296">
        <v>-0.20374282359143564</v>
      </c>
      <c r="P11" s="296">
        <v>-0.1397506680539598</v>
      </c>
    </row>
    <row r="12" spans="1:16" s="22" customFormat="1" x14ac:dyDescent="0.25">
      <c r="A12" s="41" t="s">
        <v>169</v>
      </c>
      <c r="B12" s="295">
        <v>0.83388119545392936</v>
      </c>
      <c r="C12" s="295">
        <v>-1.0582717354114097</v>
      </c>
      <c r="D12" s="296">
        <v>-2.7874471864375805E-2</v>
      </c>
      <c r="E12" s="296">
        <v>-7.0262369935652517E-3</v>
      </c>
      <c r="F12" s="431">
        <v>0.733385972891613</v>
      </c>
      <c r="G12" s="431">
        <v>-0.14662196467479999</v>
      </c>
      <c r="H12" s="431">
        <v>-0.30186305357201099</v>
      </c>
      <c r="I12" s="431">
        <v>0.485035036003515</v>
      </c>
      <c r="J12" s="431">
        <v>-0.53282598118044799</v>
      </c>
      <c r="K12" s="296">
        <v>-0.35643762454243133</v>
      </c>
      <c r="L12" s="296">
        <v>-0.23482170193249333</v>
      </c>
      <c r="M12" s="296">
        <v>-7.1473732771516916E-3</v>
      </c>
      <c r="N12" s="296">
        <v>4.1696590776879865E-2</v>
      </c>
      <c r="O12" s="296">
        <v>-6.0778929420707596E-2</v>
      </c>
      <c r="P12" s="296">
        <v>8.0924268803115301E-3</v>
      </c>
    </row>
    <row r="13" spans="1:16" s="22" customFormat="1" x14ac:dyDescent="0.25">
      <c r="A13" s="42" t="s">
        <v>170</v>
      </c>
      <c r="B13" s="295">
        <v>-0.45207346754054073</v>
      </c>
      <c r="C13" s="295">
        <v>-0.43318770757990455</v>
      </c>
      <c r="D13" s="431">
        <v>9.5009054053354997E-2</v>
      </c>
      <c r="E13" s="296">
        <v>-4.029336686426354E-2</v>
      </c>
      <c r="F13" s="431">
        <v>-0.105707769547963</v>
      </c>
      <c r="G13" s="296">
        <v>1.8355302028446256E-2</v>
      </c>
      <c r="H13" s="431">
        <v>-0.30871396072144403</v>
      </c>
      <c r="I13" s="296">
        <v>-5.2672519584427389E-2</v>
      </c>
      <c r="J13" s="431">
        <v>0.26931071175198601</v>
      </c>
      <c r="K13" s="296">
        <v>4.0251359262759405E-3</v>
      </c>
      <c r="L13" s="296">
        <v>0</v>
      </c>
      <c r="M13" s="296">
        <v>0</v>
      </c>
      <c r="N13" s="296">
        <v>-4.9539516299244156E-2</v>
      </c>
      <c r="O13" s="296">
        <v>-5.9171958846867476E-2</v>
      </c>
      <c r="P13" s="296">
        <v>3.5117680492147418E-2</v>
      </c>
    </row>
    <row r="14" spans="1:16" s="22" customFormat="1" x14ac:dyDescent="0.25">
      <c r="A14" s="43" t="s">
        <v>171</v>
      </c>
      <c r="B14" s="295">
        <v>0.66986596695573863</v>
      </c>
      <c r="C14" s="295">
        <v>0.19035365086192507</v>
      </c>
      <c r="D14" s="296">
        <v>9.515506237392576E-3</v>
      </c>
      <c r="E14" s="296">
        <v>-7.6258453769652733E-3</v>
      </c>
      <c r="F14" s="431">
        <v>0.51178866175163495</v>
      </c>
      <c r="G14" s="431">
        <v>-1.8175974112839999E-2</v>
      </c>
      <c r="H14" s="431">
        <v>-0.120578168728976</v>
      </c>
      <c r="I14" s="431">
        <v>0.21493173591793899</v>
      </c>
      <c r="J14" s="431">
        <v>-0.22709821592443799</v>
      </c>
      <c r="K14" s="296">
        <v>-0.75640054455605266</v>
      </c>
      <c r="L14" s="296">
        <v>0</v>
      </c>
      <c r="M14" s="296">
        <v>0</v>
      </c>
      <c r="N14" s="296">
        <v>3.9344829720031012E-2</v>
      </c>
      <c r="O14" s="296">
        <v>-5.8018654287140183E-2</v>
      </c>
      <c r="P14" s="296">
        <v>4.7381605351750317E-2</v>
      </c>
    </row>
    <row r="15" spans="1:16" s="22" customFormat="1" x14ac:dyDescent="0.25">
      <c r="A15" s="41" t="s">
        <v>172</v>
      </c>
      <c r="B15" s="295">
        <v>0.59180349783971664</v>
      </c>
      <c r="C15" s="295">
        <v>0.99876696405176091</v>
      </c>
      <c r="D15" s="296">
        <v>-8.8379490757115858E-3</v>
      </c>
      <c r="E15" s="296">
        <v>-2.727244457235891E-2</v>
      </c>
      <c r="F15" s="431">
        <v>0.25340628841393797</v>
      </c>
      <c r="G15" s="431">
        <v>0.57768436709530901</v>
      </c>
      <c r="H15" s="431">
        <v>-0.25324273383652501</v>
      </c>
      <c r="I15" s="296">
        <v>0.107435495315062</v>
      </c>
      <c r="J15" s="431">
        <v>0.14337755542595901</v>
      </c>
      <c r="K15" s="296">
        <v>-0.36603988152259592</v>
      </c>
      <c r="L15" s="296">
        <v>0.89600332108675562</v>
      </c>
      <c r="M15" s="296">
        <v>0.10212076759101371</v>
      </c>
      <c r="N15" s="296">
        <v>5.2350718613050851E-2</v>
      </c>
      <c r="O15" s="296">
        <v>-2.8572271523795148E-3</v>
      </c>
      <c r="P15" s="296">
        <v>7.8171552593451577E-4</v>
      </c>
    </row>
    <row r="16" spans="1:16" s="22" customFormat="1" x14ac:dyDescent="0.25">
      <c r="A16" s="42" t="s">
        <v>173</v>
      </c>
      <c r="B16" s="295">
        <v>0.29213558690100422</v>
      </c>
      <c r="C16" s="295">
        <v>-0.30859784250796635</v>
      </c>
      <c r="D16" s="296">
        <v>-7.3432710538954157E-2</v>
      </c>
      <c r="E16" s="296">
        <v>3.5031385373069789E-2</v>
      </c>
      <c r="F16" s="296">
        <v>-9.4865826448709955E-3</v>
      </c>
      <c r="G16" s="296">
        <v>-4.9941863710836462E-2</v>
      </c>
      <c r="H16" s="431">
        <v>5.1910308033917003E-2</v>
      </c>
      <c r="I16" s="296">
        <v>0.17573095839563471</v>
      </c>
      <c r="J16" s="431">
        <v>0.14938940916316201</v>
      </c>
      <c r="K16" s="296">
        <v>3.5164700802864962E-2</v>
      </c>
      <c r="L16" s="296">
        <v>0</v>
      </c>
      <c r="M16" s="296">
        <v>0</v>
      </c>
      <c r="N16" s="296">
        <v>2.2307982597752997E-2</v>
      </c>
      <c r="O16" s="296">
        <v>9.7385842649763049E-2</v>
      </c>
      <c r="P16" s="296">
        <v>0.24010086544187767</v>
      </c>
    </row>
    <row r="17" spans="1:16" s="22" customFormat="1" x14ac:dyDescent="0.25">
      <c r="A17" s="43" t="s">
        <v>174</v>
      </c>
      <c r="B17" s="295">
        <v>0.36896883028672839</v>
      </c>
      <c r="C17" s="295">
        <v>0.43526664657724895</v>
      </c>
      <c r="D17" s="296">
        <v>-1.6732603630372302E-2</v>
      </c>
      <c r="E17" s="296">
        <v>2.0119817357875141E-2</v>
      </c>
      <c r="F17" s="431">
        <v>0.28687029153718202</v>
      </c>
      <c r="G17" s="431">
        <v>0.43656088211969402</v>
      </c>
      <c r="H17" s="431">
        <v>1.4799316775371E-2</v>
      </c>
      <c r="I17" s="296">
        <v>-1.1842356221008413E-2</v>
      </c>
      <c r="J17" s="296">
        <v>0.25635318323346556</v>
      </c>
      <c r="K17" s="296">
        <v>0.19472587618701437</v>
      </c>
      <c r="L17" s="296">
        <v>0.27076138525756444</v>
      </c>
      <c r="M17" s="296">
        <v>0.10738973398662897</v>
      </c>
      <c r="N17" s="296">
        <v>-8.1764895234034511E-3</v>
      </c>
      <c r="O17" s="296">
        <v>-4.3923403919908351E-2</v>
      </c>
      <c r="P17" s="296">
        <v>-0.2390006871374285</v>
      </c>
    </row>
    <row r="18" spans="1:16" s="22" customFormat="1" x14ac:dyDescent="0.25">
      <c r="A18" s="40" t="s">
        <v>265</v>
      </c>
      <c r="B18" s="295">
        <v>-0.59726420078522813</v>
      </c>
      <c r="C18" s="295">
        <v>-1.1332498462999712</v>
      </c>
      <c r="D18" s="431">
        <v>-0.49294552413779202</v>
      </c>
      <c r="E18" s="296">
        <v>0</v>
      </c>
      <c r="F18" s="431">
        <v>-0.122985078798689</v>
      </c>
      <c r="G18" s="431">
        <v>-0.226162511328525</v>
      </c>
      <c r="H18" s="431">
        <v>-0.54811014408144598</v>
      </c>
      <c r="I18" s="296">
        <v>0.01</v>
      </c>
      <c r="J18" s="296">
        <v>0</v>
      </c>
      <c r="K18" s="296">
        <v>0</v>
      </c>
      <c r="L18" s="296">
        <v>0</v>
      </c>
      <c r="M18" s="296">
        <v>0</v>
      </c>
      <c r="N18" s="431">
        <v>0.30370185577065201</v>
      </c>
      <c r="O18" s="431">
        <v>0.109954979897641</v>
      </c>
      <c r="P18" s="296">
        <v>0.27742133098903615</v>
      </c>
    </row>
    <row r="19" spans="1:16" s="22" customFormat="1" x14ac:dyDescent="0.25">
      <c r="A19" s="41" t="s">
        <v>175</v>
      </c>
      <c r="B19" s="295">
        <v>1.1108358395390858</v>
      </c>
      <c r="C19" s="295">
        <v>1.6605705245758151</v>
      </c>
      <c r="D19" s="296">
        <v>-3.1027877307270413E-2</v>
      </c>
      <c r="E19" s="296">
        <v>-1.6111189013027685E-2</v>
      </c>
      <c r="F19" s="431">
        <v>0.13897061931902699</v>
      </c>
      <c r="G19" s="431">
        <v>0.70786695049788395</v>
      </c>
      <c r="H19" s="431">
        <v>-0.53129460581399801</v>
      </c>
      <c r="I19" s="431">
        <v>0.43212786167266998</v>
      </c>
      <c r="J19" s="431">
        <v>-9.8783320544465994E-2</v>
      </c>
      <c r="K19" s="296">
        <v>-0.21477674933077939</v>
      </c>
      <c r="L19" s="296">
        <v>0.16603556057103097</v>
      </c>
      <c r="M19" s="296">
        <v>0.24768201867367193</v>
      </c>
      <c r="N19" s="296">
        <v>-7.3933166459548352E-2</v>
      </c>
      <c r="O19" s="296">
        <v>-6.6504029104979184E-2</v>
      </c>
      <c r="P19" s="296">
        <v>-0.11873099116477551</v>
      </c>
    </row>
    <row r="20" spans="1:16" s="22" customFormat="1" x14ac:dyDescent="0.25">
      <c r="A20" s="43" t="s">
        <v>176</v>
      </c>
      <c r="B20" s="295">
        <v>-0.70083949252945132</v>
      </c>
      <c r="C20" s="295">
        <v>-0.63535642166696149</v>
      </c>
      <c r="D20" s="296">
        <v>6.5220506685576926E-2</v>
      </c>
      <c r="E20" s="296">
        <v>-7.9403149542208642E-3</v>
      </c>
      <c r="F20" s="431">
        <v>0.14778389864035901</v>
      </c>
      <c r="G20" s="431">
        <v>0.47640137991903098</v>
      </c>
      <c r="H20" s="431">
        <v>5.8450639992679E-2</v>
      </c>
      <c r="I20" s="296">
        <v>-3.851101380549684E-2</v>
      </c>
      <c r="J20" s="296">
        <v>0.40639375351693802</v>
      </c>
      <c r="K20" s="431">
        <v>0.41905837826939601</v>
      </c>
      <c r="L20" s="296">
        <v>1.0669758985240434</v>
      </c>
      <c r="M20" s="296">
        <v>-2.5919302795535663E-2</v>
      </c>
      <c r="N20" s="296">
        <v>4.2597695708002009E-2</v>
      </c>
      <c r="O20" s="296">
        <v>4.7491590058206308E-2</v>
      </c>
      <c r="P20" s="296">
        <v>7.3430821110020195E-2</v>
      </c>
    </row>
    <row r="21" spans="1:16" s="22" customFormat="1" x14ac:dyDescent="0.25">
      <c r="A21" s="41" t="s">
        <v>12</v>
      </c>
      <c r="B21" s="295">
        <v>0.69041144203313143</v>
      </c>
      <c r="C21" s="295">
        <v>1.7573658297040067</v>
      </c>
      <c r="D21" s="296">
        <v>8.0965871568263598E-3</v>
      </c>
      <c r="E21" s="296">
        <v>-1.2932416583629988E-2</v>
      </c>
      <c r="F21" s="296">
        <v>-9.7808715521896697E-2</v>
      </c>
      <c r="G21" s="296">
        <v>1.5005158327017085</v>
      </c>
      <c r="H21" s="431">
        <v>8.0169286868067999E-2</v>
      </c>
      <c r="I21" s="296">
        <v>-1.2216105698753484E-2</v>
      </c>
      <c r="J21" s="431">
        <v>0.28618242144556</v>
      </c>
      <c r="K21" s="431">
        <v>0.60212956637543402</v>
      </c>
      <c r="L21" s="296">
        <v>1.6309957867107219</v>
      </c>
      <c r="M21" s="296">
        <v>0.37668602318847666</v>
      </c>
      <c r="N21" s="296">
        <v>-0.10508153493961897</v>
      </c>
      <c r="O21" s="296">
        <v>-0.10750913059635994</v>
      </c>
      <c r="P21" s="296">
        <v>-0.22922550043183498</v>
      </c>
    </row>
    <row r="22" spans="1:16" s="22" customFormat="1" x14ac:dyDescent="0.25">
      <c r="A22" s="43" t="s">
        <v>10</v>
      </c>
      <c r="B22" s="295">
        <v>-0.52753782183706499</v>
      </c>
      <c r="C22" s="295">
        <v>-0.59902151888654753</v>
      </c>
      <c r="D22" s="296">
        <v>-5.244437297081931E-2</v>
      </c>
      <c r="E22" s="296">
        <v>-7.9642639754096036E-4</v>
      </c>
      <c r="F22" s="431">
        <v>0.27467184629367603</v>
      </c>
      <c r="G22" s="431">
        <v>-8.3912838827993996E-2</v>
      </c>
      <c r="H22" s="431">
        <v>-0.58578015258787797</v>
      </c>
      <c r="I22" s="296">
        <v>0.19813774821217126</v>
      </c>
      <c r="J22" s="431">
        <v>-2.5521006790655698</v>
      </c>
      <c r="K22" s="431">
        <v>-0.39264065146074201</v>
      </c>
      <c r="L22" s="296">
        <v>-1.5918051321527373</v>
      </c>
      <c r="M22" s="296">
        <v>-0.3591727786417539</v>
      </c>
      <c r="N22" s="296">
        <v>0.22871063534418837</v>
      </c>
      <c r="O22" s="296">
        <v>0.2949219344246366</v>
      </c>
      <c r="P22" s="296">
        <v>0.2949219344246366</v>
      </c>
    </row>
    <row r="23" spans="1:16" s="419" customFormat="1" x14ac:dyDescent="0.25">
      <c r="A23" s="429" t="s">
        <v>260</v>
      </c>
      <c r="B23" s="430">
        <v>0.106115712175986</v>
      </c>
      <c r="C23" s="433">
        <v>-0.23233780880877608</v>
      </c>
      <c r="D23" s="431">
        <v>-0.18628085208200701</v>
      </c>
      <c r="E23" s="431">
        <v>0.42138443675256099</v>
      </c>
      <c r="F23" s="431">
        <v>-1.6109332215947399E-2</v>
      </c>
      <c r="G23" s="431">
        <v>0.80214635097973996</v>
      </c>
      <c r="H23" s="431">
        <v>-0.81695327648868499</v>
      </c>
      <c r="I23" s="431">
        <v>0.72084830269925404</v>
      </c>
      <c r="J23" s="431">
        <v>-0.47281784462322402</v>
      </c>
      <c r="K23" s="431">
        <v>-0.14704752766152199</v>
      </c>
      <c r="L23" s="431">
        <v>0.66018627305752398</v>
      </c>
      <c r="M23" s="432">
        <v>-0.32539104408890546</v>
      </c>
      <c r="N23" s="431">
        <v>0.10611501904875099</v>
      </c>
      <c r="O23" s="431">
        <v>6.7815940179768899E-2</v>
      </c>
      <c r="P23" s="296">
        <v>0.67780104987052503</v>
      </c>
    </row>
    <row r="24" spans="1:16" s="22" customFormat="1" x14ac:dyDescent="0.25">
      <c r="A24" s="42" t="s">
        <v>187</v>
      </c>
      <c r="B24" s="295">
        <v>0.13474995538702525</v>
      </c>
      <c r="C24" s="295">
        <v>-4.2426468552596144E-2</v>
      </c>
      <c r="D24" s="296">
        <v>-3.4702835625101355E-5</v>
      </c>
      <c r="E24" s="296">
        <v>-8.3915323608894837E-2</v>
      </c>
      <c r="F24" s="296">
        <v>0.17067530724291663</v>
      </c>
      <c r="G24" s="296">
        <v>0.44431908259510616</v>
      </c>
      <c r="H24" s="296">
        <v>0.26370489018380772</v>
      </c>
      <c r="I24" s="296">
        <v>-0.17607361567460464</v>
      </c>
      <c r="J24" s="296">
        <v>-5.533127335711369E-3</v>
      </c>
      <c r="K24" s="296">
        <v>-0.51052287599247059</v>
      </c>
      <c r="L24" s="296">
        <v>-0.99057874642613497</v>
      </c>
      <c r="M24" s="296">
        <v>0.32506861229795947</v>
      </c>
      <c r="N24" s="296">
        <v>0.11642498139823289</v>
      </c>
      <c r="O24" s="296">
        <v>-0.12051137770735783</v>
      </c>
      <c r="P24" s="296">
        <v>-2.4720415240326282E-2</v>
      </c>
    </row>
    <row r="25" spans="1:16" s="22" customFormat="1" x14ac:dyDescent="0.25">
      <c r="A25" s="42" t="s">
        <v>188</v>
      </c>
      <c r="B25" s="295">
        <v>0.64994790010050107</v>
      </c>
      <c r="C25" s="295">
        <v>-0.13323980416294498</v>
      </c>
      <c r="D25" s="296">
        <v>0.12673738285622113</v>
      </c>
      <c r="E25" s="296">
        <v>-7.7290063158832703E-2</v>
      </c>
      <c r="F25" s="296">
        <v>-0.13070466551007628</v>
      </c>
      <c r="G25" s="296">
        <v>-0.80862385323948338</v>
      </c>
      <c r="H25" s="296">
        <v>-0.16269036684116622</v>
      </c>
      <c r="I25" s="296">
        <v>-0.19696866424512036</v>
      </c>
      <c r="J25" s="296">
        <v>-0.95676211811226264</v>
      </c>
      <c r="K25" s="296">
        <v>-0.29613203960193651</v>
      </c>
      <c r="L25" s="296">
        <v>-20</v>
      </c>
      <c r="M25" s="296">
        <v>-0.66118802021134881</v>
      </c>
      <c r="N25" s="296">
        <v>9.5164409050695932E-3</v>
      </c>
      <c r="O25" s="296">
        <v>2.0882016221232529E-2</v>
      </c>
      <c r="P25" s="296">
        <v>0.47813826211029387</v>
      </c>
    </row>
    <row r="26" spans="1:16" s="22" customFormat="1" x14ac:dyDescent="0.25">
      <c r="A26" s="42" t="s">
        <v>189</v>
      </c>
      <c r="B26" s="295">
        <v>0.17175904014894408</v>
      </c>
      <c r="C26" s="295">
        <v>-0.21340415464459159</v>
      </c>
      <c r="D26" s="296">
        <v>-5.5532203758261713E-2</v>
      </c>
      <c r="E26" s="296">
        <v>5.2077835132560944E-3</v>
      </c>
      <c r="F26" s="296">
        <v>1.2731611608370505E-2</v>
      </c>
      <c r="G26" s="296">
        <v>-0.36318402727118526</v>
      </c>
      <c r="H26" s="296">
        <v>-8.927195240751104E-2</v>
      </c>
      <c r="I26" s="296">
        <v>-9.5239862908292464E-2</v>
      </c>
      <c r="J26" s="296">
        <v>-0.72043432979334154</v>
      </c>
      <c r="K26" s="296">
        <v>-0.33410009682459396</v>
      </c>
      <c r="L26" s="296">
        <v>-0.91077595742807183</v>
      </c>
      <c r="M26" s="296">
        <v>-0.40088965142327404</v>
      </c>
      <c r="N26" s="296">
        <v>9.7088897420253201E-2</v>
      </c>
      <c r="O26" s="296">
        <v>2.3205105879273032E-3</v>
      </c>
      <c r="P26" s="296">
        <v>0.19139394341809962</v>
      </c>
    </row>
    <row r="27" spans="1:16" s="22" customFormat="1" x14ac:dyDescent="0.25">
      <c r="A27" s="42" t="s">
        <v>190</v>
      </c>
      <c r="B27" s="295">
        <v>-0.23498903041427957</v>
      </c>
      <c r="C27" s="295">
        <v>0.36191147942596802</v>
      </c>
      <c r="D27" s="296">
        <v>-8.3176845733589536E-2</v>
      </c>
      <c r="E27" s="296">
        <v>-8.9643470574474731E-3</v>
      </c>
      <c r="F27" s="296">
        <v>6.2953745813579806E-2</v>
      </c>
      <c r="G27" s="296">
        <v>0.52506582202925622</v>
      </c>
      <c r="H27" s="296">
        <v>0.4601299302779886</v>
      </c>
      <c r="I27" s="296">
        <v>-1.1188025493107299E-2</v>
      </c>
      <c r="J27" s="296">
        <v>1.0255391550841333</v>
      </c>
      <c r="K27" s="296">
        <v>-0.25107795582598158</v>
      </c>
      <c r="L27" s="296">
        <v>0.19101326628460458</v>
      </c>
      <c r="M27" s="296">
        <v>0.7103497485745478</v>
      </c>
      <c r="N27" s="296">
        <v>0.14967501040127953</v>
      </c>
      <c r="O27" s="296">
        <v>0.10829231500068122</v>
      </c>
      <c r="P27" s="296">
        <v>6.0704481074343272E-2</v>
      </c>
    </row>
    <row r="28" spans="1:16" s="22" customFormat="1" x14ac:dyDescent="0.25">
      <c r="A28" s="44" t="s">
        <v>94</v>
      </c>
      <c r="B28" s="297">
        <v>0</v>
      </c>
      <c r="C28" s="298">
        <v>0</v>
      </c>
      <c r="D28" s="296">
        <v>-0.10993785045079991</v>
      </c>
      <c r="E28" s="296">
        <v>-7.8188732699637734E-2</v>
      </c>
      <c r="F28" s="431">
        <v>3.55319407459961</v>
      </c>
      <c r="G28" s="431">
        <v>6.8610403476317696</v>
      </c>
      <c r="H28" s="431">
        <v>3.2531940745996102</v>
      </c>
      <c r="I28" s="296">
        <v>3.175505470887714</v>
      </c>
      <c r="J28" s="296">
        <v>5.1567977490315071</v>
      </c>
      <c r="K28" s="431">
        <v>3.6643836938563701</v>
      </c>
      <c r="L28" s="296">
        <v>3.2581698219127921</v>
      </c>
      <c r="M28" s="296">
        <v>1.8282315351204006</v>
      </c>
      <c r="N28" s="296">
        <v>0.10111619888155519</v>
      </c>
      <c r="O28" s="296">
        <v>-0.27426484634182202</v>
      </c>
      <c r="P28" s="296">
        <v>-0.29359188639826528</v>
      </c>
    </row>
    <row r="29" spans="1:16" s="22" customFormat="1" x14ac:dyDescent="0.25">
      <c r="A29" s="45" t="s">
        <v>200</v>
      </c>
      <c r="B29" s="299">
        <v>0</v>
      </c>
      <c r="C29" s="300">
        <v>0</v>
      </c>
      <c r="D29" s="296">
        <v>-1.6473644106255819E-2</v>
      </c>
      <c r="E29" s="296">
        <v>-2.1343466450718558E-2</v>
      </c>
      <c r="F29" s="431">
        <v>1.0951857248072401</v>
      </c>
      <c r="G29" s="431">
        <v>3.1942772347409898</v>
      </c>
      <c r="H29" s="431">
        <v>0.58518572480724695</v>
      </c>
      <c r="I29" s="296">
        <v>1.3333944368434199</v>
      </c>
      <c r="J29" s="296">
        <v>1.9335271998287795</v>
      </c>
      <c r="K29" s="296">
        <v>1.1789970723272631</v>
      </c>
      <c r="L29" s="296">
        <v>1.1120045106234384</v>
      </c>
      <c r="M29" s="296">
        <v>0.38661433120514044</v>
      </c>
      <c r="N29" s="296">
        <v>-2.5557611903595675E-2</v>
      </c>
      <c r="O29" s="296">
        <v>-5.5148573889439174E-2</v>
      </c>
      <c r="P29" s="296">
        <v>-0.17126550114252656</v>
      </c>
    </row>
    <row r="30" spans="1:16" s="22" customFormat="1" x14ac:dyDescent="0.25">
      <c r="A30" s="40" t="s">
        <v>193</v>
      </c>
      <c r="B30" s="301">
        <v>0</v>
      </c>
      <c r="C30" s="298">
        <v>0</v>
      </c>
      <c r="D30" s="301">
        <v>0</v>
      </c>
      <c r="E30" s="298">
        <v>0</v>
      </c>
      <c r="F30" s="431">
        <v>0.142549078142054</v>
      </c>
      <c r="G30" s="431">
        <v>0.13204527040231401</v>
      </c>
      <c r="H30" s="296">
        <v>0.12372518494897483</v>
      </c>
      <c r="I30" s="296">
        <v>4.6816342647823753E-3</v>
      </c>
      <c r="J30" s="296">
        <v>0</v>
      </c>
      <c r="K30" s="296">
        <v>0.10170273573946913</v>
      </c>
      <c r="L30" s="296">
        <v>9.0445185822319016E-2</v>
      </c>
      <c r="M30" s="296">
        <v>8.8713845502990663E-2</v>
      </c>
      <c r="N30" s="296">
        <v>0</v>
      </c>
      <c r="O30" s="296">
        <v>-5.354989096019622E-3</v>
      </c>
      <c r="P30" s="296">
        <v>2.7278621072125038E-2</v>
      </c>
    </row>
    <row r="31" spans="1:16" s="22" customFormat="1" x14ac:dyDescent="0.25">
      <c r="A31" s="40" t="s">
        <v>209</v>
      </c>
      <c r="B31" s="295">
        <v>0</v>
      </c>
      <c r="C31" s="295">
        <v>0</v>
      </c>
      <c r="D31" s="296">
        <v>0</v>
      </c>
      <c r="E31" s="296">
        <v>0</v>
      </c>
      <c r="F31" s="296">
        <v>0</v>
      </c>
      <c r="G31" s="296">
        <v>0</v>
      </c>
      <c r="H31" s="296">
        <v>0</v>
      </c>
      <c r="I31" s="296">
        <v>0</v>
      </c>
      <c r="J31" s="296">
        <v>0</v>
      </c>
      <c r="K31" s="296">
        <v>0</v>
      </c>
      <c r="L31" s="296">
        <v>0</v>
      </c>
      <c r="M31" s="296">
        <v>0</v>
      </c>
      <c r="N31" s="431">
        <v>0.41370185577065199</v>
      </c>
      <c r="O31" s="431">
        <v>0.17699549798976399</v>
      </c>
      <c r="P31" s="296">
        <v>0.27742133098903615</v>
      </c>
    </row>
    <row r="32" spans="1:16" s="22" customFormat="1" x14ac:dyDescent="0.25">
      <c r="A32" s="22" t="s">
        <v>260</v>
      </c>
      <c r="B32" s="22">
        <v>0.10611571217598646</v>
      </c>
      <c r="C32" s="22">
        <v>-0.23233780880877608</v>
      </c>
      <c r="D32" s="22">
        <v>-2.7280852082007666E-2</v>
      </c>
      <c r="E32" s="22">
        <v>1.3844367525619291E-2</v>
      </c>
      <c r="F32" s="22">
        <v>-2.6109332215947374E-2</v>
      </c>
      <c r="G32" s="22">
        <v>0.40214635097974039</v>
      </c>
      <c r="H32" s="22">
        <v>-5.6953276488685631E-2</v>
      </c>
      <c r="I32" s="22">
        <v>0.25184830269925351</v>
      </c>
      <c r="J32" s="22">
        <v>-0.78281784462322379</v>
      </c>
      <c r="K32" s="22">
        <v>-2.7047527661521964E-2</v>
      </c>
      <c r="L32" s="22">
        <v>0.9601862730575238</v>
      </c>
      <c r="M32" s="22">
        <v>-0.32539104408890546</v>
      </c>
      <c r="N32" s="22">
        <v>0.13111501904875075</v>
      </c>
      <c r="O32" s="22">
        <v>8.6815940179768944E-2</v>
      </c>
      <c r="P32" s="22">
        <v>0.67780104987052503</v>
      </c>
    </row>
    <row r="33" spans="1:14" s="22" customFormat="1" x14ac:dyDescent="0.25">
      <c r="M33" s="1"/>
      <c r="N33" s="1"/>
    </row>
    <row r="34" spans="1:14" s="22" customFormat="1" x14ac:dyDescent="0.25">
      <c r="C34" s="1"/>
      <c r="D34" s="1"/>
      <c r="E34" s="1"/>
      <c r="F34" s="1"/>
      <c r="M34" s="1"/>
      <c r="N34" s="1"/>
    </row>
    <row r="35" spans="1:14" s="22" customFormat="1" x14ac:dyDescent="0.25">
      <c r="A35" s="600" t="s">
        <v>93</v>
      </c>
      <c r="B35" s="601"/>
      <c r="C35" s="601"/>
      <c r="D35" s="601"/>
      <c r="E35" s="601"/>
      <c r="F35" s="601"/>
      <c r="G35" s="601"/>
      <c r="H35" s="601"/>
      <c r="I35" s="601"/>
      <c r="J35" s="601"/>
      <c r="K35" s="59"/>
      <c r="M35" s="1"/>
      <c r="N35" s="1"/>
    </row>
    <row r="36" spans="1:14" s="22" customFormat="1" ht="15.75" customHeight="1" x14ac:dyDescent="0.25">
      <c r="A36" s="60" t="s">
        <v>239</v>
      </c>
      <c r="C36" s="1" t="s">
        <v>240</v>
      </c>
      <c r="D36" s="1"/>
      <c r="E36" s="1" t="s">
        <v>241</v>
      </c>
      <c r="F36" s="1"/>
      <c r="M36" s="1"/>
      <c r="N36" s="1"/>
    </row>
    <row r="37" spans="1:14" s="22" customFormat="1" ht="15.75" customHeight="1" x14ac:dyDescent="0.25">
      <c r="A37" s="602"/>
      <c r="B37" s="601"/>
      <c r="C37" s="603" t="s">
        <v>161</v>
      </c>
      <c r="D37" s="603" t="s">
        <v>242</v>
      </c>
      <c r="E37" s="603" t="s">
        <v>161</v>
      </c>
      <c r="F37" s="603" t="s">
        <v>242</v>
      </c>
      <c r="G37" s="61"/>
      <c r="H37" s="603" t="s">
        <v>162</v>
      </c>
      <c r="I37" s="61"/>
      <c r="J37" s="603" t="s">
        <v>162</v>
      </c>
      <c r="M37" s="1"/>
      <c r="N37" s="1"/>
    </row>
    <row r="38" spans="1:14" s="22" customFormat="1" x14ac:dyDescent="0.25">
      <c r="A38" s="601"/>
      <c r="B38" s="601"/>
      <c r="C38" s="601"/>
      <c r="D38" s="601"/>
      <c r="E38" s="601"/>
      <c r="F38" s="601"/>
      <c r="G38" s="61"/>
      <c r="H38" s="601"/>
      <c r="I38" s="61"/>
      <c r="J38" s="601"/>
      <c r="M38" s="1"/>
      <c r="N38" s="1"/>
    </row>
    <row r="39" spans="1:14" s="22" customFormat="1" x14ac:dyDescent="0.25">
      <c r="A39" s="604"/>
      <c r="B39" s="62" t="s">
        <v>243</v>
      </c>
      <c r="C39" s="63">
        <v>-1.8107232863128015</v>
      </c>
      <c r="D39" s="64">
        <f>C39/H39</f>
        <v>-87.657985419954713</v>
      </c>
      <c r="E39" s="63">
        <v>-2.5994303157688057</v>
      </c>
      <c r="F39" s="64">
        <f>E39/J39</f>
        <v>-74.43170846039348</v>
      </c>
      <c r="G39" s="61"/>
      <c r="H39" s="65">
        <v>2.0656683787996379E-2</v>
      </c>
      <c r="I39" s="61"/>
      <c r="J39" s="65">
        <v>3.49236954187611E-2</v>
      </c>
      <c r="M39" s="1"/>
      <c r="N39" s="1"/>
    </row>
    <row r="40" spans="1:14" s="22" customFormat="1" x14ac:dyDescent="0.25">
      <c r="A40" s="601"/>
      <c r="B40" s="62" t="s">
        <v>244</v>
      </c>
      <c r="C40" s="63">
        <v>-0.5255330570699408</v>
      </c>
      <c r="D40" s="64">
        <f t="shared" ref="D40:F60" si="0">C40/H40</f>
        <v>-27.654283120090334</v>
      </c>
      <c r="E40" s="63">
        <v>-0.83832211862155603</v>
      </c>
      <c r="F40" s="64">
        <f t="shared" si="0"/>
        <v>-24.020332462207797</v>
      </c>
      <c r="G40" s="61"/>
      <c r="H40" s="65">
        <v>1.9003676746483823E-2</v>
      </c>
      <c r="I40" s="61"/>
      <c r="J40" s="65">
        <v>3.4900521045681761E-2</v>
      </c>
      <c r="M40" s="1"/>
      <c r="N40" s="1"/>
    </row>
    <row r="41" spans="1:14" s="22" customFormat="1" x14ac:dyDescent="0.25">
      <c r="A41" s="601"/>
      <c r="B41" s="62" t="s">
        <v>245</v>
      </c>
      <c r="C41" s="63">
        <v>0.54343617169795655</v>
      </c>
      <c r="D41" s="64">
        <f t="shared" si="0"/>
        <v>37.202715977164587</v>
      </c>
      <c r="E41" s="63">
        <v>-7.551502548560525E-2</v>
      </c>
      <c r="F41" s="64">
        <f t="shared" si="0"/>
        <v>-2.604591806907111</v>
      </c>
      <c r="G41" s="61"/>
      <c r="H41" s="65">
        <v>1.4607432748499419E-2</v>
      </c>
      <c r="I41" s="61"/>
      <c r="J41" s="65">
        <v>2.8993036561562976E-2</v>
      </c>
      <c r="M41" s="1"/>
      <c r="N41" s="1"/>
    </row>
    <row r="42" spans="1:14" s="22" customFormat="1" x14ac:dyDescent="0.25">
      <c r="A42" s="601"/>
      <c r="B42" s="62" t="s">
        <v>246</v>
      </c>
      <c r="C42" s="63">
        <v>-0.13128462323189674</v>
      </c>
      <c r="D42" s="64">
        <f t="shared" si="0"/>
        <v>-8.374637072721498</v>
      </c>
      <c r="E42" s="63">
        <v>-0.12054265206689325</v>
      </c>
      <c r="F42" s="64">
        <f t="shared" si="0"/>
        <v>-4.1897578080365889</v>
      </c>
      <c r="G42" s="61"/>
      <c r="H42" s="65">
        <v>1.567645524121003E-2</v>
      </c>
      <c r="I42" s="61"/>
      <c r="J42" s="65">
        <v>2.8770792391787949E-2</v>
      </c>
      <c r="M42" s="1"/>
      <c r="N42" s="1"/>
    </row>
    <row r="43" spans="1:14" s="22" customFormat="1" x14ac:dyDescent="0.25">
      <c r="A43" s="601"/>
      <c r="B43" s="62" t="s">
        <v>247</v>
      </c>
      <c r="C43" s="63">
        <v>-0.40549485551660358</v>
      </c>
      <c r="D43" s="64">
        <f t="shared" si="0"/>
        <v>-21.150443942399846</v>
      </c>
      <c r="E43" s="63">
        <v>-0.32433024446830944</v>
      </c>
      <c r="F43" s="64">
        <f t="shared" si="0"/>
        <v>-10.06763747861303</v>
      </c>
      <c r="G43" s="61"/>
      <c r="H43" s="65">
        <v>1.9171931171795248E-2</v>
      </c>
      <c r="I43" s="61"/>
      <c r="J43" s="65">
        <v>3.2215129434019996E-2</v>
      </c>
      <c r="M43" s="1"/>
      <c r="N43" s="1"/>
    </row>
    <row r="44" spans="1:14" s="22" customFormat="1" x14ac:dyDescent="0.25">
      <c r="A44" s="601"/>
      <c r="B44" s="62" t="s">
        <v>248</v>
      </c>
      <c r="C44" s="63">
        <v>0.18946095649068193</v>
      </c>
      <c r="D44" s="64">
        <f t="shared" si="0"/>
        <v>8.1617931029565352</v>
      </c>
      <c r="E44" s="63">
        <v>0.20165437616894788</v>
      </c>
      <c r="F44" s="64">
        <f t="shared" si="0"/>
        <v>5.6914532848337469</v>
      </c>
      <c r="G44" s="61"/>
      <c r="H44" s="65">
        <v>2.321315354368042E-2</v>
      </c>
      <c r="I44" s="61"/>
      <c r="J44" s="65">
        <v>3.543108694334797E-2</v>
      </c>
      <c r="M44" s="1"/>
      <c r="N44" s="1"/>
    </row>
    <row r="45" spans="1:14" s="22" customFormat="1" x14ac:dyDescent="0.25">
      <c r="A45" s="601"/>
      <c r="B45" s="62" t="s">
        <v>249</v>
      </c>
      <c r="C45" s="63">
        <v>0.83388119545392936</v>
      </c>
      <c r="D45" s="64">
        <f t="shared" si="0"/>
        <v>56.532149578729623</v>
      </c>
      <c r="E45" s="63">
        <v>-1.0582717354114097</v>
      </c>
      <c r="F45" s="64">
        <f t="shared" si="0"/>
        <v>-38.94444027991068</v>
      </c>
      <c r="G45" s="61"/>
      <c r="H45" s="65">
        <v>1.4750565857974724E-2</v>
      </c>
      <c r="I45" s="61"/>
      <c r="J45" s="65">
        <v>2.7173884842230343E-2</v>
      </c>
      <c r="M45" s="1"/>
      <c r="N45" s="1"/>
    </row>
    <row r="46" spans="1:14" s="22" customFormat="1" x14ac:dyDescent="0.25">
      <c r="A46" s="601"/>
      <c r="B46" s="62" t="s">
        <v>250</v>
      </c>
      <c r="C46" s="63">
        <v>-0.45207346754054073</v>
      </c>
      <c r="D46" s="64">
        <f t="shared" si="0"/>
        <v>-32.466599558586452</v>
      </c>
      <c r="E46" s="63">
        <v>-0.43318770757990455</v>
      </c>
      <c r="F46" s="64">
        <f t="shared" si="0"/>
        <v>-12.13374831036788</v>
      </c>
      <c r="G46" s="61"/>
      <c r="H46" s="65">
        <v>1.3924262894386818E-2</v>
      </c>
      <c r="I46" s="61"/>
      <c r="J46" s="65">
        <v>3.5701062565288273E-2</v>
      </c>
      <c r="M46" s="1"/>
      <c r="N46" s="1"/>
    </row>
    <row r="47" spans="1:14" s="22" customFormat="1" x14ac:dyDescent="0.25">
      <c r="A47" s="601"/>
      <c r="B47" s="62" t="s">
        <v>251</v>
      </c>
      <c r="C47" s="63">
        <v>0.66986596695573863</v>
      </c>
      <c r="D47" s="64">
        <f t="shared" si="0"/>
        <v>31.983189157297744</v>
      </c>
      <c r="E47" s="63">
        <v>0.19035365086192507</v>
      </c>
      <c r="F47" s="64">
        <f t="shared" si="0"/>
        <v>4.843247686794359</v>
      </c>
      <c r="G47" s="61"/>
      <c r="H47" s="65">
        <v>2.0944314329044714E-2</v>
      </c>
      <c r="I47" s="61"/>
      <c r="J47" s="65">
        <v>3.9302894085087775E-2</v>
      </c>
      <c r="M47" s="1"/>
      <c r="N47" s="1"/>
    </row>
    <row r="48" spans="1:14" s="22" customFormat="1" x14ac:dyDescent="0.25">
      <c r="A48" s="601"/>
      <c r="B48" s="62" t="s">
        <v>252</v>
      </c>
      <c r="C48" s="63">
        <v>0.59180349783971664</v>
      </c>
      <c r="D48" s="64">
        <f t="shared" si="0"/>
        <v>49.705125753165419</v>
      </c>
      <c r="E48" s="63">
        <v>0.99876696405176091</v>
      </c>
      <c r="F48" s="64">
        <f t="shared" si="0"/>
        <v>48.621375455351398</v>
      </c>
      <c r="G48" s="61"/>
      <c r="H48" s="65">
        <v>1.1906287105651839E-2</v>
      </c>
      <c r="I48" s="61"/>
      <c r="J48" s="65">
        <v>2.0541725829392059E-2</v>
      </c>
      <c r="M48" s="1"/>
      <c r="N48" s="1"/>
    </row>
    <row r="49" spans="1:14" s="22" customFormat="1" x14ac:dyDescent="0.25">
      <c r="A49" s="601"/>
      <c r="B49" s="62" t="s">
        <v>253</v>
      </c>
      <c r="C49" s="63">
        <v>0.29213558690100422</v>
      </c>
      <c r="D49" s="64">
        <f t="shared" si="0"/>
        <v>13.805875047866193</v>
      </c>
      <c r="E49" s="63">
        <v>-0.30859784250796635</v>
      </c>
      <c r="F49" s="64">
        <f t="shared" si="0"/>
        <v>-8.869017384043234</v>
      </c>
      <c r="G49" s="61"/>
      <c r="H49" s="65">
        <v>2.1160236920017329E-2</v>
      </c>
      <c r="I49" s="61"/>
      <c r="J49" s="65">
        <v>3.4795043142342094E-2</v>
      </c>
      <c r="M49" s="1"/>
      <c r="N49" s="1"/>
    </row>
    <row r="50" spans="1:14" s="22" customFormat="1" x14ac:dyDescent="0.25">
      <c r="A50" s="601"/>
      <c r="B50" s="62" t="s">
        <v>254</v>
      </c>
      <c r="C50" s="63">
        <v>0.36896883028672839</v>
      </c>
      <c r="D50" s="64">
        <f t="shared" si="0"/>
        <v>15.037886680224458</v>
      </c>
      <c r="E50" s="63">
        <v>0.43526664657724895</v>
      </c>
      <c r="F50" s="64">
        <f t="shared" si="0"/>
        <v>10.409171395547684</v>
      </c>
      <c r="G50" s="61"/>
      <c r="H50" s="65">
        <v>2.453594964057949E-2</v>
      </c>
      <c r="I50" s="61"/>
      <c r="J50" s="65">
        <v>4.1815686382436316E-2</v>
      </c>
      <c r="M50" s="1"/>
      <c r="N50" s="1"/>
    </row>
    <row r="51" spans="1:14" s="22" customFormat="1" x14ac:dyDescent="0.25">
      <c r="A51" s="601"/>
      <c r="B51" s="62" t="s">
        <v>255</v>
      </c>
      <c r="C51" s="63">
        <v>-0.59726420078522813</v>
      </c>
      <c r="D51" s="64">
        <f t="shared" si="0"/>
        <v>-51.212025136523074</v>
      </c>
      <c r="E51" s="63">
        <v>-1.1332498462999712</v>
      </c>
      <c r="F51" s="64">
        <f t="shared" si="0"/>
        <v>-53.526170256624432</v>
      </c>
      <c r="G51" s="61"/>
      <c r="H51" s="65">
        <v>1.1662577279320964E-2</v>
      </c>
      <c r="I51" s="61"/>
      <c r="J51" s="65">
        <v>2.1171883601362632E-2</v>
      </c>
      <c r="M51" s="1"/>
      <c r="N51" s="1"/>
    </row>
    <row r="52" spans="1:14" s="22" customFormat="1" x14ac:dyDescent="0.25">
      <c r="A52" s="601"/>
      <c r="B52" s="62" t="s">
        <v>256</v>
      </c>
      <c r="C52" s="63">
        <v>1.1108358395390858</v>
      </c>
      <c r="D52" s="64">
        <f t="shared" si="0"/>
        <v>101.26075166528436</v>
      </c>
      <c r="E52" s="63">
        <v>1.6605705245758151</v>
      </c>
      <c r="F52" s="64">
        <f t="shared" si="0"/>
        <v>82.039896289759682</v>
      </c>
      <c r="G52" s="61"/>
      <c r="H52" s="65">
        <v>1.0970053266155225E-2</v>
      </c>
      <c r="I52" s="61"/>
      <c r="J52" s="65">
        <v>2.0241011991419224E-2</v>
      </c>
      <c r="M52" s="1"/>
      <c r="N52" s="1"/>
    </row>
    <row r="53" spans="1:14" s="22" customFormat="1" x14ac:dyDescent="0.25">
      <c r="A53" s="601"/>
      <c r="B53" s="62" t="s">
        <v>257</v>
      </c>
      <c r="C53" s="63">
        <v>-0.70083949252945132</v>
      </c>
      <c r="D53" s="64">
        <f t="shared" si="0"/>
        <v>-45.188325548263258</v>
      </c>
      <c r="E53" s="63">
        <v>-0.63535642166696149</v>
      </c>
      <c r="F53" s="64">
        <f t="shared" si="0"/>
        <v>-14.535662083092758</v>
      </c>
      <c r="G53" s="61"/>
      <c r="H53" s="65">
        <v>1.5509304317570293E-2</v>
      </c>
      <c r="I53" s="61"/>
      <c r="J53" s="65">
        <v>4.3710181072933729E-2</v>
      </c>
      <c r="M53" s="1"/>
      <c r="N53" s="1"/>
    </row>
    <row r="54" spans="1:14" s="22" customFormat="1" x14ac:dyDescent="0.25">
      <c r="A54" s="601"/>
      <c r="B54" s="62" t="s">
        <v>258</v>
      </c>
      <c r="C54" s="63">
        <v>0.69041144203313143</v>
      </c>
      <c r="D54" s="64">
        <f t="shared" si="0"/>
        <v>49.873086548428617</v>
      </c>
      <c r="E54" s="63">
        <v>1.7573658297040067</v>
      </c>
      <c r="F54" s="64">
        <f t="shared" si="0"/>
        <v>85.472972335426732</v>
      </c>
      <c r="G54" s="61"/>
      <c r="H54" s="65">
        <v>1.3843367030486799E-2</v>
      </c>
      <c r="I54" s="61"/>
      <c r="J54" s="65">
        <v>2.0560485749898459E-2</v>
      </c>
      <c r="M54" s="1"/>
      <c r="N54" s="1"/>
    </row>
    <row r="55" spans="1:14" s="22" customFormat="1" x14ac:dyDescent="0.25">
      <c r="A55" s="601"/>
      <c r="B55" s="62" t="s">
        <v>259</v>
      </c>
      <c r="C55" s="63">
        <v>-0.52753782183706499</v>
      </c>
      <c r="D55" s="64">
        <f t="shared" si="0"/>
        <v>-46.051852720077612</v>
      </c>
      <c r="E55" s="63">
        <v>-0.59902151888654753</v>
      </c>
      <c r="F55" s="64">
        <f t="shared" si="0"/>
        <v>-24.43214251740384</v>
      </c>
      <c r="G55" s="61"/>
      <c r="H55" s="65">
        <v>1.1455300724677901E-2</v>
      </c>
      <c r="I55" s="61"/>
      <c r="J55" s="65">
        <v>2.4517764598820765E-2</v>
      </c>
      <c r="M55" s="1"/>
      <c r="N55" s="1"/>
    </row>
    <row r="56" spans="1:14" s="22" customFormat="1" x14ac:dyDescent="0.25">
      <c r="A56" s="601"/>
      <c r="B56" s="62" t="s">
        <v>260</v>
      </c>
      <c r="C56" s="63">
        <v>0.10611571217598646</v>
      </c>
      <c r="D56" s="64">
        <f t="shared" si="0"/>
        <v>2.9246483158688039</v>
      </c>
      <c r="E56" s="63">
        <v>-0.23233780880877608</v>
      </c>
      <c r="F56" s="64">
        <f t="shared" si="0"/>
        <v>-2.9577694087754991</v>
      </c>
      <c r="G56" s="61"/>
      <c r="H56" s="65">
        <v>3.6283238432537293E-2</v>
      </c>
      <c r="I56" s="61"/>
      <c r="J56" s="65">
        <v>7.8551697816417243E-2</v>
      </c>
      <c r="M56" s="1"/>
      <c r="N56" s="1"/>
    </row>
    <row r="57" spans="1:14" s="22" customFormat="1" x14ac:dyDescent="0.25">
      <c r="A57" s="601"/>
      <c r="B57" s="62" t="s">
        <v>261</v>
      </c>
      <c r="C57" s="63">
        <v>0.13474995538702525</v>
      </c>
      <c r="D57" s="64">
        <f t="shared" si="0"/>
        <v>3.8375649060234553</v>
      </c>
      <c r="E57" s="63">
        <v>-4.2426468552596144E-2</v>
      </c>
      <c r="F57" s="64">
        <f t="shared" si="0"/>
        <v>-0.70100373508969271</v>
      </c>
      <c r="G57" s="61"/>
      <c r="H57" s="65">
        <v>3.5113400994344422E-2</v>
      </c>
      <c r="I57" s="61"/>
      <c r="J57" s="65">
        <v>6.052245719798871E-2</v>
      </c>
      <c r="M57" s="1"/>
      <c r="N57" s="1"/>
    </row>
    <row r="58" spans="1:14" s="22" customFormat="1" x14ac:dyDescent="0.25">
      <c r="A58" s="601"/>
      <c r="B58" s="62" t="s">
        <v>262</v>
      </c>
      <c r="C58" s="63">
        <v>0.64994790010050107</v>
      </c>
      <c r="D58" s="64">
        <f t="shared" si="0"/>
        <v>19.995641190833673</v>
      </c>
      <c r="E58" s="63">
        <v>-0.13323980416294498</v>
      </c>
      <c r="F58" s="64">
        <f t="shared" si="0"/>
        <v>-1.7641415053634411</v>
      </c>
      <c r="G58" s="61"/>
      <c r="H58" s="65">
        <v>3.2504479046085694E-2</v>
      </c>
      <c r="I58" s="61"/>
      <c r="J58" s="65">
        <v>7.5526710163477201E-2</v>
      </c>
      <c r="M58" s="1"/>
      <c r="N58" s="1"/>
    </row>
    <row r="59" spans="1:14" s="22" customFormat="1" x14ac:dyDescent="0.25">
      <c r="A59" s="601"/>
      <c r="B59" s="62" t="s">
        <v>263</v>
      </c>
      <c r="C59" s="63">
        <v>0.17175904014894408</v>
      </c>
      <c r="D59" s="64">
        <f t="shared" si="0"/>
        <v>4.763265458058596</v>
      </c>
      <c r="E59" s="63">
        <v>-0.21340415464459159</v>
      </c>
      <c r="F59" s="64">
        <f t="shared" si="0"/>
        <v>-2.8492317227097885</v>
      </c>
      <c r="G59" s="61"/>
      <c r="H59" s="65">
        <v>3.6059094682274827E-2</v>
      </c>
      <c r="I59" s="61"/>
      <c r="J59" s="65">
        <v>7.4898841306466846E-2</v>
      </c>
      <c r="M59" s="1"/>
      <c r="N59" s="1"/>
    </row>
    <row r="60" spans="1:14" s="22" customFormat="1" x14ac:dyDescent="0.25">
      <c r="A60" s="601"/>
      <c r="B60" s="62" t="s">
        <v>264</v>
      </c>
      <c r="C60" s="63">
        <v>-0.23498903041427957</v>
      </c>
      <c r="D60" s="64">
        <f t="shared" si="0"/>
        <v>-5.0577149357475895</v>
      </c>
      <c r="E60" s="63">
        <v>0.36191147942596802</v>
      </c>
      <c r="F60" s="64">
        <f t="shared" si="0"/>
        <v>4.5847787711390202</v>
      </c>
      <c r="G60" s="61"/>
      <c r="H60" s="65">
        <v>4.6461501567317071E-2</v>
      </c>
      <c r="I60" s="61"/>
      <c r="J60" s="65">
        <v>7.8937610186163132E-2</v>
      </c>
      <c r="M60" s="1"/>
      <c r="N60" s="1"/>
    </row>
    <row r="61" spans="1:14" s="22" customFormat="1" x14ac:dyDescent="0.25">
      <c r="C61" s="1"/>
      <c r="D61" s="1"/>
      <c r="E61" s="1"/>
      <c r="F61" s="1"/>
      <c r="M61" s="1"/>
      <c r="N61" s="1"/>
    </row>
    <row r="62" spans="1:14" s="22" customFormat="1" x14ac:dyDescent="0.25">
      <c r="A62" s="22" t="s">
        <v>280</v>
      </c>
      <c r="C62" s="1"/>
      <c r="D62" s="1"/>
      <c r="E62" s="1"/>
      <c r="F62" s="1"/>
      <c r="M62" s="1"/>
      <c r="N62" s="1"/>
    </row>
    <row r="63" spans="1:14" s="22" customFormat="1" ht="15.75" thickBot="1" x14ac:dyDescent="0.3">
      <c r="A63" s="585" t="s">
        <v>92</v>
      </c>
      <c r="B63" s="586"/>
      <c r="C63" s="586"/>
      <c r="D63" s="586"/>
      <c r="E63" s="586"/>
      <c r="F63" s="586"/>
      <c r="G63" s="586"/>
      <c r="M63" s="1"/>
      <c r="N63" s="1"/>
    </row>
    <row r="64" spans="1:14" s="22" customFormat="1" ht="15.75" thickBot="1" x14ac:dyDescent="0.3">
      <c r="A64" s="587" t="s">
        <v>179</v>
      </c>
      <c r="B64" s="588"/>
      <c r="C64" s="590" t="s">
        <v>180</v>
      </c>
      <c r="D64" s="591"/>
      <c r="E64" s="580" t="s">
        <v>181</v>
      </c>
      <c r="F64" s="1"/>
      <c r="M64" s="1"/>
      <c r="N64" s="1"/>
    </row>
    <row r="65" spans="1:14" s="22" customFormat="1" ht="15.75" thickBot="1" x14ac:dyDescent="0.3">
      <c r="A65" s="584"/>
      <c r="B65" s="589"/>
      <c r="C65" s="79" t="s">
        <v>161</v>
      </c>
      <c r="D65" s="80" t="s">
        <v>162</v>
      </c>
      <c r="E65" s="581"/>
      <c r="F65" s="1"/>
      <c r="M65" s="1"/>
      <c r="N65" s="1"/>
    </row>
    <row r="66" spans="1:14" s="22" customFormat="1" ht="15.75" thickBot="1" x14ac:dyDescent="0.3">
      <c r="A66" s="582">
        <v>1</v>
      </c>
      <c r="B66" s="68" t="s">
        <v>182</v>
      </c>
      <c r="C66" s="66">
        <v>0.82489950905311471</v>
      </c>
      <c r="D66" s="66">
        <v>5.3190155672514809E-3</v>
      </c>
      <c r="E66" s="66">
        <v>155.08499620341755</v>
      </c>
      <c r="F66" s="1"/>
      <c r="I66" s="1"/>
      <c r="J66" s="1"/>
    </row>
    <row r="67" spans="1:14" s="22" customFormat="1" x14ac:dyDescent="0.25">
      <c r="A67" s="583"/>
      <c r="B67" s="70" t="s">
        <v>165</v>
      </c>
      <c r="C67" s="66">
        <v>-3.1176680294200926E-2</v>
      </c>
      <c r="D67" s="66">
        <v>4.6585030620291783E-3</v>
      </c>
      <c r="E67" s="66">
        <v>-6.6924245576476666</v>
      </c>
      <c r="F67" s="1"/>
      <c r="I67" s="1"/>
      <c r="J67" s="1"/>
    </row>
    <row r="68" spans="1:14" s="22" customFormat="1" x14ac:dyDescent="0.25">
      <c r="A68" s="583"/>
      <c r="B68" s="70" t="s">
        <v>166</v>
      </c>
      <c r="C68" s="66">
        <v>4.4652162871313539E-4</v>
      </c>
      <c r="D68" s="66">
        <v>4.2312805246861301E-3</v>
      </c>
      <c r="E68" s="66">
        <v>0.10552872259545062</v>
      </c>
      <c r="F68" s="1"/>
      <c r="I68" s="1"/>
      <c r="J68" s="1"/>
    </row>
    <row r="69" spans="1:14" s="22" customFormat="1" x14ac:dyDescent="0.25">
      <c r="A69" s="583"/>
      <c r="B69" s="70" t="s">
        <v>167</v>
      </c>
      <c r="C69" s="66">
        <v>-7.6436325159708746E-2</v>
      </c>
      <c r="D69" s="66">
        <v>6.141123185370855E-3</v>
      </c>
      <c r="E69" s="66">
        <v>-12.446636039119422</v>
      </c>
      <c r="F69" s="1"/>
      <c r="I69" s="1"/>
      <c r="J69" s="1"/>
    </row>
    <row r="70" spans="1:14" s="22" customFormat="1" x14ac:dyDescent="0.25">
      <c r="A70" s="583"/>
      <c r="B70" s="70" t="s">
        <v>168</v>
      </c>
      <c r="C70" s="66">
        <v>-0.15312943095370829</v>
      </c>
      <c r="D70" s="66">
        <v>1.6454064399353222E-2</v>
      </c>
      <c r="E70" s="66">
        <v>-9.3064805896668013</v>
      </c>
      <c r="F70" s="1"/>
      <c r="I70" s="1"/>
      <c r="J70" s="1"/>
    </row>
    <row r="71" spans="1:14" s="22" customFormat="1" x14ac:dyDescent="0.25">
      <c r="A71" s="583"/>
      <c r="B71" s="70" t="s">
        <v>169</v>
      </c>
      <c r="C71" s="66">
        <v>-7.0262369935652517E-3</v>
      </c>
      <c r="D71" s="66">
        <v>4.7769441625982552E-3</v>
      </c>
      <c r="E71" s="66">
        <v>-1.4708643757191355</v>
      </c>
      <c r="F71" s="1"/>
      <c r="I71" s="1"/>
      <c r="J71" s="1"/>
    </row>
    <row r="72" spans="1:14" s="22" customFormat="1" x14ac:dyDescent="0.25">
      <c r="A72" s="583"/>
      <c r="B72" s="70" t="s">
        <v>170</v>
      </c>
      <c r="C72" s="66">
        <v>-4.029336686426354E-2</v>
      </c>
      <c r="D72" s="66">
        <v>4.2851362176583299E-3</v>
      </c>
      <c r="E72" s="66">
        <v>-9.4030539095166485</v>
      </c>
      <c r="F72" s="1"/>
      <c r="I72" s="1"/>
      <c r="J72" s="1"/>
    </row>
    <row r="73" spans="1:14" s="22" customFormat="1" x14ac:dyDescent="0.25">
      <c r="A73" s="583"/>
      <c r="B73" s="70" t="s">
        <v>171</v>
      </c>
      <c r="C73" s="66">
        <v>-7.6258453769652733E-3</v>
      </c>
      <c r="D73" s="66">
        <v>7.519198480072679E-3</v>
      </c>
      <c r="E73" s="66">
        <v>-1.0141832799300656</v>
      </c>
      <c r="F73" s="1"/>
      <c r="I73" s="1"/>
      <c r="J73" s="1"/>
    </row>
    <row r="74" spans="1:14" s="22" customFormat="1" x14ac:dyDescent="0.25">
      <c r="A74" s="583"/>
      <c r="B74" s="70" t="s">
        <v>172</v>
      </c>
      <c r="C74" s="66">
        <v>-2.727244457235891E-2</v>
      </c>
      <c r="D74" s="66">
        <v>4.4948395686885568E-3</v>
      </c>
      <c r="E74" s="66">
        <v>-6.067501221254064</v>
      </c>
      <c r="F74" s="1"/>
      <c r="I74" s="1"/>
      <c r="J74" s="1"/>
    </row>
    <row r="75" spans="1:14" s="22" customFormat="1" x14ac:dyDescent="0.25">
      <c r="A75" s="583"/>
      <c r="B75" s="70" t="s">
        <v>173</v>
      </c>
      <c r="C75" s="66">
        <v>3.5031385373069789E-2</v>
      </c>
      <c r="D75" s="66">
        <v>7.6283480670093747E-3</v>
      </c>
      <c r="E75" s="66">
        <v>4.5922636284219172</v>
      </c>
      <c r="F75" s="1"/>
      <c r="I75" s="1"/>
      <c r="J75" s="1"/>
    </row>
    <row r="76" spans="1:14" s="22" customFormat="1" x14ac:dyDescent="0.25">
      <c r="A76" s="583"/>
      <c r="B76" s="70" t="s">
        <v>174</v>
      </c>
      <c r="C76" s="66">
        <v>2.0119817357875141E-2</v>
      </c>
      <c r="D76" s="66">
        <v>8.9241428975171434E-3</v>
      </c>
      <c r="E76" s="66">
        <v>2.2545377846283516</v>
      </c>
      <c r="F76" s="1"/>
      <c r="I76" s="1"/>
      <c r="J76" s="1"/>
    </row>
    <row r="77" spans="1:14" s="22" customFormat="1" x14ac:dyDescent="0.25">
      <c r="A77" s="583"/>
      <c r="B77" s="70" t="s">
        <v>265</v>
      </c>
      <c r="C77" s="66">
        <v>0</v>
      </c>
      <c r="D77" s="66">
        <v>0</v>
      </c>
      <c r="E77" s="66">
        <v>0</v>
      </c>
      <c r="F77" s="1"/>
      <c r="I77" s="1"/>
      <c r="J77" s="1"/>
    </row>
    <row r="78" spans="1:14" s="22" customFormat="1" x14ac:dyDescent="0.25">
      <c r="A78" s="583"/>
      <c r="B78" s="70" t="s">
        <v>175</v>
      </c>
      <c r="C78" s="66">
        <v>-1.6111189013027685E-2</v>
      </c>
      <c r="D78" s="66">
        <v>4.4549679173578908E-3</v>
      </c>
      <c r="E78" s="66">
        <v>-3.6164545540841408</v>
      </c>
      <c r="F78" s="1"/>
      <c r="I78" s="1"/>
      <c r="J78" s="1"/>
    </row>
    <row r="79" spans="1:14" s="22" customFormat="1" x14ac:dyDescent="0.25">
      <c r="A79" s="583"/>
      <c r="B79" s="70" t="s">
        <v>176</v>
      </c>
      <c r="C79" s="66">
        <v>-7.9403149542208642E-3</v>
      </c>
      <c r="D79" s="66">
        <v>4.1092201090125206E-3</v>
      </c>
      <c r="E79" s="66">
        <v>-1.932316776316221</v>
      </c>
      <c r="F79" s="1"/>
      <c r="I79" s="1"/>
      <c r="J79" s="1"/>
    </row>
    <row r="80" spans="1:14" s="22" customFormat="1" x14ac:dyDescent="0.25">
      <c r="A80" s="583"/>
      <c r="B80" s="70" t="s">
        <v>12</v>
      </c>
      <c r="C80" s="66">
        <v>-1.2932416583629988E-2</v>
      </c>
      <c r="D80" s="66">
        <v>5.2753461597123026E-3</v>
      </c>
      <c r="E80" s="66">
        <v>-2.4514820813835034</v>
      </c>
      <c r="F80" s="1"/>
      <c r="I80" s="1"/>
      <c r="J80" s="1"/>
    </row>
    <row r="81" spans="1:14" s="22" customFormat="1" x14ac:dyDescent="0.25">
      <c r="A81" s="583"/>
      <c r="B81" s="70" t="s">
        <v>10</v>
      </c>
      <c r="C81" s="66">
        <v>-7.9642639754096036E-4</v>
      </c>
      <c r="D81" s="66">
        <v>3.699660146890956E-3</v>
      </c>
      <c r="E81" s="66">
        <v>-0.21527015074891265</v>
      </c>
      <c r="F81" s="1"/>
      <c r="I81" s="1"/>
      <c r="J81" s="1"/>
    </row>
    <row r="82" spans="1:14" s="22" customFormat="1" x14ac:dyDescent="0.25">
      <c r="A82" s="583"/>
      <c r="B82" s="70" t="s">
        <v>186</v>
      </c>
      <c r="C82" s="66">
        <v>1.3844367525619291E-2</v>
      </c>
      <c r="D82" s="66">
        <v>1.2728299039302012E-2</v>
      </c>
      <c r="E82" s="66">
        <v>1.0876840246187744</v>
      </c>
      <c r="F82" s="1"/>
      <c r="I82" s="1"/>
      <c r="J82" s="1"/>
    </row>
    <row r="83" spans="1:14" s="22" customFormat="1" x14ac:dyDescent="0.25">
      <c r="A83" s="583"/>
      <c r="B83" s="70" t="s">
        <v>187</v>
      </c>
      <c r="C83" s="66">
        <v>-8.3915323608894837E-2</v>
      </c>
      <c r="D83" s="66">
        <v>1.125693741118108E-2</v>
      </c>
      <c r="E83" s="66">
        <v>-7.4545429670369305</v>
      </c>
      <c r="F83" s="1"/>
      <c r="I83" s="1"/>
      <c r="J83" s="1"/>
    </row>
    <row r="84" spans="1:14" s="22" customFormat="1" x14ac:dyDescent="0.25">
      <c r="A84" s="583"/>
      <c r="B84" s="70" t="s">
        <v>188</v>
      </c>
      <c r="C84" s="66">
        <v>-7.7290063158832703E-2</v>
      </c>
      <c r="D84" s="66">
        <v>1.1939283658031411E-2</v>
      </c>
      <c r="E84" s="66">
        <v>-6.4735930037846634</v>
      </c>
      <c r="F84" s="1"/>
      <c r="I84" s="1"/>
      <c r="J84" s="1"/>
    </row>
    <row r="85" spans="1:14" s="22" customFormat="1" x14ac:dyDescent="0.25">
      <c r="A85" s="583"/>
      <c r="B85" s="70" t="s">
        <v>189</v>
      </c>
      <c r="C85" s="66">
        <v>5.2077835132560944E-3</v>
      </c>
      <c r="D85" s="66">
        <v>1.3115231120570385E-2</v>
      </c>
      <c r="E85" s="66">
        <v>0.3970790499519315</v>
      </c>
      <c r="F85" s="1"/>
      <c r="I85" s="1"/>
      <c r="J85" s="1"/>
    </row>
    <row r="86" spans="1:14" s="22" customFormat="1" x14ac:dyDescent="0.25">
      <c r="A86" s="583"/>
      <c r="B86" s="70" t="s">
        <v>190</v>
      </c>
      <c r="C86" s="66">
        <v>-8.9643470574474731E-3</v>
      </c>
      <c r="D86" s="66">
        <v>1.4716929685482258E-2</v>
      </c>
      <c r="E86" s="66">
        <v>-0.6091180191130825</v>
      </c>
      <c r="F86" s="1"/>
      <c r="I86" s="1"/>
      <c r="J86" s="1"/>
    </row>
    <row r="87" spans="1:14" s="22" customFormat="1" x14ac:dyDescent="0.25">
      <c r="A87" s="583"/>
      <c r="B87" s="70" t="s">
        <v>183</v>
      </c>
      <c r="C87" s="66">
        <v>-7.8188732699637734E-2</v>
      </c>
      <c r="D87" s="66">
        <v>9.7820366544066322E-3</v>
      </c>
      <c r="E87" s="66">
        <v>-7.9930934080496527</v>
      </c>
      <c r="F87" s="1"/>
      <c r="I87" s="1"/>
      <c r="J87" s="1"/>
    </row>
    <row r="88" spans="1:14" s="22" customFormat="1" ht="15.75" thickBot="1" x14ac:dyDescent="0.3">
      <c r="A88" s="584"/>
      <c r="B88" s="76" t="s">
        <v>184</v>
      </c>
      <c r="C88" s="66">
        <v>-2.1343466450718558E-2</v>
      </c>
      <c r="D88" s="66">
        <v>4.6471593650499344E-3</v>
      </c>
      <c r="E88" s="66">
        <v>-4.59279847625566</v>
      </c>
      <c r="F88" s="1"/>
      <c r="I88" s="1"/>
      <c r="J88" s="1"/>
    </row>
    <row r="89" spans="1:14" s="22" customFormat="1" x14ac:dyDescent="0.25">
      <c r="A89" s="59" t="s">
        <v>279</v>
      </c>
      <c r="B89" s="59"/>
      <c r="C89" s="59"/>
      <c r="D89" s="59"/>
      <c r="E89" s="59"/>
      <c r="F89" s="59"/>
      <c r="I89" s="1"/>
      <c r="J89" s="1"/>
    </row>
    <row r="90" spans="1:14" s="22" customFormat="1" ht="15.75" thickBot="1" x14ac:dyDescent="0.3">
      <c r="A90" s="585" t="s">
        <v>91</v>
      </c>
      <c r="B90" s="586"/>
      <c r="C90" s="586"/>
      <c r="D90" s="586"/>
      <c r="E90" s="586"/>
      <c r="F90" s="586"/>
      <c r="G90" s="586"/>
      <c r="M90" s="1"/>
      <c r="N90" s="1"/>
    </row>
    <row r="91" spans="1:14" s="22" customFormat="1" ht="15.75" customHeight="1" thickBot="1" x14ac:dyDescent="0.3">
      <c r="A91" s="587" t="s">
        <v>179</v>
      </c>
      <c r="B91" s="588"/>
      <c r="C91" s="590" t="s">
        <v>180</v>
      </c>
      <c r="D91" s="591"/>
      <c r="E91" s="592" t="s">
        <v>266</v>
      </c>
      <c r="F91" s="1"/>
      <c r="M91" s="1"/>
      <c r="N91" s="1"/>
    </row>
    <row r="92" spans="1:14" s="22" customFormat="1" ht="15.75" thickBot="1" x14ac:dyDescent="0.3">
      <c r="A92" s="584"/>
      <c r="B92" s="589"/>
      <c r="C92" s="79" t="s">
        <v>161</v>
      </c>
      <c r="D92" s="80" t="s">
        <v>162</v>
      </c>
      <c r="E92" s="581"/>
      <c r="F92" s="1"/>
      <c r="M92" s="1"/>
      <c r="N92" s="1"/>
    </row>
    <row r="93" spans="1:14" s="22" customFormat="1" ht="15.75" thickBot="1" x14ac:dyDescent="0.3">
      <c r="A93" s="582">
        <v>1</v>
      </c>
      <c r="B93" s="68" t="s">
        <v>182</v>
      </c>
      <c r="C93" s="66">
        <v>1.5966597621566312</v>
      </c>
      <c r="D93" s="66">
        <v>5.1439469034106882E-3</v>
      </c>
      <c r="E93" s="66">
        <v>310.39584819547179</v>
      </c>
      <c r="F93" s="1"/>
      <c r="M93" s="1"/>
      <c r="N93" s="1"/>
    </row>
    <row r="94" spans="1:14" s="22" customFormat="1" x14ac:dyDescent="0.25">
      <c r="A94" s="583"/>
      <c r="B94" s="70" t="s">
        <v>164</v>
      </c>
      <c r="C94" s="66">
        <v>-0.20902555078615173</v>
      </c>
      <c r="D94" s="66">
        <v>4.6422322784019131E-3</v>
      </c>
      <c r="E94" s="66">
        <v>-45.026947867009511</v>
      </c>
      <c r="F94" s="1"/>
      <c r="M94" s="1"/>
      <c r="N94" s="1"/>
    </row>
    <row r="95" spans="1:14" s="22" customFormat="1" x14ac:dyDescent="0.25">
      <c r="A95" s="583"/>
      <c r="B95" s="70" t="s">
        <v>165</v>
      </c>
      <c r="C95" s="66">
        <v>-6.8663711213040574E-2</v>
      </c>
      <c r="D95" s="66">
        <v>3.7251712691342919E-3</v>
      </c>
      <c r="E95" s="66">
        <v>-18.432363575325656</v>
      </c>
      <c r="F95" s="1"/>
      <c r="M95" s="1"/>
      <c r="N95" s="1"/>
    </row>
    <row r="96" spans="1:14" s="22" customFormat="1" x14ac:dyDescent="0.25">
      <c r="A96" s="583"/>
      <c r="B96" s="70" t="s">
        <v>166</v>
      </c>
      <c r="C96" s="66">
        <v>1.849511412630564E-2</v>
      </c>
      <c r="D96" s="66">
        <v>3.6286599965110532E-3</v>
      </c>
      <c r="E96" s="66">
        <v>5.0969542872819833</v>
      </c>
      <c r="F96" s="1"/>
      <c r="M96" s="1"/>
      <c r="N96" s="1"/>
    </row>
    <row r="97" spans="1:14" s="22" customFormat="1" x14ac:dyDescent="0.25">
      <c r="A97" s="583"/>
      <c r="B97" s="70" t="s">
        <v>167</v>
      </c>
      <c r="C97" s="66">
        <v>5.7723797587294387E-2</v>
      </c>
      <c r="D97" s="66">
        <v>4.6317523610648051E-3</v>
      </c>
      <c r="E97" s="66">
        <v>12.462626040314495</v>
      </c>
      <c r="F97" s="1"/>
      <c r="M97" s="1"/>
      <c r="N97" s="1"/>
    </row>
    <row r="98" spans="1:14" s="22" customFormat="1" x14ac:dyDescent="0.25">
      <c r="A98" s="583"/>
      <c r="B98" s="70" t="s">
        <v>168</v>
      </c>
      <c r="C98" s="66">
        <v>-4.230922199652932E-3</v>
      </c>
      <c r="D98" s="66">
        <v>6.6401633535169294E-3</v>
      </c>
      <c r="E98" s="66">
        <v>-0.63717140293123142</v>
      </c>
      <c r="F98" s="1"/>
      <c r="M98" s="1"/>
      <c r="N98" s="1"/>
    </row>
    <row r="99" spans="1:14" s="22" customFormat="1" x14ac:dyDescent="0.25">
      <c r="A99" s="583"/>
      <c r="B99" s="70" t="s">
        <v>169</v>
      </c>
      <c r="C99" s="66">
        <v>-2.7874471864375805E-2</v>
      </c>
      <c r="D99" s="66">
        <v>3.6795502616070275E-3</v>
      </c>
      <c r="E99" s="66">
        <v>-7.5755105604133677</v>
      </c>
      <c r="F99" s="1"/>
      <c r="M99" s="1"/>
      <c r="N99" s="1"/>
    </row>
    <row r="100" spans="1:14" s="22" customFormat="1" x14ac:dyDescent="0.25">
      <c r="A100" s="583"/>
      <c r="B100" s="70" t="s">
        <v>170</v>
      </c>
      <c r="C100" s="66">
        <v>0.11500905405335508</v>
      </c>
      <c r="D100" s="66">
        <v>3.4586477441407933E-3</v>
      </c>
      <c r="E100" s="66">
        <v>33.252606961257904</v>
      </c>
      <c r="F100" s="1"/>
      <c r="M100" s="1"/>
      <c r="N100" s="1"/>
    </row>
    <row r="101" spans="1:14" s="22" customFormat="1" x14ac:dyDescent="0.25">
      <c r="A101" s="583"/>
      <c r="B101" s="70" t="s">
        <v>171</v>
      </c>
      <c r="C101" s="66">
        <v>9.515506237392576E-3</v>
      </c>
      <c r="D101" s="66">
        <v>5.1901082752178621E-3</v>
      </c>
      <c r="E101" s="66">
        <v>1.8333926255118733</v>
      </c>
      <c r="F101" s="1"/>
      <c r="M101" s="1"/>
      <c r="N101" s="1"/>
    </row>
    <row r="102" spans="1:14" s="22" customFormat="1" x14ac:dyDescent="0.25">
      <c r="A102" s="583"/>
      <c r="B102" s="70" t="s">
        <v>172</v>
      </c>
      <c r="C102" s="66">
        <v>-8.8379490757115858E-3</v>
      </c>
      <c r="D102" s="66">
        <v>3.108867600195961E-3</v>
      </c>
      <c r="E102" s="66">
        <v>-2.8428193838664932</v>
      </c>
      <c r="F102" s="1"/>
      <c r="M102" s="1"/>
      <c r="N102" s="1"/>
    </row>
    <row r="103" spans="1:14" s="22" customFormat="1" x14ac:dyDescent="0.25">
      <c r="A103" s="583"/>
      <c r="B103" s="70" t="s">
        <v>173</v>
      </c>
      <c r="C103" s="66">
        <v>-7.3432710538954157E-2</v>
      </c>
      <c r="D103" s="66">
        <v>5.7991609125856748E-3</v>
      </c>
      <c r="E103" s="66">
        <v>-12.662644069693986</v>
      </c>
      <c r="F103" s="1"/>
      <c r="M103" s="1"/>
      <c r="N103" s="1"/>
    </row>
    <row r="104" spans="1:14" s="22" customFormat="1" x14ac:dyDescent="0.25">
      <c r="A104" s="583"/>
      <c r="B104" s="70" t="s">
        <v>174</v>
      </c>
      <c r="C104" s="66">
        <v>-1.6732603630372302E-2</v>
      </c>
      <c r="D104" s="66">
        <v>6.8758387503138271E-3</v>
      </c>
      <c r="E104" s="66">
        <v>-2.4335363637794143</v>
      </c>
      <c r="F104" s="1"/>
      <c r="M104" s="1"/>
      <c r="N104" s="1"/>
    </row>
    <row r="105" spans="1:14" s="22" customFormat="1" ht="36" x14ac:dyDescent="0.25">
      <c r="A105" s="583"/>
      <c r="B105" s="70" t="s">
        <v>267</v>
      </c>
      <c r="C105" s="66">
        <v>-0.47294552413779223</v>
      </c>
      <c r="D105" s="66">
        <v>3.0843271651119107E-3</v>
      </c>
      <c r="E105" s="66">
        <v>-153.33831296740274</v>
      </c>
      <c r="F105" s="1"/>
      <c r="M105" s="1"/>
      <c r="N105" s="1"/>
    </row>
    <row r="106" spans="1:14" s="22" customFormat="1" x14ac:dyDescent="0.25">
      <c r="A106" s="583"/>
      <c r="B106" s="70" t="s">
        <v>175</v>
      </c>
      <c r="C106" s="66">
        <v>-3.1027877307270413E-2</v>
      </c>
      <c r="D106" s="66">
        <v>3.0613956863834494E-3</v>
      </c>
      <c r="E106" s="66">
        <v>-10.135206450207324</v>
      </c>
      <c r="F106" s="1"/>
      <c r="M106" s="1"/>
      <c r="N106" s="1"/>
    </row>
    <row r="107" spans="1:14" s="22" customFormat="1" x14ac:dyDescent="0.25">
      <c r="A107" s="583"/>
      <c r="B107" s="70" t="s">
        <v>176</v>
      </c>
      <c r="C107" s="66">
        <v>6.5220506685576926E-2</v>
      </c>
      <c r="D107" s="66">
        <v>3.144164721351208E-3</v>
      </c>
      <c r="E107" s="66">
        <v>20.743349177185713</v>
      </c>
      <c r="F107" s="1"/>
      <c r="M107" s="1"/>
      <c r="N107" s="1"/>
    </row>
    <row r="108" spans="1:14" s="22" customFormat="1" x14ac:dyDescent="0.25">
      <c r="A108" s="583"/>
      <c r="B108" s="70" t="s">
        <v>12</v>
      </c>
      <c r="C108" s="66">
        <v>8.0965871568263598E-3</v>
      </c>
      <c r="D108" s="66">
        <v>3.7599398766209437E-3</v>
      </c>
      <c r="E108" s="66">
        <v>2.1533820812323095</v>
      </c>
      <c r="F108" s="1"/>
      <c r="M108" s="1"/>
      <c r="N108" s="1"/>
    </row>
    <row r="109" spans="1:14" s="22" customFormat="1" x14ac:dyDescent="0.25">
      <c r="A109" s="583"/>
      <c r="B109" s="70" t="s">
        <v>10</v>
      </c>
      <c r="C109" s="66">
        <v>-5.244437297081931E-2</v>
      </c>
      <c r="D109" s="66">
        <v>2.6886579686567044E-3</v>
      </c>
      <c r="E109" s="66">
        <v>-19.505780795547356</v>
      </c>
      <c r="F109" s="1"/>
      <c r="M109" s="1"/>
      <c r="N109" s="1"/>
    </row>
    <row r="110" spans="1:14" s="22" customFormat="1" x14ac:dyDescent="0.25">
      <c r="A110" s="583"/>
      <c r="B110" s="70" t="s">
        <v>186</v>
      </c>
      <c r="C110" s="66">
        <v>-2.7280852082007666E-2</v>
      </c>
      <c r="D110" s="66">
        <v>9.2713216365214214E-3</v>
      </c>
      <c r="E110" s="66">
        <v>-2.9424987236494342</v>
      </c>
      <c r="F110" s="1"/>
      <c r="M110" s="1"/>
      <c r="N110" s="1"/>
    </row>
    <row r="111" spans="1:14" s="22" customFormat="1" x14ac:dyDescent="0.25">
      <c r="A111" s="583"/>
      <c r="B111" s="70" t="s">
        <v>187</v>
      </c>
      <c r="C111" s="66">
        <v>-3.4702835625101355E-5</v>
      </c>
      <c r="D111" s="66">
        <v>8.4545501059378469E-3</v>
      </c>
      <c r="E111" s="66">
        <v>-4.1046342135613659E-3</v>
      </c>
      <c r="F111" s="1"/>
      <c r="M111" s="1"/>
      <c r="N111" s="1"/>
    </row>
    <row r="112" spans="1:14" s="22" customFormat="1" x14ac:dyDescent="0.25">
      <c r="A112" s="583"/>
      <c r="B112" s="70" t="s">
        <v>188</v>
      </c>
      <c r="C112" s="66">
        <v>0.12673738285622113</v>
      </c>
      <c r="D112" s="66">
        <v>8.6798296181861238E-3</v>
      </c>
      <c r="E112" s="66">
        <v>14.601367587985697</v>
      </c>
      <c r="F112" s="1"/>
      <c r="M112" s="1"/>
      <c r="N112" s="1"/>
    </row>
    <row r="113" spans="1:14" s="22" customFormat="1" x14ac:dyDescent="0.25">
      <c r="A113" s="583"/>
      <c r="B113" s="70" t="s">
        <v>189</v>
      </c>
      <c r="C113" s="66">
        <v>-5.5532203758261713E-2</v>
      </c>
      <c r="D113" s="66">
        <v>9.5112341668385069E-3</v>
      </c>
      <c r="E113" s="66">
        <v>-5.8385907427111929</v>
      </c>
      <c r="F113" s="1"/>
      <c r="M113" s="1"/>
      <c r="N113" s="1"/>
    </row>
    <row r="114" spans="1:14" s="22" customFormat="1" x14ac:dyDescent="0.25">
      <c r="A114" s="583"/>
      <c r="B114" s="70" t="s">
        <v>190</v>
      </c>
      <c r="C114" s="66">
        <v>-8.3176845733589536E-2</v>
      </c>
      <c r="D114" s="66">
        <v>1.0446810204230016E-2</v>
      </c>
      <c r="E114" s="66">
        <v>-7.9619370992219629</v>
      </c>
      <c r="F114" s="1"/>
      <c r="M114" s="1"/>
      <c r="N114" s="1"/>
    </row>
    <row r="115" spans="1:14" s="22" customFormat="1" x14ac:dyDescent="0.25">
      <c r="A115" s="583"/>
      <c r="B115" s="70" t="s">
        <v>183</v>
      </c>
      <c r="C115" s="66">
        <v>-0.10993785045079991</v>
      </c>
      <c r="D115" s="66">
        <v>5.8969205459416139E-3</v>
      </c>
      <c r="E115" s="66">
        <v>-18.643264665734979</v>
      </c>
      <c r="F115" s="1"/>
      <c r="M115" s="1"/>
      <c r="N115" s="1"/>
    </row>
    <row r="116" spans="1:14" s="22" customFormat="1" ht="15.75" thickBot="1" x14ac:dyDescent="0.3">
      <c r="A116" s="584"/>
      <c r="B116" s="76" t="s">
        <v>184</v>
      </c>
      <c r="C116" s="66">
        <v>-1.6473644106255819E-2</v>
      </c>
      <c r="D116" s="66">
        <v>3.2205296388232592E-3</v>
      </c>
      <c r="E116" s="66">
        <v>-5.1151971736782649</v>
      </c>
      <c r="F116" s="1"/>
      <c r="M116" s="1"/>
      <c r="N116" s="1"/>
    </row>
    <row r="117" spans="1:14" s="22" customFormat="1" x14ac:dyDescent="0.25">
      <c r="A117" s="59"/>
      <c r="B117" s="59"/>
      <c r="C117" s="59"/>
      <c r="D117" s="59"/>
      <c r="E117" s="59"/>
      <c r="F117" s="59"/>
      <c r="G117" s="59"/>
      <c r="M117" s="1"/>
      <c r="N117" s="1"/>
    </row>
    <row r="118" spans="1:14" s="22" customFormat="1" x14ac:dyDescent="0.25">
      <c r="A118" s="22" t="s">
        <v>278</v>
      </c>
      <c r="C118" s="1"/>
      <c r="D118" s="1"/>
      <c r="E118" s="1"/>
      <c r="F118" s="1"/>
      <c r="M118" s="1"/>
      <c r="N118" s="1"/>
    </row>
    <row r="119" spans="1:14" s="22" customFormat="1" ht="15.75" thickBot="1" x14ac:dyDescent="0.3">
      <c r="A119" s="600" t="s">
        <v>93</v>
      </c>
      <c r="B119" s="601"/>
      <c r="C119" s="601"/>
      <c r="D119" s="601"/>
      <c r="E119" s="601"/>
      <c r="F119" s="601"/>
      <c r="G119" s="601"/>
      <c r="H119" s="601"/>
      <c r="I119" s="601"/>
      <c r="J119" s="601"/>
      <c r="K119" s="59"/>
      <c r="M119" s="1"/>
      <c r="N119" s="1"/>
    </row>
    <row r="120" spans="1:14" s="22" customFormat="1" ht="15.75" customHeight="1" thickBot="1" x14ac:dyDescent="0.3">
      <c r="A120" s="605" t="s">
        <v>185</v>
      </c>
      <c r="B120" s="606"/>
      <c r="C120" s="608" t="s">
        <v>161</v>
      </c>
      <c r="D120" s="580" t="s">
        <v>177</v>
      </c>
      <c r="E120" s="580" t="s">
        <v>162</v>
      </c>
      <c r="M120" s="1"/>
      <c r="N120" s="1"/>
    </row>
    <row r="121" spans="1:14" s="22" customFormat="1" ht="15.75" thickBot="1" x14ac:dyDescent="0.3">
      <c r="A121" s="599"/>
      <c r="B121" s="607"/>
      <c r="C121" s="609"/>
      <c r="D121" s="610"/>
      <c r="E121" s="611"/>
      <c r="M121" s="1"/>
      <c r="N121" s="1"/>
    </row>
    <row r="122" spans="1:14" s="22" customFormat="1" x14ac:dyDescent="0.25">
      <c r="A122" s="593" t="s">
        <v>268</v>
      </c>
      <c r="B122" s="68" t="s">
        <v>163</v>
      </c>
      <c r="C122" s="66">
        <v>-3.2873657944088577</v>
      </c>
      <c r="D122" s="67">
        <f>C122/E122</f>
        <v>-89.410724388498977</v>
      </c>
      <c r="E122" s="69">
        <v>3.6767018910672376E-2</v>
      </c>
      <c r="M122" s="1"/>
      <c r="N122" s="1"/>
    </row>
    <row r="123" spans="1:14" s="22" customFormat="1" x14ac:dyDescent="0.25">
      <c r="A123" s="594"/>
      <c r="B123" s="70"/>
      <c r="C123" s="66"/>
      <c r="D123" s="67"/>
      <c r="E123" s="71"/>
      <c r="M123" s="1"/>
      <c r="N123" s="1"/>
    </row>
    <row r="124" spans="1:14" s="22" customFormat="1" x14ac:dyDescent="0.25">
      <c r="A124" s="595"/>
      <c r="B124" s="70" t="s">
        <v>165</v>
      </c>
      <c r="C124" s="66">
        <v>0.63839267146060019</v>
      </c>
      <c r="D124" s="67">
        <f t="shared" ref="D124:D188" si="1">C124/E124</f>
        <v>31.117085797821765</v>
      </c>
      <c r="E124" s="71">
        <v>2.0515824509031898E-2</v>
      </c>
      <c r="M124" s="1"/>
      <c r="N124" s="1"/>
    </row>
    <row r="125" spans="1:14" s="22" customFormat="1" x14ac:dyDescent="0.25">
      <c r="A125" s="595"/>
      <c r="B125" s="70" t="s">
        <v>166</v>
      </c>
      <c r="C125" s="66">
        <v>-0.13605236773170404</v>
      </c>
      <c r="D125" s="67">
        <f t="shared" si="1"/>
        <v>-6.2105100591767162</v>
      </c>
      <c r="E125" s="71">
        <v>2.1906794520149212E-2</v>
      </c>
      <c r="M125" s="1"/>
      <c r="N125" s="1"/>
    </row>
    <row r="126" spans="1:14" s="22" customFormat="1" x14ac:dyDescent="0.25">
      <c r="A126" s="595"/>
      <c r="B126" s="70" t="s">
        <v>167</v>
      </c>
      <c r="C126" s="66">
        <v>2.9141822603748501E-3</v>
      </c>
      <c r="D126" s="67">
        <f t="shared" si="1"/>
        <v>9.1295910492672105E-2</v>
      </c>
      <c r="E126" s="71">
        <v>3.1920183989060033E-2</v>
      </c>
      <c r="M126" s="1"/>
      <c r="N126" s="1"/>
    </row>
    <row r="127" spans="1:14" s="22" customFormat="1" x14ac:dyDescent="0.25">
      <c r="A127" s="595"/>
      <c r="B127" s="70" t="s">
        <v>168</v>
      </c>
      <c r="C127" s="66">
        <v>-0.60691725200505786</v>
      </c>
      <c r="D127" s="67">
        <f t="shared" si="1"/>
        <v>-5.3782886148067819</v>
      </c>
      <c r="E127" s="71">
        <v>0.11284579454032548</v>
      </c>
      <c r="M127" s="1"/>
      <c r="N127" s="1"/>
    </row>
    <row r="128" spans="1:14" s="22" customFormat="1" x14ac:dyDescent="0.25">
      <c r="A128" s="595"/>
      <c r="B128" s="70" t="s">
        <v>169</v>
      </c>
      <c r="C128" s="66">
        <v>0.27503503600351509</v>
      </c>
      <c r="D128" s="67">
        <f t="shared" si="1"/>
        <v>11.478762405960854</v>
      </c>
      <c r="E128" s="71">
        <v>2.3960338778394003E-2</v>
      </c>
      <c r="M128" s="1"/>
      <c r="N128" s="1"/>
    </row>
    <row r="129" spans="1:14" s="22" customFormat="1" x14ac:dyDescent="0.25">
      <c r="A129" s="595"/>
      <c r="B129" s="70" t="s">
        <v>170</v>
      </c>
      <c r="C129" s="66">
        <v>-5.2672519584427389E-2</v>
      </c>
      <c r="D129" s="67">
        <f t="shared" si="1"/>
        <v>-2.5706485752357873</v>
      </c>
      <c r="E129" s="71">
        <v>2.0489972877601955E-2</v>
      </c>
      <c r="M129" s="1"/>
      <c r="N129" s="1"/>
    </row>
    <row r="130" spans="1:14" s="22" customFormat="1" x14ac:dyDescent="0.25">
      <c r="A130" s="595"/>
      <c r="B130" s="70" t="s">
        <v>171</v>
      </c>
      <c r="C130" s="66">
        <v>0.12493173591793862</v>
      </c>
      <c r="D130" s="67">
        <f t="shared" si="1"/>
        <v>3.4535634420017152</v>
      </c>
      <c r="E130" s="71">
        <v>3.6174733146215811E-2</v>
      </c>
      <c r="M130" s="1"/>
      <c r="N130" s="1"/>
    </row>
    <row r="131" spans="1:14" s="22" customFormat="1" x14ac:dyDescent="0.25">
      <c r="A131" s="595"/>
      <c r="B131" s="70" t="s">
        <v>172</v>
      </c>
      <c r="C131" s="66">
        <v>0.107435495315062</v>
      </c>
      <c r="D131" s="67">
        <f t="shared" si="1"/>
        <v>4.9763781468470816</v>
      </c>
      <c r="E131" s="71">
        <v>2.1589093944384161E-2</v>
      </c>
      <c r="M131" s="1"/>
      <c r="N131" s="1"/>
    </row>
    <row r="132" spans="1:14" s="22" customFormat="1" x14ac:dyDescent="0.25">
      <c r="A132" s="595"/>
      <c r="B132" s="70" t="s">
        <v>173</v>
      </c>
      <c r="C132" s="66">
        <v>0.17573095839563471</v>
      </c>
      <c r="D132" s="67">
        <f t="shared" si="1"/>
        <v>5.0125202850072492</v>
      </c>
      <c r="E132" s="71">
        <v>3.5058403438537021E-2</v>
      </c>
      <c r="M132" s="1"/>
      <c r="N132" s="1"/>
    </row>
    <row r="133" spans="1:14" s="22" customFormat="1" x14ac:dyDescent="0.25">
      <c r="A133" s="595"/>
      <c r="B133" s="70" t="s">
        <v>174</v>
      </c>
      <c r="C133" s="66">
        <v>-1.1842356221008413E-2</v>
      </c>
      <c r="D133" s="67">
        <f t="shared" si="1"/>
        <v>-0.30438434367848138</v>
      </c>
      <c r="E133" s="71">
        <v>3.8905930830389207E-2</v>
      </c>
      <c r="M133" s="1"/>
      <c r="N133" s="1"/>
    </row>
    <row r="134" spans="1:14" s="22" customFormat="1" x14ac:dyDescent="0.25">
      <c r="A134" s="595"/>
      <c r="B134" s="70"/>
      <c r="C134" s="66"/>
      <c r="D134" s="67"/>
      <c r="E134" s="71"/>
      <c r="M134" s="1"/>
      <c r="N134" s="1"/>
    </row>
    <row r="135" spans="1:14" s="22" customFormat="1" x14ac:dyDescent="0.25">
      <c r="A135" s="595"/>
      <c r="B135" s="70" t="s">
        <v>175</v>
      </c>
      <c r="C135" s="66">
        <v>0.31812786167266999</v>
      </c>
      <c r="D135" s="67">
        <f t="shared" si="1"/>
        <v>16.038124520676014</v>
      </c>
      <c r="E135" s="71">
        <v>1.9835727130223125E-2</v>
      </c>
      <c r="M135" s="1"/>
      <c r="N135" s="1"/>
    </row>
    <row r="136" spans="1:14" s="22" customFormat="1" x14ac:dyDescent="0.25">
      <c r="A136" s="595"/>
      <c r="B136" s="70" t="s">
        <v>176</v>
      </c>
      <c r="C136" s="66">
        <v>-3.851101380549684E-2</v>
      </c>
      <c r="D136" s="67">
        <f t="shared" si="1"/>
        <v>-1.770958433356592</v>
      </c>
      <c r="E136" s="71">
        <v>2.1745859801183962E-2</v>
      </c>
      <c r="M136" s="1"/>
      <c r="N136" s="1"/>
    </row>
    <row r="137" spans="1:14" s="22" customFormat="1" x14ac:dyDescent="0.25">
      <c r="A137" s="595"/>
      <c r="B137" s="70" t="s">
        <v>12</v>
      </c>
      <c r="C137" s="66">
        <v>-1.2216105698753484E-2</v>
      </c>
      <c r="D137" s="67">
        <f t="shared" si="1"/>
        <v>-0.47738601782381251</v>
      </c>
      <c r="E137" s="71">
        <v>2.5589575820509362E-2</v>
      </c>
      <c r="M137" s="1"/>
      <c r="N137" s="1"/>
    </row>
    <row r="138" spans="1:14" s="22" customFormat="1" x14ac:dyDescent="0.25">
      <c r="A138" s="595"/>
      <c r="B138" s="70" t="s">
        <v>10</v>
      </c>
      <c r="C138" s="66">
        <v>0.19813774821217126</v>
      </c>
      <c r="D138" s="67">
        <f t="shared" si="1"/>
        <v>11.188858446312979</v>
      </c>
      <c r="E138" s="71">
        <v>1.7708486452204856E-2</v>
      </c>
      <c r="M138" s="1"/>
      <c r="N138" s="1"/>
    </row>
    <row r="139" spans="1:14" s="22" customFormat="1" x14ac:dyDescent="0.25">
      <c r="A139" s="595"/>
      <c r="B139" s="70" t="s">
        <v>186</v>
      </c>
      <c r="C139" s="66">
        <v>0.25184830269925351</v>
      </c>
      <c r="D139" s="67">
        <f t="shared" si="1"/>
        <v>4.6958316018518795</v>
      </c>
      <c r="E139" s="71">
        <v>5.3632311388664984E-2</v>
      </c>
      <c r="M139" s="1"/>
      <c r="N139" s="1"/>
    </row>
    <row r="140" spans="1:14" s="22" customFormat="1" x14ac:dyDescent="0.25">
      <c r="A140" s="595"/>
      <c r="B140" s="70" t="s">
        <v>187</v>
      </c>
      <c r="C140" s="66">
        <v>-0.17607361567460464</v>
      </c>
      <c r="D140" s="67">
        <f t="shared" si="1"/>
        <v>-2.8166443056906396</v>
      </c>
      <c r="E140" s="71">
        <v>6.2511839112546902E-2</v>
      </c>
      <c r="M140" s="1"/>
      <c r="N140" s="1"/>
    </row>
    <row r="141" spans="1:14" s="22" customFormat="1" x14ac:dyDescent="0.25">
      <c r="A141" s="595"/>
      <c r="B141" s="70" t="s">
        <v>188</v>
      </c>
      <c r="C141" s="66">
        <v>-0.19696866424512036</v>
      </c>
      <c r="D141" s="67">
        <f t="shared" si="1"/>
        <v>-3.1760928860066171</v>
      </c>
      <c r="E141" s="71">
        <v>6.2016027652382073E-2</v>
      </c>
      <c r="F141" s="1"/>
      <c r="M141" s="1"/>
      <c r="N141" s="1"/>
    </row>
    <row r="142" spans="1:14" s="22" customFormat="1" x14ac:dyDescent="0.25">
      <c r="A142" s="595"/>
      <c r="B142" s="70" t="s">
        <v>189</v>
      </c>
      <c r="C142" s="66">
        <v>-9.5239862908292464E-2</v>
      </c>
      <c r="D142" s="67">
        <f t="shared" si="1"/>
        <v>-1.507532307148687</v>
      </c>
      <c r="E142" s="71">
        <v>6.3176001241676216E-2</v>
      </c>
      <c r="F142" s="1"/>
      <c r="M142" s="1"/>
      <c r="N142" s="1"/>
    </row>
    <row r="143" spans="1:14" s="22" customFormat="1" x14ac:dyDescent="0.25">
      <c r="A143" s="595"/>
      <c r="B143" s="70" t="s">
        <v>190</v>
      </c>
      <c r="C143" s="66">
        <v>-1.1188025493107299E-2</v>
      </c>
      <c r="D143" s="67">
        <f t="shared" si="1"/>
        <v>-0.14962528130808816</v>
      </c>
      <c r="E143" s="71">
        <v>7.4773630467370206E-2</v>
      </c>
      <c r="F143" s="1"/>
      <c r="M143" s="1"/>
      <c r="N143" s="1"/>
    </row>
    <row r="144" spans="1:14" s="22" customFormat="1" x14ac:dyDescent="0.25">
      <c r="A144" s="595"/>
      <c r="B144" s="70" t="s">
        <v>183</v>
      </c>
      <c r="C144" s="66">
        <v>3.175505470887714</v>
      </c>
      <c r="D144" s="67">
        <f t="shared" si="1"/>
        <v>59.152483515881784</v>
      </c>
      <c r="E144" s="71">
        <v>5.3683383725302521E-2</v>
      </c>
      <c r="F144" s="1"/>
      <c r="M144" s="1"/>
      <c r="N144" s="1"/>
    </row>
    <row r="145" spans="1:14" s="22" customFormat="1" x14ac:dyDescent="0.25">
      <c r="A145" s="595"/>
      <c r="B145" s="70" t="s">
        <v>184</v>
      </c>
      <c r="C145" s="66">
        <v>1.3333944368434199</v>
      </c>
      <c r="D145" s="67">
        <f t="shared" si="1"/>
        <v>71.383142533039802</v>
      </c>
      <c r="E145" s="71">
        <v>1.867940230042767E-2</v>
      </c>
      <c r="F145" s="1"/>
      <c r="M145" s="1"/>
      <c r="N145" s="1"/>
    </row>
    <row r="146" spans="1:14" s="22" customFormat="1" x14ac:dyDescent="0.25">
      <c r="A146" s="596"/>
      <c r="B146" s="72" t="s">
        <v>193</v>
      </c>
      <c r="C146" s="66">
        <v>4.6816342647823753E-3</v>
      </c>
      <c r="D146" s="67">
        <f t="shared" si="1"/>
        <v>0.56048196912680393</v>
      </c>
      <c r="E146" s="73">
        <v>8.352872211172235E-3</v>
      </c>
      <c r="M146" s="1"/>
      <c r="N146" s="1"/>
    </row>
    <row r="147" spans="1:14" s="22" customFormat="1" x14ac:dyDescent="0.25">
      <c r="A147" s="597" t="s">
        <v>191</v>
      </c>
      <c r="B147" s="74" t="s">
        <v>163</v>
      </c>
      <c r="C147" s="66">
        <v>-4.1903420081534106</v>
      </c>
      <c r="D147" s="67">
        <f t="shared" si="1"/>
        <v>-71.378504848405626</v>
      </c>
      <c r="E147" s="75">
        <v>5.8705936991155817E-2</v>
      </c>
      <c r="M147" s="1"/>
      <c r="N147" s="1"/>
    </row>
    <row r="148" spans="1:14" s="22" customFormat="1" x14ac:dyDescent="0.25">
      <c r="A148" s="594"/>
      <c r="B148" s="70"/>
      <c r="C148" s="66"/>
      <c r="D148" s="67"/>
      <c r="E148" s="71"/>
      <c r="M148" s="1"/>
      <c r="N148" s="1"/>
    </row>
    <row r="149" spans="1:14" s="22" customFormat="1" x14ac:dyDescent="0.25">
      <c r="A149" s="595"/>
      <c r="B149" s="70" t="s">
        <v>165</v>
      </c>
      <c r="C149" s="66">
        <v>7.8630732427311292E-2</v>
      </c>
      <c r="D149" s="67">
        <f t="shared" si="1"/>
        <v>2.2133941965166493</v>
      </c>
      <c r="E149" s="71">
        <v>3.5524956445199492E-2</v>
      </c>
      <c r="M149" s="1"/>
      <c r="N149" s="1"/>
    </row>
    <row r="150" spans="1:14" s="22" customFormat="1" x14ac:dyDescent="0.25">
      <c r="A150" s="595"/>
      <c r="B150" s="70" t="s">
        <v>166</v>
      </c>
      <c r="C150" s="66">
        <v>-9.1567855636598666E-2</v>
      </c>
      <c r="D150" s="67">
        <f t="shared" si="1"/>
        <v>-2.7738908895714953</v>
      </c>
      <c r="E150" s="71">
        <v>3.301061912018604E-2</v>
      </c>
      <c r="M150" s="1"/>
      <c r="N150" s="1"/>
    </row>
    <row r="151" spans="1:14" s="22" customFormat="1" x14ac:dyDescent="0.25">
      <c r="A151" s="595"/>
      <c r="B151" s="70" t="s">
        <v>167</v>
      </c>
      <c r="C151" s="66">
        <v>0.15424745470624907</v>
      </c>
      <c r="D151" s="67">
        <f t="shared" si="1"/>
        <v>3.1015812914905427</v>
      </c>
      <c r="E151" s="71">
        <v>4.9731875520864256E-2</v>
      </c>
      <c r="M151" s="1"/>
      <c r="N151" s="1"/>
    </row>
    <row r="152" spans="1:14" s="22" customFormat="1" x14ac:dyDescent="0.25">
      <c r="A152" s="595"/>
      <c r="B152" s="70" t="s">
        <v>168</v>
      </c>
      <c r="C152" s="66">
        <v>0.10894255372669531</v>
      </c>
      <c r="D152" s="67">
        <f t="shared" si="1"/>
        <v>0.74139329894555039</v>
      </c>
      <c r="E152" s="71">
        <v>0.14694299757178719</v>
      </c>
      <c r="M152" s="1"/>
      <c r="N152" s="1"/>
    </row>
    <row r="153" spans="1:14" s="22" customFormat="1" x14ac:dyDescent="0.25">
      <c r="A153" s="595"/>
      <c r="B153" s="70" t="s">
        <v>169</v>
      </c>
      <c r="C153" s="66">
        <v>-0.63282598118044775</v>
      </c>
      <c r="D153" s="67">
        <f t="shared" si="1"/>
        <v>-17.111512436631529</v>
      </c>
      <c r="E153" s="71">
        <v>3.6982469172375632E-2</v>
      </c>
      <c r="M153" s="1"/>
      <c r="N153" s="1"/>
    </row>
    <row r="154" spans="1:14" s="22" customFormat="1" x14ac:dyDescent="0.25">
      <c r="A154" s="595"/>
      <c r="B154" s="70" t="s">
        <v>170</v>
      </c>
      <c r="C154" s="66">
        <v>0.27331071175198551</v>
      </c>
      <c r="D154" s="67">
        <f t="shared" si="1"/>
        <v>7.2256869857529562</v>
      </c>
      <c r="E154" s="71">
        <v>3.7824875654159693E-2</v>
      </c>
      <c r="M154" s="1"/>
      <c r="N154" s="1"/>
    </row>
    <row r="155" spans="1:14" s="22" customFormat="1" x14ac:dyDescent="0.25">
      <c r="A155" s="595"/>
      <c r="B155" s="70" t="s">
        <v>171</v>
      </c>
      <c r="C155" s="66">
        <v>-0.32709821592443761</v>
      </c>
      <c r="D155" s="67">
        <f t="shared" si="1"/>
        <v>-5.9605934341377953</v>
      </c>
      <c r="E155" s="71">
        <v>5.4876786940552778E-2</v>
      </c>
      <c r="M155" s="1"/>
      <c r="N155" s="1"/>
    </row>
    <row r="156" spans="1:14" s="22" customFormat="1" x14ac:dyDescent="0.25">
      <c r="A156" s="595"/>
      <c r="B156" s="70" t="s">
        <v>172</v>
      </c>
      <c r="C156" s="66">
        <v>0.24337755542595912</v>
      </c>
      <c r="D156" s="67">
        <f t="shared" si="1"/>
        <v>7.1030369622579901</v>
      </c>
      <c r="E156" s="71">
        <v>3.4263872864402446E-2</v>
      </c>
      <c r="M156" s="1"/>
      <c r="N156" s="1"/>
    </row>
    <row r="157" spans="1:14" s="22" customFormat="1" x14ac:dyDescent="0.25">
      <c r="A157" s="595"/>
      <c r="B157" s="70" t="s">
        <v>173</v>
      </c>
      <c r="C157" s="66">
        <v>0.19938940916316186</v>
      </c>
      <c r="D157" s="67">
        <f t="shared" si="1"/>
        <v>4.291770442169625</v>
      </c>
      <c r="E157" s="71">
        <v>4.6458544754403093E-2</v>
      </c>
      <c r="M157" s="1"/>
      <c r="N157" s="1"/>
    </row>
    <row r="158" spans="1:14" s="22" customFormat="1" x14ac:dyDescent="0.25">
      <c r="A158" s="595"/>
      <c r="B158" s="70" t="s">
        <v>174</v>
      </c>
      <c r="C158" s="66">
        <v>0.25635318323346556</v>
      </c>
      <c r="D158" s="67">
        <f t="shared" si="1"/>
        <v>5.3400418220804928</v>
      </c>
      <c r="E158" s="71">
        <v>4.8005838114127307E-2</v>
      </c>
      <c r="M158" s="1"/>
      <c r="N158" s="1"/>
    </row>
    <row r="159" spans="1:14" s="22" customFormat="1" x14ac:dyDescent="0.25">
      <c r="A159" s="595"/>
      <c r="B159" s="70"/>
      <c r="C159" s="66"/>
      <c r="D159" s="67"/>
      <c r="E159" s="71"/>
      <c r="M159" s="1"/>
      <c r="N159" s="1"/>
    </row>
    <row r="160" spans="1:14" s="22" customFormat="1" x14ac:dyDescent="0.25">
      <c r="A160" s="595"/>
      <c r="B160" s="70" t="s">
        <v>175</v>
      </c>
      <c r="C160" s="66">
        <v>-0.19878332054446618</v>
      </c>
      <c r="D160" s="67">
        <f t="shared" si="1"/>
        <v>-6.1901713370383291</v>
      </c>
      <c r="E160" s="71">
        <v>3.2112733189639552E-2</v>
      </c>
      <c r="M160" s="1"/>
      <c r="N160" s="1"/>
    </row>
    <row r="161" spans="1:14" s="22" customFormat="1" x14ac:dyDescent="0.25">
      <c r="A161" s="595"/>
      <c r="B161" s="70" t="s">
        <v>176</v>
      </c>
      <c r="C161" s="66">
        <v>0.40639375351693802</v>
      </c>
      <c r="D161" s="67">
        <f t="shared" si="1"/>
        <v>11.765332840017864</v>
      </c>
      <c r="E161" s="71">
        <v>3.4541628277158114E-2</v>
      </c>
      <c r="M161" s="1"/>
      <c r="N161" s="1"/>
    </row>
    <row r="162" spans="1:14" s="22" customFormat="1" x14ac:dyDescent="0.25">
      <c r="A162" s="595"/>
      <c r="B162" s="70" t="s">
        <v>12</v>
      </c>
      <c r="C162" s="66">
        <v>1.3661824214455562</v>
      </c>
      <c r="D162" s="67">
        <f t="shared" si="1"/>
        <v>46.54654930829274</v>
      </c>
      <c r="E162" s="71">
        <v>2.9350885119257531E-2</v>
      </c>
      <c r="M162" s="1"/>
      <c r="N162" s="1"/>
    </row>
    <row r="163" spans="1:14" s="22" customFormat="1" x14ac:dyDescent="0.25">
      <c r="A163" s="595"/>
      <c r="B163" s="70" t="s">
        <v>10</v>
      </c>
      <c r="C163" s="66">
        <v>-1.2521006790655731</v>
      </c>
      <c r="D163" s="67">
        <f t="shared" si="1"/>
        <v>-23.689741035462514</v>
      </c>
      <c r="E163" s="71">
        <v>5.2854131127530381E-2</v>
      </c>
      <c r="M163" s="1"/>
      <c r="N163" s="1"/>
    </row>
    <row r="164" spans="1:14" s="22" customFormat="1" x14ac:dyDescent="0.25">
      <c r="A164" s="595"/>
      <c r="B164" s="70" t="s">
        <v>186</v>
      </c>
      <c r="C164" s="66">
        <v>-0.78281784462322379</v>
      </c>
      <c r="D164" s="67">
        <f t="shared" si="1"/>
        <v>-4.8599876016723167</v>
      </c>
      <c r="E164" s="71">
        <v>0.16107404149629043</v>
      </c>
      <c r="M164" s="1"/>
      <c r="N164" s="1"/>
    </row>
    <row r="165" spans="1:14" s="22" customFormat="1" x14ac:dyDescent="0.25">
      <c r="A165" s="595"/>
      <c r="B165" s="70" t="s">
        <v>187</v>
      </c>
      <c r="C165" s="66">
        <v>-5.533127335711369E-3</v>
      </c>
      <c r="D165" s="67">
        <f t="shared" si="1"/>
        <v>-6.9115504942952433E-2</v>
      </c>
      <c r="E165" s="71">
        <v>8.0056238325660542E-2</v>
      </c>
      <c r="M165" s="1"/>
      <c r="N165" s="1"/>
    </row>
    <row r="166" spans="1:14" s="22" customFormat="1" x14ac:dyDescent="0.25">
      <c r="A166" s="595"/>
      <c r="B166" s="70" t="s">
        <v>188</v>
      </c>
      <c r="C166" s="66">
        <v>-0.95676211811226264</v>
      </c>
      <c r="D166" s="67">
        <f t="shared" si="1"/>
        <v>-7.3896284559069558</v>
      </c>
      <c r="E166" s="71">
        <v>0.12947364320427607</v>
      </c>
      <c r="F166" s="1"/>
      <c r="M166" s="1"/>
      <c r="N166" s="1"/>
    </row>
    <row r="167" spans="1:14" s="22" customFormat="1" x14ac:dyDescent="0.25">
      <c r="A167" s="595"/>
      <c r="B167" s="70" t="s">
        <v>189</v>
      </c>
      <c r="C167" s="66">
        <v>-0.72043432979334154</v>
      </c>
      <c r="D167" s="67">
        <f t="shared" si="1"/>
        <v>-6.0846624255057691</v>
      </c>
      <c r="E167" s="71">
        <v>0.1184016925529698</v>
      </c>
      <c r="F167" s="1"/>
      <c r="M167" s="1"/>
      <c r="N167" s="1"/>
    </row>
    <row r="168" spans="1:14" s="22" customFormat="1" x14ac:dyDescent="0.25">
      <c r="A168" s="595"/>
      <c r="B168" s="70" t="s">
        <v>190</v>
      </c>
      <c r="C168" s="66">
        <v>1.0255391550841333</v>
      </c>
      <c r="D168" s="67">
        <f t="shared" si="1"/>
        <v>10.86988570800065</v>
      </c>
      <c r="E168" s="71">
        <v>9.4346820438902815E-2</v>
      </c>
      <c r="F168" s="1"/>
      <c r="M168" s="1"/>
      <c r="N168" s="1"/>
    </row>
    <row r="169" spans="1:14" s="22" customFormat="1" x14ac:dyDescent="0.25">
      <c r="A169" s="595"/>
      <c r="B169" s="70" t="s">
        <v>183</v>
      </c>
      <c r="C169" s="66">
        <v>5.1567977490315071</v>
      </c>
      <c r="D169" s="67">
        <f t="shared" si="1"/>
        <v>94.722458115687189</v>
      </c>
      <c r="E169" s="71">
        <v>5.4441130980082526E-2</v>
      </c>
      <c r="F169" s="1"/>
      <c r="M169" s="1"/>
      <c r="N169" s="1"/>
    </row>
    <row r="170" spans="1:14" s="22" customFormat="1" x14ac:dyDescent="0.25">
      <c r="A170" s="595"/>
      <c r="B170" s="70" t="s">
        <v>184</v>
      </c>
      <c r="C170" s="66">
        <v>1.9335271998287795</v>
      </c>
      <c r="D170" s="67">
        <f t="shared" si="1"/>
        <v>60.296184519433965</v>
      </c>
      <c r="E170" s="71">
        <v>3.2067156740333835E-2</v>
      </c>
      <c r="F170" s="1"/>
      <c r="M170" s="1"/>
      <c r="N170" s="1"/>
    </row>
    <row r="171" spans="1:14" s="22" customFormat="1" x14ac:dyDescent="0.25">
      <c r="A171" s="596"/>
      <c r="B171" s="72" t="s">
        <v>193</v>
      </c>
      <c r="C171" s="66">
        <v>-4.9738422362218815E-2</v>
      </c>
      <c r="D171" s="67">
        <f t="shared" si="1"/>
        <v>-3.6376614531906348</v>
      </c>
      <c r="E171" s="73">
        <v>1.3673186194551632E-2</v>
      </c>
      <c r="M171" s="1"/>
      <c r="N171" s="1"/>
    </row>
    <row r="172" spans="1:14" s="22" customFormat="1" ht="15.75" thickBot="1" x14ac:dyDescent="0.3">
      <c r="A172" s="598" t="s">
        <v>192</v>
      </c>
      <c r="B172" s="74" t="s">
        <v>163</v>
      </c>
      <c r="C172" s="66">
        <v>-2.852581065154729</v>
      </c>
      <c r="D172" s="67">
        <f t="shared" si="1"/>
        <v>-74.844294531831025</v>
      </c>
      <c r="E172" s="75">
        <v>3.8113540691355384E-2</v>
      </c>
      <c r="M172" s="1"/>
      <c r="N172" s="1"/>
    </row>
    <row r="173" spans="1:14" s="22" customFormat="1" x14ac:dyDescent="0.25">
      <c r="A173" s="594"/>
      <c r="B173" s="70"/>
      <c r="C173" s="66"/>
      <c r="D173" s="67"/>
      <c r="E173" s="71"/>
      <c r="M173" s="1"/>
      <c r="N173" s="1"/>
    </row>
    <row r="174" spans="1:14" s="22" customFormat="1" x14ac:dyDescent="0.25">
      <c r="A174" s="595"/>
      <c r="B174" s="70" t="s">
        <v>165</v>
      </c>
      <c r="C174" s="66">
        <v>-0.11111716707701046</v>
      </c>
      <c r="D174" s="67">
        <f t="shared" si="1"/>
        <v>-4.4794078464356399</v>
      </c>
      <c r="E174" s="71">
        <v>2.480621789449888E-2</v>
      </c>
      <c r="M174" s="1"/>
      <c r="N174" s="1"/>
    </row>
    <row r="175" spans="1:14" s="22" customFormat="1" x14ac:dyDescent="0.25">
      <c r="A175" s="595"/>
      <c r="B175" s="70" t="s">
        <v>166</v>
      </c>
      <c r="C175" s="66">
        <v>-0.20607114253475525</v>
      </c>
      <c r="D175" s="67">
        <f t="shared" si="1"/>
        <v>-9.5120286413904118</v>
      </c>
      <c r="E175" s="71">
        <v>2.1664268507147071E-2</v>
      </c>
      <c r="M175" s="1"/>
      <c r="N175" s="1"/>
    </row>
    <row r="176" spans="1:14" s="22" customFormat="1" x14ac:dyDescent="0.25">
      <c r="A176" s="595"/>
      <c r="B176" s="70" t="s">
        <v>167</v>
      </c>
      <c r="C176" s="66">
        <v>-0.26360821542774576</v>
      </c>
      <c r="D176" s="67">
        <f t="shared" si="1"/>
        <v>-7.8760504177133273</v>
      </c>
      <c r="E176" s="71">
        <v>3.3469594713980991E-2</v>
      </c>
      <c r="M176" s="1"/>
      <c r="N176" s="1"/>
    </row>
    <row r="177" spans="1:14" s="22" customFormat="1" x14ac:dyDescent="0.25">
      <c r="A177" s="595"/>
      <c r="B177" s="70" t="s">
        <v>168</v>
      </c>
      <c r="C177" s="66">
        <v>-0.3641716105396528</v>
      </c>
      <c r="D177" s="67">
        <f t="shared" si="1"/>
        <v>-3.7010088948943469</v>
      </c>
      <c r="E177" s="71">
        <v>9.8397929019311062E-2</v>
      </c>
      <c r="M177" s="1"/>
      <c r="N177" s="1"/>
    </row>
    <row r="178" spans="1:14" s="22" customFormat="1" x14ac:dyDescent="0.25">
      <c r="A178" s="595"/>
      <c r="B178" s="70" t="s">
        <v>169</v>
      </c>
      <c r="C178" s="66">
        <v>-0.35643762454243133</v>
      </c>
      <c r="D178" s="67">
        <f t="shared" si="1"/>
        <v>-14.967233111628824</v>
      </c>
      <c r="E178" s="71">
        <v>2.3814530172948021E-2</v>
      </c>
      <c r="M178" s="1"/>
      <c r="N178" s="1"/>
    </row>
    <row r="179" spans="1:14" s="22" customFormat="1" x14ac:dyDescent="0.25">
      <c r="A179" s="595"/>
      <c r="B179" s="70" t="s">
        <v>170</v>
      </c>
      <c r="C179" s="66">
        <v>4.0251359262759405E-3</v>
      </c>
      <c r="D179" s="67">
        <f t="shared" si="1"/>
        <v>0.17594645791760324</v>
      </c>
      <c r="E179" s="71">
        <v>2.2877050063496791E-2</v>
      </c>
      <c r="M179" s="1"/>
      <c r="N179" s="1"/>
    </row>
    <row r="180" spans="1:14" s="22" customFormat="1" x14ac:dyDescent="0.25">
      <c r="A180" s="595"/>
      <c r="B180" s="70" t="s">
        <v>171</v>
      </c>
      <c r="C180" s="66">
        <v>-0.75640054455605266</v>
      </c>
      <c r="D180" s="67">
        <f t="shared" si="1"/>
        <v>-17.487117111185771</v>
      </c>
      <c r="E180" s="71">
        <v>4.3254730882554396E-2</v>
      </c>
      <c r="M180" s="1"/>
      <c r="N180" s="1"/>
    </row>
    <row r="181" spans="1:14" s="22" customFormat="1" x14ac:dyDescent="0.25">
      <c r="A181" s="595"/>
      <c r="B181" s="70" t="s">
        <v>172</v>
      </c>
      <c r="C181" s="66">
        <v>-0.36603988152259592</v>
      </c>
      <c r="D181" s="67">
        <f t="shared" si="1"/>
        <v>-14.726351944329926</v>
      </c>
      <c r="E181" s="71">
        <v>2.4856113917848605E-2</v>
      </c>
      <c r="M181" s="1"/>
      <c r="N181" s="1"/>
    </row>
    <row r="182" spans="1:14" s="22" customFormat="1" x14ac:dyDescent="0.25">
      <c r="A182" s="595"/>
      <c r="B182" s="70" t="s">
        <v>173</v>
      </c>
      <c r="C182" s="66">
        <v>3.5164700802864962E-2</v>
      </c>
      <c r="D182" s="67">
        <f t="shared" si="1"/>
        <v>0.88399425382456487</v>
      </c>
      <c r="E182" s="71">
        <v>3.9779331879959995E-2</v>
      </c>
      <c r="M182" s="1"/>
      <c r="N182" s="1"/>
    </row>
    <row r="183" spans="1:14" s="22" customFormat="1" x14ac:dyDescent="0.25">
      <c r="A183" s="595"/>
      <c r="B183" s="70" t="s">
        <v>174</v>
      </c>
      <c r="C183" s="66">
        <v>0.19472587618701437</v>
      </c>
      <c r="D183" s="67">
        <f t="shared" si="1"/>
        <v>4.4590504386100047</v>
      </c>
      <c r="E183" s="71">
        <v>4.36698079261277E-2</v>
      </c>
      <c r="M183" s="1"/>
      <c r="N183" s="1"/>
    </row>
    <row r="184" spans="1:14" s="22" customFormat="1" x14ac:dyDescent="0.25">
      <c r="A184" s="595"/>
      <c r="B184" s="70"/>
      <c r="C184" s="66"/>
      <c r="D184" s="67"/>
      <c r="E184" s="71"/>
      <c r="M184" s="1"/>
      <c r="N184" s="1"/>
    </row>
    <row r="185" spans="1:14" s="22" customFormat="1" x14ac:dyDescent="0.25">
      <c r="A185" s="595"/>
      <c r="B185" s="70" t="s">
        <v>175</v>
      </c>
      <c r="C185" s="66">
        <v>-0.21477674933077939</v>
      </c>
      <c r="D185" s="67">
        <f t="shared" si="1"/>
        <v>-8.8443806477136988</v>
      </c>
      <c r="E185" s="71">
        <v>2.4283978481444021E-2</v>
      </c>
      <c r="M185" s="1"/>
      <c r="N185" s="1"/>
    </row>
    <row r="186" spans="1:14" s="22" customFormat="1" x14ac:dyDescent="0.25">
      <c r="A186" s="595"/>
      <c r="B186" s="70" t="s">
        <v>176</v>
      </c>
      <c r="C186" s="66">
        <v>0.43905837826939609</v>
      </c>
      <c r="D186" s="67">
        <f t="shared" si="1"/>
        <v>21.317168736877012</v>
      </c>
      <c r="E186" s="71">
        <v>2.0596467743385635E-2</v>
      </c>
      <c r="M186" s="1"/>
      <c r="N186" s="1"/>
    </row>
    <row r="187" spans="1:14" s="22" customFormat="1" x14ac:dyDescent="0.25">
      <c r="A187" s="595"/>
      <c r="B187" s="70" t="s">
        <v>12</v>
      </c>
      <c r="C187" s="66">
        <v>0.98212956637543414</v>
      </c>
      <c r="D187" s="67">
        <f t="shared" si="1"/>
        <v>44.437500109527839</v>
      </c>
      <c r="E187" s="71">
        <v>2.2101368527813647E-2</v>
      </c>
      <c r="M187" s="1"/>
      <c r="N187" s="1"/>
    </row>
    <row r="188" spans="1:14" s="22" customFormat="1" x14ac:dyDescent="0.25">
      <c r="A188" s="595"/>
      <c r="B188" s="70" t="s">
        <v>10</v>
      </c>
      <c r="C188" s="66">
        <v>-0.36264065146074215</v>
      </c>
      <c r="D188" s="67">
        <f t="shared" si="1"/>
        <v>-16.445551998558933</v>
      </c>
      <c r="E188" s="71">
        <v>2.2050986886455324E-2</v>
      </c>
      <c r="M188" s="1"/>
      <c r="N188" s="1"/>
    </row>
    <row r="189" spans="1:14" s="22" customFormat="1" x14ac:dyDescent="0.25">
      <c r="A189" s="595"/>
      <c r="B189" s="70" t="s">
        <v>186</v>
      </c>
      <c r="C189" s="66">
        <v>-2.7047527661521964E-2</v>
      </c>
      <c r="D189" s="67">
        <f t="shared" ref="D189:D196" si="2">C189/E189</f>
        <v>-0.38236675152551719</v>
      </c>
      <c r="E189" s="71">
        <v>7.0737132749150528E-2</v>
      </c>
      <c r="F189" s="1"/>
      <c r="M189" s="1"/>
      <c r="N189" s="1"/>
    </row>
    <row r="190" spans="1:14" s="22" customFormat="1" x14ac:dyDescent="0.25">
      <c r="A190" s="595"/>
      <c r="B190" s="70" t="s">
        <v>187</v>
      </c>
      <c r="C190" s="66">
        <v>-0.51052287599247059</v>
      </c>
      <c r="D190" s="67">
        <f t="shared" si="2"/>
        <v>-7.2731255118239915</v>
      </c>
      <c r="E190" s="71">
        <v>7.0193051826550848E-2</v>
      </c>
      <c r="F190" s="1"/>
      <c r="M190" s="1"/>
      <c r="N190" s="1"/>
    </row>
    <row r="191" spans="1:14" s="22" customFormat="1" x14ac:dyDescent="0.25">
      <c r="A191" s="595"/>
      <c r="B191" s="70" t="s">
        <v>188</v>
      </c>
      <c r="C191" s="66">
        <v>-0.29613203960193651</v>
      </c>
      <c r="D191" s="67">
        <f t="shared" si="2"/>
        <v>-4.2197121915697444</v>
      </c>
      <c r="E191" s="71">
        <v>7.0178255330673303E-2</v>
      </c>
      <c r="F191" s="1"/>
      <c r="M191" s="1"/>
      <c r="N191" s="1"/>
    </row>
    <row r="192" spans="1:14" s="22" customFormat="1" x14ac:dyDescent="0.25">
      <c r="A192" s="595"/>
      <c r="B192" s="70" t="s">
        <v>189</v>
      </c>
      <c r="C192" s="66">
        <v>-0.33410009682459396</v>
      </c>
      <c r="D192" s="67">
        <f t="shared" si="2"/>
        <v>-4.3920351163266638</v>
      </c>
      <c r="E192" s="71">
        <v>7.6069541334638266E-2</v>
      </c>
      <c r="F192" s="1"/>
      <c r="M192" s="1"/>
      <c r="N192" s="1"/>
    </row>
    <row r="193" spans="1:14" s="22" customFormat="1" x14ac:dyDescent="0.25">
      <c r="A193" s="595"/>
      <c r="B193" s="70" t="s">
        <v>190</v>
      </c>
      <c r="C193" s="66">
        <v>-0.25107795582598158</v>
      </c>
      <c r="D193" s="67">
        <f t="shared" si="2"/>
        <v>-2.8273761743924739</v>
      </c>
      <c r="E193" s="71">
        <v>8.8802458654066926E-2</v>
      </c>
      <c r="F193" s="1"/>
      <c r="M193" s="1"/>
      <c r="N193" s="1"/>
    </row>
    <row r="194" spans="1:14" s="22" customFormat="1" x14ac:dyDescent="0.25">
      <c r="A194" s="595"/>
      <c r="B194" s="70" t="s">
        <v>183</v>
      </c>
      <c r="C194" s="66">
        <v>3.9643836938563695</v>
      </c>
      <c r="D194" s="67">
        <f t="shared" si="2"/>
        <v>79.833361143510018</v>
      </c>
      <c r="E194" s="71">
        <v>4.9658233563909651E-2</v>
      </c>
      <c r="M194" s="1"/>
      <c r="N194" s="1"/>
    </row>
    <row r="195" spans="1:14" s="22" customFormat="1" x14ac:dyDescent="0.25">
      <c r="A195" s="595"/>
      <c r="B195" s="70" t="s">
        <v>184</v>
      </c>
      <c r="C195" s="66">
        <v>1.1789970723272631</v>
      </c>
      <c r="D195" s="67">
        <f t="shared" si="2"/>
        <v>55.20927260947132</v>
      </c>
      <c r="E195" s="71">
        <v>2.1355055348528582E-2</v>
      </c>
      <c r="M195" s="1"/>
      <c r="N195" s="1"/>
    </row>
    <row r="196" spans="1:14" s="22" customFormat="1" ht="15.75" thickBot="1" x14ac:dyDescent="0.3">
      <c r="A196" s="599"/>
      <c r="B196" s="76" t="s">
        <v>193</v>
      </c>
      <c r="C196" s="66">
        <v>0.10170273573946913</v>
      </c>
      <c r="D196" s="67">
        <f t="shared" si="2"/>
        <v>11.080754434347396</v>
      </c>
      <c r="E196" s="77">
        <v>9.1783223193014421E-3</v>
      </c>
      <c r="M196" s="1"/>
      <c r="N196" s="1"/>
    </row>
    <row r="197" spans="1:14" s="22" customFormat="1" x14ac:dyDescent="0.25">
      <c r="A197" s="59"/>
      <c r="B197" s="59"/>
      <c r="C197" s="59"/>
      <c r="D197" s="59"/>
      <c r="E197" s="59"/>
      <c r="F197" s="59"/>
      <c r="G197" s="59"/>
      <c r="H197" s="59"/>
      <c r="I197" s="59"/>
      <c r="J197" s="59"/>
      <c r="K197" s="59"/>
      <c r="M197" s="1"/>
      <c r="N197" s="1"/>
    </row>
    <row r="198" spans="1:14" s="22" customFormat="1" x14ac:dyDescent="0.25">
      <c r="A198" s="22" t="s">
        <v>269</v>
      </c>
      <c r="C198" s="1"/>
      <c r="D198" s="1"/>
      <c r="E198" s="1"/>
      <c r="F198" s="1"/>
      <c r="M198" s="1"/>
      <c r="N198" s="1"/>
    </row>
    <row r="199" spans="1:14" s="22" customFormat="1" ht="15.75" customHeight="1" thickBot="1" x14ac:dyDescent="0.3">
      <c r="A199" s="600" t="s">
        <v>93</v>
      </c>
      <c r="B199" s="601"/>
      <c r="C199" s="601"/>
      <c r="D199" s="601"/>
      <c r="E199" s="601"/>
      <c r="F199" s="601"/>
      <c r="G199" s="601"/>
      <c r="H199" s="601"/>
      <c r="I199" s="601"/>
      <c r="J199" s="601"/>
      <c r="K199" s="59"/>
    </row>
    <row r="200" spans="1:14" s="22" customFormat="1" ht="15.75" customHeight="1" thickBot="1" x14ac:dyDescent="0.3">
      <c r="A200" s="605" t="s">
        <v>185</v>
      </c>
      <c r="B200" s="606"/>
      <c r="C200" s="608" t="s">
        <v>161</v>
      </c>
      <c r="D200" s="580" t="s">
        <v>266</v>
      </c>
      <c r="E200" s="580" t="s">
        <v>162</v>
      </c>
      <c r="K200" s="59"/>
    </row>
    <row r="201" spans="1:14" s="22" customFormat="1" ht="15.75" thickBot="1" x14ac:dyDescent="0.3">
      <c r="A201" s="599"/>
      <c r="B201" s="607"/>
      <c r="C201" s="609"/>
      <c r="D201" s="610"/>
      <c r="E201" s="610"/>
      <c r="K201" s="59"/>
    </row>
    <row r="202" spans="1:14" s="22" customFormat="1" x14ac:dyDescent="0.25">
      <c r="A202" s="593" t="s">
        <v>268</v>
      </c>
      <c r="B202" s="68" t="s">
        <v>163</v>
      </c>
      <c r="C202" s="66">
        <v>-1.7672742845571559</v>
      </c>
      <c r="D202" s="67">
        <f t="shared" ref="D202:D265" si="3">C202/E202</f>
        <v>-111.38279179751513</v>
      </c>
      <c r="E202" s="66">
        <v>1.5866672544623563E-2</v>
      </c>
      <c r="K202" s="59"/>
    </row>
    <row r="203" spans="1:14" s="22" customFormat="1" x14ac:dyDescent="0.25">
      <c r="A203" s="595"/>
      <c r="B203" s="70" t="s">
        <v>164</v>
      </c>
      <c r="C203" s="66">
        <v>0</v>
      </c>
      <c r="D203" s="67"/>
      <c r="E203" s="66"/>
      <c r="K203" s="59"/>
    </row>
    <row r="204" spans="1:14" s="22" customFormat="1" x14ac:dyDescent="0.25">
      <c r="A204" s="595"/>
      <c r="B204" s="70" t="s">
        <v>165</v>
      </c>
      <c r="C204" s="66">
        <v>0.6823733123580753</v>
      </c>
      <c r="D204" s="67">
        <f t="shared" si="3"/>
        <v>79.081866276286291</v>
      </c>
      <c r="E204" s="66">
        <v>8.6286951040594456E-3</v>
      </c>
      <c r="K204" s="59"/>
    </row>
    <row r="205" spans="1:14" s="22" customFormat="1" x14ac:dyDescent="0.25">
      <c r="A205" s="595"/>
      <c r="B205" s="70" t="s">
        <v>166</v>
      </c>
      <c r="C205" s="66">
        <v>-7.5117631436607213E-2</v>
      </c>
      <c r="D205" s="67">
        <f t="shared" si="3"/>
        <v>-8.1423686116171297</v>
      </c>
      <c r="E205" s="66">
        <v>9.2255257677026654E-3</v>
      </c>
      <c r="K205" s="59"/>
    </row>
    <row r="206" spans="1:14" s="22" customFormat="1" x14ac:dyDescent="0.25">
      <c r="A206" s="595"/>
      <c r="B206" s="70" t="s">
        <v>167</v>
      </c>
      <c r="C206" s="66">
        <v>-1.3190700656974801E-2</v>
      </c>
      <c r="D206" s="67">
        <f t="shared" si="3"/>
        <v>-1.1969218841823444</v>
      </c>
      <c r="E206" s="66">
        <v>1.1020519242979495E-2</v>
      </c>
      <c r="K206" s="59"/>
    </row>
    <row r="207" spans="1:14" s="22" customFormat="1" x14ac:dyDescent="0.25">
      <c r="A207" s="595"/>
      <c r="B207" s="70" t="s">
        <v>168</v>
      </c>
      <c r="C207" s="66">
        <v>0.22988878326048939</v>
      </c>
      <c r="D207" s="67">
        <f t="shared" si="3"/>
        <v>16.177486338150324</v>
      </c>
      <c r="E207" s="66">
        <v>1.4210414303880913E-2</v>
      </c>
      <c r="K207" s="59"/>
    </row>
    <row r="208" spans="1:14" s="22" customFormat="1" x14ac:dyDescent="0.25">
      <c r="A208" s="595"/>
      <c r="B208" s="70" t="s">
        <v>169</v>
      </c>
      <c r="C208" s="66">
        <v>0.53338597289161305</v>
      </c>
      <c r="D208" s="67">
        <f t="shared" si="3"/>
        <v>57.19176848878346</v>
      </c>
      <c r="E208" s="66">
        <v>9.326271716815708E-3</v>
      </c>
      <c r="K208" s="59"/>
    </row>
    <row r="209" spans="1:11" s="22" customFormat="1" x14ac:dyDescent="0.25">
      <c r="A209" s="595"/>
      <c r="B209" s="70" t="s">
        <v>170</v>
      </c>
      <c r="C209" s="66">
        <v>-0.14570776954796347</v>
      </c>
      <c r="D209" s="67">
        <f t="shared" si="3"/>
        <v>-17.638350819436045</v>
      </c>
      <c r="E209" s="66">
        <v>8.2608499535798564E-3</v>
      </c>
      <c r="K209" s="59"/>
    </row>
    <row r="210" spans="1:11" s="22" customFormat="1" x14ac:dyDescent="0.25">
      <c r="A210" s="595"/>
      <c r="B210" s="70" t="s">
        <v>171</v>
      </c>
      <c r="C210" s="66">
        <v>0.31178866175163494</v>
      </c>
      <c r="D210" s="67">
        <f t="shared" si="3"/>
        <v>22.219716167865904</v>
      </c>
      <c r="E210" s="66">
        <v>1.4032072209929617E-2</v>
      </c>
      <c r="K210" s="59"/>
    </row>
    <row r="211" spans="1:11" s="22" customFormat="1" x14ac:dyDescent="0.25">
      <c r="A211" s="595"/>
      <c r="B211" s="70" t="s">
        <v>172</v>
      </c>
      <c r="C211" s="66">
        <v>5.3406288413938061E-2</v>
      </c>
      <c r="D211" s="67">
        <f t="shared" si="3"/>
        <v>6.6001303650949232</v>
      </c>
      <c r="E211" s="66">
        <v>8.0917020512775838E-3</v>
      </c>
      <c r="K211" s="59"/>
    </row>
    <row r="212" spans="1:11" s="22" customFormat="1" x14ac:dyDescent="0.25">
      <c r="A212" s="595"/>
      <c r="B212" s="70" t="s">
        <v>173</v>
      </c>
      <c r="C212" s="66">
        <v>-9.4865826448709955E-3</v>
      </c>
      <c r="D212" s="67">
        <f t="shared" si="3"/>
        <v>-0.65558653299421521</v>
      </c>
      <c r="E212" s="66">
        <v>1.4470374492812688E-2</v>
      </c>
      <c r="K212" s="59"/>
    </row>
    <row r="213" spans="1:11" s="22" customFormat="1" x14ac:dyDescent="0.25">
      <c r="A213" s="595"/>
      <c r="B213" s="70" t="s">
        <v>174</v>
      </c>
      <c r="C213" s="66">
        <v>8.687029153718212E-2</v>
      </c>
      <c r="D213" s="67">
        <f t="shared" si="3"/>
        <v>5.0307348838819621</v>
      </c>
      <c r="E213" s="66">
        <v>1.7267912848181882E-2</v>
      </c>
      <c r="K213" s="59"/>
    </row>
    <row r="214" spans="1:11" s="22" customFormat="1" x14ac:dyDescent="0.25">
      <c r="A214" s="595"/>
      <c r="B214" s="70" t="s">
        <v>271</v>
      </c>
      <c r="C214" s="66">
        <v>-0.52298507879868905</v>
      </c>
      <c r="D214" s="67">
        <f t="shared" si="3"/>
        <v>-78.254303056168936</v>
      </c>
      <c r="E214" s="66">
        <v>6.6831478701344224E-3</v>
      </c>
      <c r="K214" s="59"/>
    </row>
    <row r="215" spans="1:11" s="22" customFormat="1" x14ac:dyDescent="0.25">
      <c r="A215" s="595"/>
      <c r="B215" s="70" t="s">
        <v>175</v>
      </c>
      <c r="C215" s="66">
        <v>3.8970619319027622E-2</v>
      </c>
      <c r="D215" s="67">
        <f t="shared" si="3"/>
        <v>5.0504658634687107</v>
      </c>
      <c r="E215" s="66">
        <v>7.7162424957491369E-3</v>
      </c>
      <c r="K215" s="59"/>
    </row>
    <row r="216" spans="1:11" s="22" customFormat="1" x14ac:dyDescent="0.25">
      <c r="A216" s="595"/>
      <c r="B216" s="70" t="s">
        <v>176</v>
      </c>
      <c r="C216" s="66">
        <v>4.7783898640358966E-2</v>
      </c>
      <c r="D216" s="67">
        <f t="shared" si="3"/>
        <v>5.8654284055330601</v>
      </c>
      <c r="E216" s="66">
        <v>8.1467022247314058E-3</v>
      </c>
      <c r="K216" s="59"/>
    </row>
    <row r="217" spans="1:11" s="22" customFormat="1" x14ac:dyDescent="0.25">
      <c r="A217" s="595"/>
      <c r="B217" s="70" t="s">
        <v>12</v>
      </c>
      <c r="C217" s="66">
        <v>-9.7808715521896697E-2</v>
      </c>
      <c r="D217" s="67">
        <f t="shared" si="3"/>
        <v>-9.4547105666590134</v>
      </c>
      <c r="E217" s="66">
        <v>1.0344971940950605E-2</v>
      </c>
      <c r="K217" s="59"/>
    </row>
    <row r="218" spans="1:11" s="22" customFormat="1" x14ac:dyDescent="0.25">
      <c r="A218" s="595"/>
      <c r="B218" s="70" t="s">
        <v>10</v>
      </c>
      <c r="C218" s="66">
        <v>7.467184629367675E-2</v>
      </c>
      <c r="D218" s="67">
        <f t="shared" si="3"/>
        <v>10.995650046952894</v>
      </c>
      <c r="E218" s="66">
        <v>6.7910351798045583E-3</v>
      </c>
      <c r="K218" s="59"/>
    </row>
    <row r="219" spans="1:11" s="22" customFormat="1" x14ac:dyDescent="0.25">
      <c r="A219" s="595"/>
      <c r="B219" s="70" t="s">
        <v>186</v>
      </c>
      <c r="C219" s="66">
        <v>-2.6109332215947374E-2</v>
      </c>
      <c r="D219" s="67">
        <f t="shared" si="3"/>
        <v>-1.0465223517947739</v>
      </c>
      <c r="E219" s="66">
        <v>2.4948661795106589E-2</v>
      </c>
      <c r="K219" s="59"/>
    </row>
    <row r="220" spans="1:11" s="22" customFormat="1" x14ac:dyDescent="0.25">
      <c r="A220" s="595"/>
      <c r="B220" s="70" t="s">
        <v>187</v>
      </c>
      <c r="C220" s="66">
        <v>0.17067530724291663</v>
      </c>
      <c r="D220" s="67">
        <f t="shared" si="3"/>
        <v>7.6866908663143949</v>
      </c>
      <c r="E220" s="66">
        <v>2.2204003024353679E-2</v>
      </c>
      <c r="K220" s="59"/>
    </row>
    <row r="221" spans="1:11" s="22" customFormat="1" x14ac:dyDescent="0.25">
      <c r="A221" s="595"/>
      <c r="B221" s="70" t="s">
        <v>188</v>
      </c>
      <c r="C221" s="66">
        <v>-0.13070466551007628</v>
      </c>
      <c r="D221" s="67">
        <f t="shared" si="3"/>
        <v>-6.1658293356302041</v>
      </c>
      <c r="E221" s="66">
        <v>2.1198229531715879E-2</v>
      </c>
      <c r="K221" s="59"/>
    </row>
    <row r="222" spans="1:11" s="22" customFormat="1" x14ac:dyDescent="0.25">
      <c r="A222" s="595"/>
      <c r="B222" s="70" t="s">
        <v>189</v>
      </c>
      <c r="C222" s="66">
        <v>1.2731611608370505E-2</v>
      </c>
      <c r="D222" s="67">
        <f t="shared" si="3"/>
        <v>0.51048956016814795</v>
      </c>
      <c r="E222" s="66">
        <v>2.4940003874274912E-2</v>
      </c>
      <c r="K222" s="59"/>
    </row>
    <row r="223" spans="1:11" s="22" customFormat="1" x14ac:dyDescent="0.25">
      <c r="A223" s="595"/>
      <c r="B223" s="70" t="s">
        <v>190</v>
      </c>
      <c r="C223" s="66">
        <v>6.2953745813579806E-2</v>
      </c>
      <c r="D223" s="67">
        <f t="shared" si="3"/>
        <v>2.1470479125688695</v>
      </c>
      <c r="E223" s="66">
        <v>2.932107171202239E-2</v>
      </c>
      <c r="K223" s="59"/>
    </row>
    <row r="224" spans="1:11" s="22" customFormat="1" x14ac:dyDescent="0.25">
      <c r="A224" s="595"/>
      <c r="B224" s="70" t="s">
        <v>183</v>
      </c>
      <c r="C224" s="66">
        <v>2.6531940745996074</v>
      </c>
      <c r="D224" s="67">
        <f t="shared" si="3"/>
        <v>109.71593649812101</v>
      </c>
      <c r="E224" s="66">
        <v>2.4182394639132902E-2</v>
      </c>
      <c r="K224" s="59"/>
    </row>
    <row r="225" spans="1:11" s="22" customFormat="1" x14ac:dyDescent="0.25">
      <c r="A225" s="595"/>
      <c r="B225" s="70" t="s">
        <v>184</v>
      </c>
      <c r="C225" s="66">
        <v>0.6451857248072469</v>
      </c>
      <c r="D225" s="67">
        <f t="shared" si="3"/>
        <v>85.403538928248608</v>
      </c>
      <c r="E225" s="66">
        <v>7.5545549154502458E-3</v>
      </c>
      <c r="K225" s="59"/>
    </row>
    <row r="226" spans="1:11" s="22" customFormat="1" x14ac:dyDescent="0.25">
      <c r="A226" s="596"/>
      <c r="B226" s="72" t="s">
        <v>193</v>
      </c>
      <c r="C226" s="66">
        <v>4.054907814205426E-2</v>
      </c>
      <c r="D226" s="67">
        <f t="shared" si="3"/>
        <v>12.634823286885588</v>
      </c>
      <c r="E226" s="66">
        <v>3.2093110620820858E-3</v>
      </c>
      <c r="K226" s="59"/>
    </row>
    <row r="227" spans="1:11" s="22" customFormat="1" x14ac:dyDescent="0.25">
      <c r="A227" s="597" t="s">
        <v>191</v>
      </c>
      <c r="B227" s="74" t="s">
        <v>163</v>
      </c>
      <c r="C227" s="66">
        <v>-5.1874226180383571</v>
      </c>
      <c r="D227" s="67">
        <f t="shared" si="3"/>
        <v>-104.48261131208099</v>
      </c>
      <c r="E227" s="66">
        <v>4.9648669313441557E-2</v>
      </c>
      <c r="K227" s="59"/>
    </row>
    <row r="228" spans="1:11" s="22" customFormat="1" x14ac:dyDescent="0.25">
      <c r="A228" s="595"/>
      <c r="B228" s="70" t="s">
        <v>164</v>
      </c>
      <c r="C228" s="66">
        <v>0</v>
      </c>
      <c r="D228" s="67"/>
      <c r="E228" s="66"/>
      <c r="K228" s="59"/>
    </row>
    <row r="229" spans="1:11" s="22" customFormat="1" x14ac:dyDescent="0.25">
      <c r="A229" s="595"/>
      <c r="B229" s="70" t="s">
        <v>165</v>
      </c>
      <c r="C229" s="66">
        <v>0.62763254285324743</v>
      </c>
      <c r="D229" s="67">
        <f t="shared" si="3"/>
        <v>24.790510977203166</v>
      </c>
      <c r="E229" s="66">
        <v>2.531745083553966E-2</v>
      </c>
      <c r="K229" s="59"/>
    </row>
    <row r="230" spans="1:11" s="22" customFormat="1" x14ac:dyDescent="0.25">
      <c r="A230" s="595"/>
      <c r="B230" s="70" t="s">
        <v>166</v>
      </c>
      <c r="C230" s="66">
        <v>-1.9606207237061777E-2</v>
      </c>
      <c r="D230" s="67">
        <f t="shared" si="3"/>
        <v>-0.72300818700121261</v>
      </c>
      <c r="E230" s="66">
        <v>2.7117545263742489E-2</v>
      </c>
      <c r="K230" s="59"/>
    </row>
    <row r="231" spans="1:11" s="22" customFormat="1" x14ac:dyDescent="0.25">
      <c r="A231" s="595"/>
      <c r="B231" s="70" t="s">
        <v>167</v>
      </c>
      <c r="C231" s="66">
        <v>-0.34196455784474517</v>
      </c>
      <c r="D231" s="67">
        <f t="shared" si="3"/>
        <v>-10.077610662449752</v>
      </c>
      <c r="E231" s="66">
        <v>3.3933098757123199E-2</v>
      </c>
      <c r="K231" s="59"/>
    </row>
    <row r="232" spans="1:11" s="22" customFormat="1" x14ac:dyDescent="0.25">
      <c r="A232" s="595"/>
      <c r="B232" s="70" t="s">
        <v>168</v>
      </c>
      <c r="C232" s="66">
        <v>-0.5193703725215999</v>
      </c>
      <c r="D232" s="67">
        <f t="shared" si="3"/>
        <v>-11.897101661640098</v>
      </c>
      <c r="E232" s="66">
        <v>4.3655201686324085E-2</v>
      </c>
      <c r="K232" s="59"/>
    </row>
    <row r="233" spans="1:11" s="22" customFormat="1" x14ac:dyDescent="0.25">
      <c r="A233" s="595"/>
      <c r="B233" s="70" t="s">
        <v>169</v>
      </c>
      <c r="C233" s="66">
        <v>-0.34662196467479978</v>
      </c>
      <c r="D233" s="67">
        <f t="shared" si="3"/>
        <v>-12.760442612552628</v>
      </c>
      <c r="E233" s="66">
        <v>2.7163788529860462E-2</v>
      </c>
      <c r="K233" s="59"/>
    </row>
    <row r="234" spans="1:11" s="22" customFormat="1" x14ac:dyDescent="0.25">
      <c r="A234" s="595"/>
      <c r="B234" s="70" t="s">
        <v>170</v>
      </c>
      <c r="C234" s="66">
        <v>1.8355302028446256E-2</v>
      </c>
      <c r="D234" s="67">
        <f t="shared" si="3"/>
        <v>0.61797115237784217</v>
      </c>
      <c r="E234" s="66">
        <v>2.9702522452412779E-2</v>
      </c>
      <c r="K234" s="59"/>
    </row>
    <row r="235" spans="1:11" s="22" customFormat="1" x14ac:dyDescent="0.25">
      <c r="A235" s="595"/>
      <c r="B235" s="70" t="s">
        <v>171</v>
      </c>
      <c r="C235" s="66">
        <v>-0.31817597411283988</v>
      </c>
      <c r="D235" s="67">
        <f t="shared" si="3"/>
        <v>-8.1611623395396382</v>
      </c>
      <c r="E235" s="66">
        <v>3.8986600299729834E-2</v>
      </c>
      <c r="K235" s="59"/>
    </row>
    <row r="236" spans="1:11" s="22" customFormat="1" x14ac:dyDescent="0.25">
      <c r="A236" s="595"/>
      <c r="B236" s="70" t="s">
        <v>172</v>
      </c>
      <c r="C236" s="66">
        <v>0.37768436709530906</v>
      </c>
      <c r="D236" s="67">
        <f t="shared" si="3"/>
        <v>15.970375353197282</v>
      </c>
      <c r="E236" s="66">
        <v>2.3649060134312769E-2</v>
      </c>
      <c r="K236" s="59"/>
    </row>
    <row r="237" spans="1:11" s="22" customFormat="1" x14ac:dyDescent="0.25">
      <c r="A237" s="595"/>
      <c r="B237" s="70" t="s">
        <v>173</v>
      </c>
      <c r="C237" s="66">
        <v>-4.9941863710836462E-2</v>
      </c>
      <c r="D237" s="67">
        <f t="shared" si="3"/>
        <v>-1.4873510177480291</v>
      </c>
      <c r="E237" s="66">
        <v>3.3577725173747165E-2</v>
      </c>
      <c r="K237" s="59"/>
    </row>
    <row r="238" spans="1:11" s="22" customFormat="1" x14ac:dyDescent="0.25">
      <c r="A238" s="595"/>
      <c r="B238" s="70" t="s">
        <v>174</v>
      </c>
      <c r="C238" s="66">
        <v>0.13656088211969356</v>
      </c>
      <c r="D238" s="67">
        <f t="shared" si="3"/>
        <v>3.5779632162674968</v>
      </c>
      <c r="E238" s="66">
        <v>3.8167212423763482E-2</v>
      </c>
      <c r="K238" s="59"/>
    </row>
    <row r="239" spans="1:11" s="22" customFormat="1" x14ac:dyDescent="0.25">
      <c r="A239" s="595"/>
      <c r="B239" s="70" t="s">
        <v>271</v>
      </c>
      <c r="C239" s="66">
        <v>-0.52616251132852532</v>
      </c>
      <c r="D239" s="67">
        <f t="shared" si="3"/>
        <v>-25.928984913362491</v>
      </c>
      <c r="E239" s="66">
        <v>2.0292445426869282E-2</v>
      </c>
      <c r="K239" s="59"/>
    </row>
    <row r="240" spans="1:11" s="22" customFormat="1" x14ac:dyDescent="0.25">
      <c r="A240" s="595"/>
      <c r="B240" s="70" t="s">
        <v>175</v>
      </c>
      <c r="C240" s="66">
        <v>7.8669504978849288E-3</v>
      </c>
      <c r="D240" s="67">
        <f t="shared" si="3"/>
        <v>0.35329481950325936</v>
      </c>
      <c r="E240" s="66">
        <v>2.2267381415176261E-2</v>
      </c>
      <c r="K240" s="59"/>
    </row>
    <row r="241" spans="1:11" s="22" customFormat="1" x14ac:dyDescent="0.25">
      <c r="A241" s="595"/>
      <c r="B241" s="70" t="s">
        <v>176</v>
      </c>
      <c r="C241" s="66">
        <v>0.17640137991903071</v>
      </c>
      <c r="D241" s="67">
        <f t="shared" si="3"/>
        <v>5.5268293438920155</v>
      </c>
      <c r="E241" s="66">
        <v>3.191728366174016E-2</v>
      </c>
      <c r="K241" s="59"/>
    </row>
    <row r="242" spans="1:11" s="22" customFormat="1" x14ac:dyDescent="0.25">
      <c r="A242" s="595"/>
      <c r="B242" s="70" t="s">
        <v>12</v>
      </c>
      <c r="C242" s="66">
        <v>1.5005158327017085</v>
      </c>
      <c r="D242" s="67">
        <f t="shared" si="3"/>
        <v>69.917991343820219</v>
      </c>
      <c r="E242" s="66">
        <v>2.1461083247128112E-2</v>
      </c>
      <c r="K242" s="59"/>
    </row>
    <row r="243" spans="1:11" s="22" customFormat="1" x14ac:dyDescent="0.25">
      <c r="A243" s="595"/>
      <c r="B243" s="70" t="s">
        <v>10</v>
      </c>
      <c r="C243" s="66">
        <v>-0.88391283882799354</v>
      </c>
      <c r="D243" s="67">
        <f t="shared" si="3"/>
        <v>-22.794596305823923</v>
      </c>
      <c r="E243" s="66">
        <v>3.8777297345781794E-2</v>
      </c>
      <c r="K243" s="59"/>
    </row>
    <row r="244" spans="1:11" s="22" customFormat="1" x14ac:dyDescent="0.25">
      <c r="A244" s="595"/>
      <c r="B244" s="70" t="s">
        <v>186</v>
      </c>
      <c r="C244" s="66">
        <v>0.40214635097974039</v>
      </c>
      <c r="D244" s="67">
        <f t="shared" si="3"/>
        <v>5.200486007633212</v>
      </c>
      <c r="E244" s="66">
        <v>7.7328609362562403E-2</v>
      </c>
      <c r="K244" s="59"/>
    </row>
    <row r="245" spans="1:11" s="22" customFormat="1" x14ac:dyDescent="0.25">
      <c r="A245" s="595"/>
      <c r="B245" s="70" t="s">
        <v>187</v>
      </c>
      <c r="C245" s="66">
        <v>0.44431908259510616</v>
      </c>
      <c r="D245" s="67">
        <f t="shared" si="3"/>
        <v>8.9859256662823874</v>
      </c>
      <c r="E245" s="66">
        <v>4.9446111518851192E-2</v>
      </c>
      <c r="K245" s="59"/>
    </row>
    <row r="246" spans="1:11" s="22" customFormat="1" x14ac:dyDescent="0.25">
      <c r="A246" s="595"/>
      <c r="B246" s="70" t="s">
        <v>188</v>
      </c>
      <c r="C246" s="66">
        <v>-0.80862385323948338</v>
      </c>
      <c r="D246" s="67">
        <f t="shared" si="3"/>
        <v>-9.0629396335098829</v>
      </c>
      <c r="E246" s="66">
        <v>8.9223131339154757E-2</v>
      </c>
      <c r="K246" s="59"/>
    </row>
    <row r="247" spans="1:11" s="22" customFormat="1" x14ac:dyDescent="0.25">
      <c r="A247" s="595"/>
      <c r="B247" s="70" t="s">
        <v>189</v>
      </c>
      <c r="C247" s="66">
        <v>-0.36318402727118526</v>
      </c>
      <c r="D247" s="67">
        <f t="shared" si="3"/>
        <v>-4.1324594436947111</v>
      </c>
      <c r="E247" s="66">
        <v>8.7885684595242652E-2</v>
      </c>
      <c r="K247" s="59"/>
    </row>
    <row r="248" spans="1:11" s="22" customFormat="1" x14ac:dyDescent="0.25">
      <c r="A248" s="595"/>
      <c r="B248" s="70" t="s">
        <v>190</v>
      </c>
      <c r="C248" s="66">
        <v>0.52506582202925622</v>
      </c>
      <c r="D248" s="67">
        <f t="shared" si="3"/>
        <v>6.2842064052636211</v>
      </c>
      <c r="E248" s="66">
        <v>8.3553242552546272E-2</v>
      </c>
      <c r="K248" s="59"/>
    </row>
    <row r="249" spans="1:11" s="22" customFormat="1" x14ac:dyDescent="0.25">
      <c r="A249" s="595"/>
      <c r="B249" s="70" t="s">
        <v>183</v>
      </c>
      <c r="C249" s="66">
        <v>5.26104034763177</v>
      </c>
      <c r="D249" s="67">
        <f t="shared" si="3"/>
        <v>154.41160257329452</v>
      </c>
      <c r="E249" s="66">
        <v>3.4071535169350457E-2</v>
      </c>
      <c r="K249" s="59"/>
    </row>
    <row r="250" spans="1:11" s="22" customFormat="1" x14ac:dyDescent="0.25">
      <c r="A250" s="595"/>
      <c r="B250" s="70" t="s">
        <v>184</v>
      </c>
      <c r="C250" s="66">
        <v>1.5242772347409859</v>
      </c>
      <c r="D250" s="67">
        <f t="shared" si="3"/>
        <v>56.565430204574874</v>
      </c>
      <c r="E250" s="66">
        <v>2.6947151806823985E-2</v>
      </c>
      <c r="K250" s="59"/>
    </row>
    <row r="251" spans="1:11" s="22" customFormat="1" x14ac:dyDescent="0.25">
      <c r="A251" s="596"/>
      <c r="B251" s="72" t="s">
        <v>193</v>
      </c>
      <c r="C251" s="66">
        <v>0.1240452704023144</v>
      </c>
      <c r="D251" s="67">
        <f t="shared" si="3"/>
        <v>12.730166530640089</v>
      </c>
      <c r="E251" s="66">
        <v>9.7441985620338352E-3</v>
      </c>
      <c r="K251" s="59"/>
    </row>
    <row r="252" spans="1:11" s="22" customFormat="1" ht="15.75" thickBot="1" x14ac:dyDescent="0.3">
      <c r="A252" s="598" t="s">
        <v>192</v>
      </c>
      <c r="B252" s="74" t="s">
        <v>163</v>
      </c>
      <c r="C252" s="66">
        <v>-2.1148808308112144</v>
      </c>
      <c r="D252" s="67">
        <f t="shared" si="3"/>
        <v>-110.63223921264975</v>
      </c>
      <c r="E252" s="66">
        <v>1.9116315875575243E-2</v>
      </c>
      <c r="K252" s="59"/>
    </row>
    <row r="253" spans="1:11" s="22" customFormat="1" x14ac:dyDescent="0.25">
      <c r="A253" s="595"/>
      <c r="B253" s="70" t="s">
        <v>164</v>
      </c>
      <c r="C253" s="66">
        <v>0</v>
      </c>
      <c r="D253" s="67"/>
      <c r="E253" s="66"/>
      <c r="K253" s="59"/>
    </row>
    <row r="254" spans="1:11" s="22" customFormat="1" x14ac:dyDescent="0.25">
      <c r="A254" s="595"/>
      <c r="B254" s="70" t="s">
        <v>165</v>
      </c>
      <c r="C254" s="66">
        <v>0.21821729214149985</v>
      </c>
      <c r="D254" s="67">
        <f t="shared" si="3"/>
        <v>19.9570727177747</v>
      </c>
      <c r="E254" s="66">
        <v>1.0934333668441532E-2</v>
      </c>
      <c r="K254" s="59"/>
    </row>
    <row r="255" spans="1:11" s="22" customFormat="1" x14ac:dyDescent="0.25">
      <c r="A255" s="595"/>
      <c r="B255" s="70" t="s">
        <v>166</v>
      </c>
      <c r="C255" s="66">
        <v>-3.8588810207281103E-2</v>
      </c>
      <c r="D255" s="67">
        <f t="shared" si="3"/>
        <v>-3.661666139408867</v>
      </c>
      <c r="E255" s="66">
        <v>1.0538593290078275E-2</v>
      </c>
      <c r="K255" s="59"/>
    </row>
    <row r="256" spans="1:11" s="22" customFormat="1" x14ac:dyDescent="0.25">
      <c r="A256" s="595"/>
      <c r="B256" s="70" t="s">
        <v>167</v>
      </c>
      <c r="C256" s="66">
        <v>-0.31109700000593787</v>
      </c>
      <c r="D256" s="67">
        <f t="shared" si="3"/>
        <v>-22.836375589419028</v>
      </c>
      <c r="E256" s="66">
        <v>1.3622871054462823E-2</v>
      </c>
      <c r="K256" s="59"/>
    </row>
    <row r="257" spans="1:11" s="22" customFormat="1" x14ac:dyDescent="0.25">
      <c r="A257" s="595"/>
      <c r="B257" s="70" t="s">
        <v>168</v>
      </c>
      <c r="C257" s="66">
        <v>-0.6246182232730616</v>
      </c>
      <c r="D257" s="67">
        <f t="shared" si="3"/>
        <v>-30.750593624001038</v>
      </c>
      <c r="E257" s="66">
        <v>2.0312395621056988E-2</v>
      </c>
      <c r="K257" s="59"/>
    </row>
    <row r="258" spans="1:11" s="22" customFormat="1" x14ac:dyDescent="0.25">
      <c r="A258" s="595"/>
      <c r="B258" s="70" t="s">
        <v>169</v>
      </c>
      <c r="C258" s="66">
        <v>-0.1018630535720112</v>
      </c>
      <c r="D258" s="67">
        <f t="shared" si="3"/>
        <v>-9.302295604075729</v>
      </c>
      <c r="E258" s="66">
        <v>1.0950313547053985E-2</v>
      </c>
      <c r="K258" s="59"/>
    </row>
    <row r="259" spans="1:11" s="22" customFormat="1" x14ac:dyDescent="0.25">
      <c r="A259" s="595"/>
      <c r="B259" s="70" t="s">
        <v>170</v>
      </c>
      <c r="C259" s="66">
        <v>-0.10871396072144356</v>
      </c>
      <c r="D259" s="67">
        <f t="shared" si="3"/>
        <v>-10.241384880173374</v>
      </c>
      <c r="E259" s="66">
        <v>1.0615162108779488E-2</v>
      </c>
      <c r="K259" s="59"/>
    </row>
    <row r="260" spans="1:11" s="22" customFormat="1" x14ac:dyDescent="0.25">
      <c r="A260" s="595"/>
      <c r="B260" s="70" t="s">
        <v>171</v>
      </c>
      <c r="C260" s="66">
        <v>-2.0578168728976196E-2</v>
      </c>
      <c r="D260" s="67">
        <f t="shared" si="3"/>
        <v>-1.2391082746791733</v>
      </c>
      <c r="E260" s="66">
        <v>1.6607240181899553E-2</v>
      </c>
      <c r="K260" s="59"/>
    </row>
    <row r="261" spans="1:11" s="22" customFormat="1" x14ac:dyDescent="0.25">
      <c r="A261" s="595"/>
      <c r="B261" s="70" t="s">
        <v>172</v>
      </c>
      <c r="C261" s="66">
        <v>-0.21324273383652526</v>
      </c>
      <c r="D261" s="67">
        <f t="shared" si="3"/>
        <v>-20.645493374584483</v>
      </c>
      <c r="E261" s="66">
        <v>1.0328778778376714E-2</v>
      </c>
      <c r="K261" s="59"/>
    </row>
    <row r="262" spans="1:11" s="22" customFormat="1" x14ac:dyDescent="0.25">
      <c r="A262" s="595"/>
      <c r="B262" s="70" t="s">
        <v>173</v>
      </c>
      <c r="C262" s="66">
        <v>0.15191030803391725</v>
      </c>
      <c r="D262" s="67">
        <f t="shared" si="3"/>
        <v>8.92463933282583</v>
      </c>
      <c r="E262" s="66">
        <v>1.7021450656854446E-2</v>
      </c>
      <c r="K262" s="59"/>
    </row>
    <row r="263" spans="1:11" s="22" customFormat="1" x14ac:dyDescent="0.25">
      <c r="A263" s="595"/>
      <c r="B263" s="70" t="s">
        <v>174</v>
      </c>
      <c r="C263" s="66">
        <v>0.2147993167753714</v>
      </c>
      <c r="D263" s="67">
        <f t="shared" si="3"/>
        <v>10.966579367804682</v>
      </c>
      <c r="E263" s="66">
        <v>1.9586719757481722E-2</v>
      </c>
      <c r="K263" s="59"/>
    </row>
    <row r="264" spans="1:11" s="22" customFormat="1" x14ac:dyDescent="0.25">
      <c r="A264" s="595"/>
      <c r="B264" s="70" t="s">
        <v>271</v>
      </c>
      <c r="C264" s="66">
        <v>-0.24811014408144605</v>
      </c>
      <c r="D264" s="67">
        <f t="shared" si="3"/>
        <v>-29.403613502732053</v>
      </c>
      <c r="E264" s="66">
        <v>8.43808343686713E-3</v>
      </c>
      <c r="K264" s="59"/>
    </row>
    <row r="265" spans="1:11" s="22" customFormat="1" x14ac:dyDescent="0.25">
      <c r="A265" s="595"/>
      <c r="B265" s="70" t="s">
        <v>175</v>
      </c>
      <c r="C265" s="66">
        <v>-3.1294605813998136E-2</v>
      </c>
      <c r="D265" s="67">
        <f t="shared" si="3"/>
        <v>-3.2042460207411447</v>
      </c>
      <c r="E265" s="66">
        <v>9.7666051893105475E-3</v>
      </c>
      <c r="K265" s="59"/>
    </row>
    <row r="266" spans="1:11" s="22" customFormat="1" x14ac:dyDescent="0.25">
      <c r="A266" s="595"/>
      <c r="B266" s="70" t="s">
        <v>176</v>
      </c>
      <c r="C266" s="66">
        <v>0.19845063999267945</v>
      </c>
      <c r="D266" s="67">
        <f t="shared" ref="D266:D276" si="4">C266/E266</f>
        <v>19.902425211353389</v>
      </c>
      <c r="E266" s="66">
        <v>9.9711787827481829E-3</v>
      </c>
      <c r="K266" s="59"/>
    </row>
    <row r="267" spans="1:11" s="22" customFormat="1" x14ac:dyDescent="0.25">
      <c r="A267" s="595"/>
      <c r="B267" s="70" t="s">
        <v>12</v>
      </c>
      <c r="C267" s="66">
        <v>0.78016928686806797</v>
      </c>
      <c r="D267" s="67">
        <f t="shared" si="4"/>
        <v>76.516921248934651</v>
      </c>
      <c r="E267" s="66">
        <v>1.0196036041883093E-2</v>
      </c>
      <c r="K267" s="59"/>
    </row>
    <row r="268" spans="1:11" s="22" customFormat="1" x14ac:dyDescent="0.25">
      <c r="A268" s="595"/>
      <c r="B268" s="70" t="s">
        <v>10</v>
      </c>
      <c r="C268" s="66">
        <v>-0.185780152587878</v>
      </c>
      <c r="D268" s="67">
        <f t="shared" si="4"/>
        <v>-19.937236405094769</v>
      </c>
      <c r="E268" s="66">
        <v>9.3182499727195722E-3</v>
      </c>
      <c r="K268" s="59"/>
    </row>
    <row r="269" spans="1:11" s="22" customFormat="1" x14ac:dyDescent="0.25">
      <c r="A269" s="595"/>
      <c r="B269" s="70" t="s">
        <v>186</v>
      </c>
      <c r="C269" s="66">
        <v>-5.6953276488685631E-2</v>
      </c>
      <c r="D269" s="67">
        <f t="shared" si="4"/>
        <v>-1.7537457074347516</v>
      </c>
      <c r="E269" s="66">
        <v>3.2475219324694819E-2</v>
      </c>
      <c r="K269" s="59"/>
    </row>
    <row r="270" spans="1:11" s="22" customFormat="1" x14ac:dyDescent="0.25">
      <c r="A270" s="595"/>
      <c r="B270" s="70" t="s">
        <v>187</v>
      </c>
      <c r="C270" s="66">
        <v>0.26370489018380772</v>
      </c>
      <c r="D270" s="67">
        <f t="shared" si="4"/>
        <v>10.748218539371814</v>
      </c>
      <c r="E270" s="66">
        <v>2.4534753291238911E-2</v>
      </c>
      <c r="K270" s="59"/>
    </row>
    <row r="271" spans="1:11" s="22" customFormat="1" x14ac:dyDescent="0.25">
      <c r="A271" s="595"/>
      <c r="B271" s="70" t="s">
        <v>188</v>
      </c>
      <c r="C271" s="66">
        <v>-0.16269036684116622</v>
      </c>
      <c r="D271" s="67">
        <f t="shared" si="4"/>
        <v>-5.8553241694957814</v>
      </c>
      <c r="E271" s="66">
        <v>2.7785031559606366E-2</v>
      </c>
      <c r="K271" s="59"/>
    </row>
    <row r="272" spans="1:11" s="22" customFormat="1" x14ac:dyDescent="0.25">
      <c r="A272" s="595"/>
      <c r="B272" s="70" t="s">
        <v>189</v>
      </c>
      <c r="C272" s="66">
        <v>-8.927195240751104E-2</v>
      </c>
      <c r="D272" s="67">
        <f t="shared" si="4"/>
        <v>-2.8013143147794621</v>
      </c>
      <c r="E272" s="66">
        <v>3.1867881421417402E-2</v>
      </c>
      <c r="K272" s="59"/>
    </row>
    <row r="273" spans="1:14" s="22" customFormat="1" x14ac:dyDescent="0.25">
      <c r="A273" s="595"/>
      <c r="B273" s="70" t="s">
        <v>190</v>
      </c>
      <c r="C273" s="66">
        <v>0.4601299302779886</v>
      </c>
      <c r="D273" s="67">
        <f t="shared" si="4"/>
        <v>14.51642808877944</v>
      </c>
      <c r="E273" s="66">
        <v>3.1697186626347067E-2</v>
      </c>
      <c r="K273" s="59"/>
    </row>
    <row r="274" spans="1:14" s="22" customFormat="1" x14ac:dyDescent="0.25">
      <c r="A274" s="595"/>
      <c r="B274" s="70" t="s">
        <v>183</v>
      </c>
      <c r="C274" s="66">
        <v>3.6409737262632107</v>
      </c>
      <c r="D274" s="67">
        <f t="shared" si="4"/>
        <v>156.03519520967811</v>
      </c>
      <c r="E274" s="66">
        <v>2.3334310707084492E-2</v>
      </c>
      <c r="K274" s="59"/>
    </row>
    <row r="275" spans="1:14" s="22" customFormat="1" x14ac:dyDescent="0.25">
      <c r="A275" s="595"/>
      <c r="B275" s="70" t="s">
        <v>184</v>
      </c>
      <c r="C275" s="66">
        <v>0.57528949467022406</v>
      </c>
      <c r="D275" s="67">
        <f t="shared" si="4"/>
        <v>59.639877276449639</v>
      </c>
      <c r="E275" s="66">
        <v>9.6460543002725475E-3</v>
      </c>
    </row>
    <row r="276" spans="1:14" s="22" customFormat="1" ht="15.75" thickBot="1" x14ac:dyDescent="0.3">
      <c r="A276" s="599"/>
      <c r="B276" s="76" t="s">
        <v>193</v>
      </c>
      <c r="C276" s="66">
        <v>0.12372518494897483</v>
      </c>
      <c r="D276" s="67">
        <f t="shared" si="4"/>
        <v>30.757927517566849</v>
      </c>
      <c r="E276" s="66">
        <v>4.0225462160384954E-3</v>
      </c>
    </row>
    <row r="277" spans="1:14" s="22" customFormat="1" x14ac:dyDescent="0.25">
      <c r="A277" s="59"/>
      <c r="B277" s="59"/>
      <c r="C277" s="59"/>
      <c r="D277" s="59"/>
      <c r="E277" s="59"/>
      <c r="F277" s="59"/>
      <c r="G277" s="59"/>
      <c r="H277" s="59"/>
      <c r="I277" s="59"/>
      <c r="J277" s="59"/>
      <c r="K277" s="59"/>
      <c r="M277" s="1"/>
      <c r="N277" s="1"/>
    </row>
    <row r="278" spans="1:14" s="22" customFormat="1" x14ac:dyDescent="0.25">
      <c r="C278" s="1"/>
      <c r="D278" s="1"/>
      <c r="E278" s="1"/>
      <c r="F278" s="1"/>
      <c r="M278" s="1"/>
      <c r="N278" s="1"/>
    </row>
    <row r="279" spans="1:14" s="22" customFormat="1" x14ac:dyDescent="0.25">
      <c r="A279" s="22" t="s">
        <v>277</v>
      </c>
      <c r="C279" s="1"/>
      <c r="D279" s="1"/>
      <c r="E279" s="1"/>
      <c r="F279" s="1"/>
      <c r="M279" s="1"/>
      <c r="N279" s="1"/>
    </row>
    <row r="280" spans="1:14" s="22" customFormat="1" ht="15.75" thickBot="1" x14ac:dyDescent="0.3">
      <c r="A280" s="600" t="s">
        <v>93</v>
      </c>
      <c r="B280" s="601"/>
      <c r="C280" s="601"/>
      <c r="D280" s="601"/>
      <c r="E280" s="601"/>
      <c r="F280" s="601"/>
      <c r="G280" s="601"/>
      <c r="H280" s="601"/>
      <c r="I280" s="601"/>
      <c r="J280" s="601"/>
      <c r="K280" s="59"/>
      <c r="M280" s="1"/>
      <c r="N280" s="1"/>
    </row>
    <row r="281" spans="1:14" s="22" customFormat="1" ht="15.75" customHeight="1" thickBot="1" x14ac:dyDescent="0.3">
      <c r="A281" s="605" t="s">
        <v>185</v>
      </c>
      <c r="B281" s="606"/>
      <c r="C281" s="608" t="s">
        <v>161</v>
      </c>
      <c r="D281" s="580" t="s">
        <v>266</v>
      </c>
      <c r="E281" s="580" t="s">
        <v>162</v>
      </c>
      <c r="G281" s="1"/>
      <c r="H281" s="1"/>
    </row>
    <row r="282" spans="1:14" s="22" customFormat="1" ht="15.75" thickBot="1" x14ac:dyDescent="0.3">
      <c r="A282" s="599"/>
      <c r="B282" s="607"/>
      <c r="C282" s="609"/>
      <c r="D282" s="610"/>
      <c r="E282" s="610"/>
      <c r="G282" s="1"/>
      <c r="H282" s="1"/>
    </row>
    <row r="283" spans="1:14" s="22" customFormat="1" x14ac:dyDescent="0.25">
      <c r="A283" s="593" t="s">
        <v>191</v>
      </c>
      <c r="B283" s="68" t="s">
        <v>163</v>
      </c>
      <c r="C283" s="66">
        <v>-5.782921853465024</v>
      </c>
      <c r="D283" s="67">
        <f t="shared" ref="D283:D332" si="5">C283/E283</f>
        <v>-54.489079278836542</v>
      </c>
      <c r="E283" s="66">
        <v>0.10612992419769332</v>
      </c>
      <c r="G283" s="1"/>
      <c r="H283" s="1"/>
    </row>
    <row r="284" spans="1:14" s="22" customFormat="1" x14ac:dyDescent="0.25">
      <c r="A284" s="594"/>
      <c r="B284" s="70"/>
      <c r="C284" s="66"/>
      <c r="D284" s="67"/>
      <c r="E284" s="66"/>
      <c r="G284" s="1"/>
      <c r="H284" s="1"/>
    </row>
    <row r="285" spans="1:14" s="22" customFormat="1" x14ac:dyDescent="0.25">
      <c r="A285" s="594"/>
      <c r="B285" s="70"/>
      <c r="C285" s="66"/>
      <c r="D285" s="67"/>
      <c r="E285" s="66"/>
      <c r="G285" s="1"/>
      <c r="H285" s="1"/>
    </row>
    <row r="286" spans="1:14" s="22" customFormat="1" x14ac:dyDescent="0.25">
      <c r="A286" s="594"/>
      <c r="B286" s="70"/>
      <c r="C286" s="66"/>
      <c r="D286" s="67"/>
      <c r="E286" s="66"/>
      <c r="G286" s="1"/>
      <c r="H286" s="1"/>
    </row>
    <row r="287" spans="1:14" s="22" customFormat="1" x14ac:dyDescent="0.25">
      <c r="A287" s="594"/>
      <c r="B287" s="70"/>
      <c r="C287" s="66"/>
      <c r="D287" s="67"/>
      <c r="E287" s="66"/>
      <c r="G287" s="1"/>
      <c r="H287" s="1"/>
    </row>
    <row r="288" spans="1:14" s="22" customFormat="1" x14ac:dyDescent="0.25">
      <c r="A288" s="594"/>
      <c r="B288" s="70"/>
      <c r="C288" s="66"/>
      <c r="D288" s="67"/>
      <c r="E288" s="66"/>
      <c r="G288" s="1"/>
      <c r="H288" s="1"/>
    </row>
    <row r="289" spans="1:8" s="22" customFormat="1" x14ac:dyDescent="0.25">
      <c r="A289" s="595"/>
      <c r="B289" s="70" t="s">
        <v>169</v>
      </c>
      <c r="C289" s="66">
        <v>-0.23482170193249333</v>
      </c>
      <c r="D289" s="67">
        <f t="shared" si="5"/>
        <v>-4.4556684854362798</v>
      </c>
      <c r="E289" s="66">
        <v>5.2701789349909545E-2</v>
      </c>
      <c r="G289" s="1"/>
      <c r="H289" s="1"/>
    </row>
    <row r="290" spans="1:8" s="22" customFormat="1" x14ac:dyDescent="0.25">
      <c r="A290" s="595"/>
      <c r="B290" s="70"/>
      <c r="C290" s="66"/>
      <c r="D290" s="67"/>
      <c r="E290" s="66"/>
      <c r="G290" s="1"/>
      <c r="H290" s="1"/>
    </row>
    <row r="291" spans="1:8" s="22" customFormat="1" x14ac:dyDescent="0.25">
      <c r="A291" s="595"/>
      <c r="B291" s="70"/>
      <c r="C291" s="66"/>
      <c r="D291" s="67"/>
      <c r="E291" s="66"/>
      <c r="G291" s="1"/>
      <c r="H291" s="1"/>
    </row>
    <row r="292" spans="1:8" s="22" customFormat="1" x14ac:dyDescent="0.25">
      <c r="A292" s="595"/>
      <c r="B292" s="70" t="s">
        <v>172</v>
      </c>
      <c r="C292" s="66">
        <v>0.89600332108675562</v>
      </c>
      <c r="D292" s="67">
        <f t="shared" si="5"/>
        <v>14.563874427413376</v>
      </c>
      <c r="E292" s="66">
        <v>6.1522318497900609E-2</v>
      </c>
      <c r="G292" s="1"/>
      <c r="H292" s="1"/>
    </row>
    <row r="293" spans="1:8" s="22" customFormat="1" x14ac:dyDescent="0.25">
      <c r="A293" s="595"/>
      <c r="B293" s="70"/>
      <c r="C293" s="66"/>
      <c r="D293" s="67"/>
      <c r="E293" s="66"/>
      <c r="G293" s="1"/>
      <c r="H293" s="1"/>
    </row>
    <row r="294" spans="1:8" s="22" customFormat="1" x14ac:dyDescent="0.25">
      <c r="A294" s="595"/>
      <c r="B294" s="70" t="s">
        <v>174</v>
      </c>
      <c r="C294" s="66">
        <v>0.27076138525756444</v>
      </c>
      <c r="D294" s="67">
        <f t="shared" si="5"/>
        <v>3.2542721173198124</v>
      </c>
      <c r="E294" s="66">
        <v>8.3201826859076844E-2</v>
      </c>
      <c r="G294" s="1"/>
      <c r="H294" s="1"/>
    </row>
    <row r="295" spans="1:8" s="22" customFormat="1" x14ac:dyDescent="0.25">
      <c r="A295" s="595"/>
      <c r="B295" s="70"/>
      <c r="C295" s="66"/>
      <c r="D295" s="67"/>
      <c r="E295" s="66"/>
      <c r="G295" s="1"/>
      <c r="H295" s="1"/>
    </row>
    <row r="296" spans="1:8" s="22" customFormat="1" x14ac:dyDescent="0.25">
      <c r="A296" s="595"/>
      <c r="B296" s="70" t="s">
        <v>175</v>
      </c>
      <c r="C296" s="66">
        <v>0.16603556057103097</v>
      </c>
      <c r="D296" s="67">
        <f t="shared" si="5"/>
        <v>2.827843730760514</v>
      </c>
      <c r="E296" s="66">
        <v>5.8714545915299829E-2</v>
      </c>
      <c r="G296" s="1"/>
      <c r="H296" s="1"/>
    </row>
    <row r="297" spans="1:8" s="22" customFormat="1" x14ac:dyDescent="0.25">
      <c r="A297" s="595"/>
      <c r="B297" s="70" t="s">
        <v>176</v>
      </c>
      <c r="C297" s="66">
        <v>1.0669758985240434</v>
      </c>
      <c r="D297" s="67">
        <f t="shared" si="5"/>
        <v>15.740765117978311</v>
      </c>
      <c r="E297" s="66">
        <v>6.7784246224816422E-2</v>
      </c>
      <c r="G297" s="1"/>
      <c r="H297" s="1"/>
    </row>
    <row r="298" spans="1:8" s="22" customFormat="1" x14ac:dyDescent="0.25">
      <c r="A298" s="595"/>
      <c r="B298" s="70" t="s">
        <v>12</v>
      </c>
      <c r="C298" s="66">
        <v>1.6309957867107219</v>
      </c>
      <c r="D298" s="67">
        <f t="shared" si="5"/>
        <v>31.522201744292417</v>
      </c>
      <c r="E298" s="66">
        <v>5.1741175947712437E-2</v>
      </c>
      <c r="G298" s="1"/>
      <c r="H298" s="1"/>
    </row>
    <row r="299" spans="1:8" s="22" customFormat="1" x14ac:dyDescent="0.25">
      <c r="A299" s="595"/>
      <c r="B299" s="70" t="s">
        <v>10</v>
      </c>
      <c r="C299" s="66">
        <v>-1.5918051321527373</v>
      </c>
      <c r="D299" s="67">
        <f t="shared" si="5"/>
        <v>-12.98391113983981</v>
      </c>
      <c r="E299" s="66">
        <v>0.12259827682187729</v>
      </c>
      <c r="G299" s="1"/>
      <c r="H299" s="1"/>
    </row>
    <row r="300" spans="1:8" s="22" customFormat="1" x14ac:dyDescent="0.25">
      <c r="A300" s="595"/>
      <c r="B300" s="70" t="s">
        <v>186</v>
      </c>
      <c r="C300" s="66">
        <v>0.9601862730575238</v>
      </c>
      <c r="D300" s="67">
        <f t="shared" si="5"/>
        <v>7.8195571156139012</v>
      </c>
      <c r="E300" s="66">
        <v>0.12279292277822836</v>
      </c>
      <c r="G300" s="1"/>
      <c r="H300" s="1"/>
    </row>
    <row r="301" spans="1:8" s="22" customFormat="1" x14ac:dyDescent="0.25">
      <c r="A301" s="595"/>
      <c r="B301" s="70" t="s">
        <v>187</v>
      </c>
      <c r="C301" s="66">
        <v>-0.99057874642613497</v>
      </c>
      <c r="D301" s="67">
        <f t="shared" si="5"/>
        <v>-4.4395707423001358</v>
      </c>
      <c r="E301" s="66">
        <v>0.22312489290640686</v>
      </c>
      <c r="G301" s="1"/>
      <c r="H301" s="1"/>
    </row>
    <row r="302" spans="1:8" s="22" customFormat="1" x14ac:dyDescent="0.25">
      <c r="A302" s="595"/>
      <c r="B302" s="70" t="s">
        <v>188</v>
      </c>
      <c r="C302" s="66">
        <v>-20</v>
      </c>
      <c r="D302" s="67"/>
      <c r="E302" s="66">
        <v>0</v>
      </c>
      <c r="G302" s="1"/>
      <c r="H302" s="1"/>
    </row>
    <row r="303" spans="1:8" s="22" customFormat="1" x14ac:dyDescent="0.25">
      <c r="A303" s="595"/>
      <c r="B303" s="70" t="s">
        <v>189</v>
      </c>
      <c r="C303" s="66">
        <v>-0.91077595742807183</v>
      </c>
      <c r="D303" s="67">
        <f t="shared" si="5"/>
        <v>-4.0702967713473726</v>
      </c>
      <c r="E303" s="66">
        <v>0.2237615605425699</v>
      </c>
      <c r="G303" s="1"/>
      <c r="H303" s="1"/>
    </row>
    <row r="304" spans="1:8" s="22" customFormat="1" x14ac:dyDescent="0.25">
      <c r="A304" s="595"/>
      <c r="B304" s="70" t="s">
        <v>190</v>
      </c>
      <c r="C304" s="66">
        <v>0.19101326628460458</v>
      </c>
      <c r="D304" s="67">
        <f t="shared" si="5"/>
        <v>0.76948857347877497</v>
      </c>
      <c r="E304" s="66">
        <v>0.24823405163907006</v>
      </c>
      <c r="G304" s="1"/>
      <c r="H304" s="1"/>
    </row>
    <row r="305" spans="1:8" s="22" customFormat="1" x14ac:dyDescent="0.25">
      <c r="A305" s="595"/>
      <c r="B305" s="70" t="s">
        <v>183</v>
      </c>
      <c r="C305" s="66">
        <v>3.2581698219127921</v>
      </c>
      <c r="D305" s="67">
        <f t="shared" si="5"/>
        <v>46.977246498744236</v>
      </c>
      <c r="E305" s="66">
        <v>6.9356338754334765E-2</v>
      </c>
      <c r="G305" s="1"/>
      <c r="H305" s="1"/>
    </row>
    <row r="306" spans="1:8" s="22" customFormat="1" x14ac:dyDescent="0.25">
      <c r="A306" s="595"/>
      <c r="B306" s="70" t="s">
        <v>184</v>
      </c>
      <c r="C306" s="66">
        <v>1.1120045106234384</v>
      </c>
      <c r="D306" s="67">
        <f t="shared" si="5"/>
        <v>18.041581093208912</v>
      </c>
      <c r="E306" s="66">
        <v>6.1635646281689334E-2</v>
      </c>
      <c r="G306" s="1"/>
      <c r="H306" s="1"/>
    </row>
    <row r="307" spans="1:8" s="22" customFormat="1" x14ac:dyDescent="0.25">
      <c r="A307" s="596"/>
      <c r="B307" s="72" t="s">
        <v>193</v>
      </c>
      <c r="C307" s="66">
        <v>9.0445185822319016E-2</v>
      </c>
      <c r="D307" s="67">
        <f t="shared" si="5"/>
        <v>3.8589884993854935</v>
      </c>
      <c r="E307" s="66">
        <v>2.3437537022129383E-2</v>
      </c>
      <c r="G307" s="1"/>
      <c r="H307" s="1"/>
    </row>
    <row r="308" spans="1:8" s="22" customFormat="1" ht="15.75" thickBot="1" x14ac:dyDescent="0.3">
      <c r="A308" s="598" t="s">
        <v>192</v>
      </c>
      <c r="B308" s="74" t="s">
        <v>163</v>
      </c>
      <c r="C308" s="66">
        <v>-1.8984883873449891</v>
      </c>
      <c r="D308" s="67">
        <f t="shared" si="5"/>
        <v>-64.343057566068353</v>
      </c>
      <c r="E308" s="66">
        <v>2.9505722282401555E-2</v>
      </c>
      <c r="G308" s="1"/>
      <c r="H308" s="1"/>
    </row>
    <row r="309" spans="1:8" s="22" customFormat="1" x14ac:dyDescent="0.25">
      <c r="A309" s="594"/>
      <c r="B309" s="70"/>
      <c r="C309" s="66"/>
      <c r="D309" s="67"/>
      <c r="E309" s="66"/>
      <c r="G309" s="1"/>
      <c r="H309" s="1"/>
    </row>
    <row r="310" spans="1:8" s="22" customFormat="1" x14ac:dyDescent="0.25">
      <c r="A310" s="594"/>
      <c r="B310" s="70"/>
      <c r="C310" s="66"/>
      <c r="D310" s="67"/>
      <c r="E310" s="66"/>
      <c r="G310" s="1"/>
      <c r="H310" s="1"/>
    </row>
    <row r="311" spans="1:8" s="22" customFormat="1" x14ac:dyDescent="0.25">
      <c r="A311" s="594"/>
      <c r="B311" s="70"/>
      <c r="C311" s="66"/>
      <c r="D311" s="67"/>
      <c r="E311" s="66"/>
      <c r="G311" s="1"/>
      <c r="H311" s="1"/>
    </row>
    <row r="312" spans="1:8" s="22" customFormat="1" x14ac:dyDescent="0.25">
      <c r="A312" s="594"/>
      <c r="B312" s="70"/>
      <c r="C312" s="66"/>
      <c r="D312" s="67"/>
      <c r="E312" s="66"/>
      <c r="G312" s="1"/>
      <c r="H312" s="1"/>
    </row>
    <row r="313" spans="1:8" s="22" customFormat="1" x14ac:dyDescent="0.25">
      <c r="A313" s="594"/>
      <c r="B313" s="70"/>
      <c r="C313" s="66"/>
      <c r="D313" s="67"/>
      <c r="E313" s="66"/>
      <c r="G313" s="1"/>
      <c r="H313" s="1"/>
    </row>
    <row r="314" spans="1:8" s="22" customFormat="1" x14ac:dyDescent="0.25">
      <c r="A314" s="595"/>
      <c r="B314" s="70" t="s">
        <v>169</v>
      </c>
      <c r="C314" s="66">
        <v>-7.1473732771516916E-3</v>
      </c>
      <c r="D314" s="67">
        <f t="shared" si="5"/>
        <v>-0.41944410600326421</v>
      </c>
      <c r="E314" s="66">
        <v>1.7040108979612337E-2</v>
      </c>
      <c r="G314" s="1"/>
      <c r="H314" s="1"/>
    </row>
    <row r="315" spans="1:8" s="22" customFormat="1" x14ac:dyDescent="0.25">
      <c r="A315" s="595"/>
      <c r="B315" s="70"/>
      <c r="C315" s="66"/>
      <c r="D315" s="67"/>
      <c r="E315" s="66"/>
      <c r="G315" s="1"/>
      <c r="H315" s="1"/>
    </row>
    <row r="316" spans="1:8" s="22" customFormat="1" x14ac:dyDescent="0.25">
      <c r="A316" s="595"/>
      <c r="B316" s="70"/>
      <c r="C316" s="66"/>
      <c r="D316" s="67"/>
      <c r="E316" s="66"/>
      <c r="G316" s="1"/>
      <c r="H316" s="1"/>
    </row>
    <row r="317" spans="1:8" s="22" customFormat="1" x14ac:dyDescent="0.25">
      <c r="A317" s="595"/>
      <c r="B317" s="70" t="s">
        <v>172</v>
      </c>
      <c r="C317" s="66">
        <v>0.10212076759101371</v>
      </c>
      <c r="D317" s="67">
        <f t="shared" si="5"/>
        <v>6.0399031054199712</v>
      </c>
      <c r="E317" s="66">
        <v>1.690768308838838E-2</v>
      </c>
      <c r="G317" s="1"/>
      <c r="H317" s="1"/>
    </row>
    <row r="318" spans="1:8" s="22" customFormat="1" x14ac:dyDescent="0.25">
      <c r="A318" s="595"/>
      <c r="B318" s="70"/>
      <c r="C318" s="66"/>
      <c r="D318" s="67"/>
      <c r="E318" s="66"/>
      <c r="G318" s="1"/>
      <c r="H318" s="1"/>
    </row>
    <row r="319" spans="1:8" s="22" customFormat="1" x14ac:dyDescent="0.25">
      <c r="A319" s="595"/>
      <c r="B319" s="70" t="s">
        <v>174</v>
      </c>
      <c r="C319" s="66">
        <v>0.10738973398662897</v>
      </c>
      <c r="D319" s="67">
        <f t="shared" si="5"/>
        <v>2.8921262482757464</v>
      </c>
      <c r="E319" s="66">
        <v>3.7131758701976977E-2</v>
      </c>
      <c r="G319" s="1"/>
      <c r="H319" s="1"/>
    </row>
    <row r="320" spans="1:8" s="22" customFormat="1" x14ac:dyDescent="0.25">
      <c r="A320" s="595"/>
      <c r="B320" s="70"/>
      <c r="C320" s="66"/>
      <c r="D320" s="67"/>
      <c r="E320" s="66"/>
      <c r="G320" s="1"/>
      <c r="H320" s="1"/>
    </row>
    <row r="321" spans="1:14" s="22" customFormat="1" x14ac:dyDescent="0.25">
      <c r="A321" s="595"/>
      <c r="B321" s="70" t="s">
        <v>175</v>
      </c>
      <c r="C321" s="66">
        <v>0.24768201867367193</v>
      </c>
      <c r="D321" s="67">
        <f t="shared" si="5"/>
        <v>12.995161767755127</v>
      </c>
      <c r="E321" s="66">
        <v>1.9059556402617851E-2</v>
      </c>
      <c r="G321" s="1"/>
      <c r="H321" s="1"/>
    </row>
    <row r="322" spans="1:14" s="22" customFormat="1" x14ac:dyDescent="0.25">
      <c r="A322" s="595"/>
      <c r="B322" s="70" t="s">
        <v>176</v>
      </c>
      <c r="C322" s="66">
        <v>-2.5919302795535663E-2</v>
      </c>
      <c r="D322" s="67">
        <f t="shared" si="5"/>
        <v>-1.3804835959981352</v>
      </c>
      <c r="E322" s="66">
        <v>1.877552393282526E-2</v>
      </c>
      <c r="G322" s="1"/>
      <c r="H322" s="1"/>
    </row>
    <row r="323" spans="1:14" s="22" customFormat="1" x14ac:dyDescent="0.25">
      <c r="A323" s="595"/>
      <c r="B323" s="70" t="s">
        <v>12</v>
      </c>
      <c r="C323" s="66">
        <v>0.37668602318847666</v>
      </c>
      <c r="D323" s="67">
        <f t="shared" si="5"/>
        <v>17.880073585653459</v>
      </c>
      <c r="E323" s="66">
        <v>2.1067364257981603E-2</v>
      </c>
      <c r="G323" s="1"/>
      <c r="H323" s="1"/>
    </row>
    <row r="324" spans="1:14" s="22" customFormat="1" x14ac:dyDescent="0.25">
      <c r="A324" s="595"/>
      <c r="B324" s="70" t="s">
        <v>10</v>
      </c>
      <c r="C324" s="66">
        <v>-0.3591727786417539</v>
      </c>
      <c r="D324" s="67">
        <f t="shared" si="5"/>
        <v>-20.734112228834316</v>
      </c>
      <c r="E324" s="66">
        <v>1.7322795144431743E-2</v>
      </c>
      <c r="G324" s="1"/>
      <c r="H324" s="1"/>
    </row>
    <row r="325" spans="1:14" s="22" customFormat="1" x14ac:dyDescent="0.25">
      <c r="A325" s="595"/>
      <c r="B325" s="70" t="s">
        <v>186</v>
      </c>
      <c r="C325" s="66">
        <v>-0.32539104408890546</v>
      </c>
      <c r="D325" s="67">
        <f t="shared" si="5"/>
        <v>-5.3247108783645487</v>
      </c>
      <c r="E325" s="66">
        <v>6.1109617314817899E-2</v>
      </c>
      <c r="G325" s="1"/>
      <c r="H325" s="1"/>
    </row>
    <row r="326" spans="1:14" s="22" customFormat="1" x14ac:dyDescent="0.25">
      <c r="A326" s="595"/>
      <c r="B326" s="70" t="s">
        <v>187</v>
      </c>
      <c r="C326" s="66">
        <v>0.32506861229795947</v>
      </c>
      <c r="D326" s="67">
        <f t="shared" si="5"/>
        <v>6.4241288021730636</v>
      </c>
      <c r="E326" s="66">
        <v>5.0601197813468474E-2</v>
      </c>
      <c r="G326" s="1"/>
      <c r="H326" s="1"/>
    </row>
    <row r="327" spans="1:14" s="22" customFormat="1" x14ac:dyDescent="0.25">
      <c r="A327" s="595"/>
      <c r="B327" s="70" t="s">
        <v>188</v>
      </c>
      <c r="C327" s="66">
        <v>-0.66118802021134881</v>
      </c>
      <c r="D327" s="67">
        <f t="shared" si="5"/>
        <v>-10.946510502003282</v>
      </c>
      <c r="E327" s="66">
        <v>6.0401716153320933E-2</v>
      </c>
      <c r="G327" s="1"/>
      <c r="H327" s="1"/>
    </row>
    <row r="328" spans="1:14" s="22" customFormat="1" x14ac:dyDescent="0.25">
      <c r="A328" s="595"/>
      <c r="B328" s="70" t="s">
        <v>189</v>
      </c>
      <c r="C328" s="66">
        <v>-0.40088965142327404</v>
      </c>
      <c r="D328" s="67">
        <f t="shared" si="5"/>
        <v>-6.5232625554154939</v>
      </c>
      <c r="E328" s="66">
        <v>6.145539107428119E-2</v>
      </c>
      <c r="G328" s="1"/>
      <c r="H328" s="1"/>
    </row>
    <row r="329" spans="1:14" s="22" customFormat="1" x14ac:dyDescent="0.25">
      <c r="A329" s="595"/>
      <c r="B329" s="70" t="s">
        <v>190</v>
      </c>
      <c r="C329" s="66">
        <v>0.7103497485745478</v>
      </c>
      <c r="D329" s="67">
        <f t="shared" si="5"/>
        <v>14.203785589827527</v>
      </c>
      <c r="E329" s="66">
        <v>5.0011297627815948E-2</v>
      </c>
      <c r="G329" s="1"/>
      <c r="H329" s="1"/>
    </row>
    <row r="330" spans="1:14" s="22" customFormat="1" x14ac:dyDescent="0.25">
      <c r="A330" s="595"/>
      <c r="B330" s="70" t="s">
        <v>183</v>
      </c>
      <c r="C330" s="66">
        <v>1.8282315351204006</v>
      </c>
      <c r="D330" s="67">
        <f t="shared" si="5"/>
        <v>49.832853679623994</v>
      </c>
      <c r="E330" s="66">
        <v>3.6687273558004982E-2</v>
      </c>
      <c r="G330" s="1"/>
      <c r="H330" s="1"/>
    </row>
    <row r="331" spans="1:14" s="22" customFormat="1" x14ac:dyDescent="0.25">
      <c r="A331" s="595"/>
      <c r="B331" s="70" t="s">
        <v>184</v>
      </c>
      <c r="C331" s="66">
        <v>0.38661433120514044</v>
      </c>
      <c r="D331" s="67">
        <f t="shared" si="5"/>
        <v>19.451027670617442</v>
      </c>
      <c r="E331" s="66">
        <v>1.9876293312211815E-2</v>
      </c>
      <c r="G331" s="1"/>
      <c r="H331" s="1"/>
    </row>
    <row r="332" spans="1:14" s="22" customFormat="1" ht="15.75" thickBot="1" x14ac:dyDescent="0.3">
      <c r="A332" s="599"/>
      <c r="B332" s="76" t="s">
        <v>193</v>
      </c>
      <c r="C332" s="66">
        <v>8.8713845502990663E-2</v>
      </c>
      <c r="D332" s="67">
        <f t="shared" si="5"/>
        <v>11.728980200559207</v>
      </c>
      <c r="E332" s="66">
        <v>7.5636452603748978E-3</v>
      </c>
      <c r="G332" s="1"/>
      <c r="H332" s="1"/>
    </row>
    <row r="333" spans="1:14" s="22" customFormat="1" x14ac:dyDescent="0.25">
      <c r="A333" s="59"/>
      <c r="B333" s="59"/>
      <c r="C333" s="59"/>
      <c r="D333" s="59"/>
      <c r="E333" s="59"/>
      <c r="F333" s="59"/>
      <c r="G333" s="59"/>
      <c r="H333" s="59"/>
      <c r="I333" s="59"/>
      <c r="J333" s="59"/>
      <c r="K333" s="59"/>
      <c r="M333" s="1"/>
      <c r="N333" s="1"/>
    </row>
    <row r="334" spans="1:14" s="22" customFormat="1" ht="15.75" thickBot="1" x14ac:dyDescent="0.3">
      <c r="A334" s="600" t="s">
        <v>272</v>
      </c>
      <c r="B334" s="586"/>
      <c r="C334" s="586"/>
      <c r="D334" s="586"/>
      <c r="E334" s="586"/>
      <c r="F334" s="586"/>
      <c r="G334" s="586"/>
      <c r="M334" s="1"/>
      <c r="N334" s="1"/>
    </row>
    <row r="335" spans="1:14" s="22" customFormat="1" ht="15.75" customHeight="1" thickBot="1" x14ac:dyDescent="0.3">
      <c r="A335" s="587" t="s">
        <v>179</v>
      </c>
      <c r="B335" s="588"/>
      <c r="C335" s="590" t="s">
        <v>180</v>
      </c>
      <c r="D335" s="591"/>
      <c r="E335" s="78" t="s">
        <v>273</v>
      </c>
      <c r="F335" s="580" t="s">
        <v>181</v>
      </c>
      <c r="G335" s="612" t="s">
        <v>270</v>
      </c>
      <c r="M335" s="1"/>
      <c r="N335" s="1"/>
    </row>
    <row r="336" spans="1:14" s="22" customFormat="1" ht="15.75" thickBot="1" x14ac:dyDescent="0.3">
      <c r="A336" s="584"/>
      <c r="B336" s="589"/>
      <c r="C336" s="79" t="s">
        <v>161</v>
      </c>
      <c r="D336" s="80" t="s">
        <v>162</v>
      </c>
      <c r="E336" s="80" t="s">
        <v>274</v>
      </c>
      <c r="F336" s="581"/>
      <c r="G336" s="613"/>
      <c r="M336" s="1"/>
      <c r="N336" s="1"/>
    </row>
    <row r="337" spans="1:14" s="22" customFormat="1" ht="15.75" thickBot="1" x14ac:dyDescent="0.3">
      <c r="A337" s="582">
        <v>1</v>
      </c>
      <c r="B337" s="68" t="s">
        <v>182</v>
      </c>
      <c r="C337" s="66">
        <v>1.5384788124705424</v>
      </c>
      <c r="D337" s="66">
        <v>5.0314855666557913E-3</v>
      </c>
      <c r="E337" s="81"/>
      <c r="F337" s="67">
        <v>305.77029231013017</v>
      </c>
      <c r="G337" s="82">
        <v>0</v>
      </c>
      <c r="M337" s="1"/>
      <c r="N337" s="1"/>
    </row>
    <row r="338" spans="1:14" s="22" customFormat="1" x14ac:dyDescent="0.25">
      <c r="A338" s="583"/>
      <c r="B338" s="70" t="s">
        <v>164</v>
      </c>
      <c r="C338" s="66">
        <v>0.2175480618533514</v>
      </c>
      <c r="D338" s="66">
        <v>3.3186528820252283E-2</v>
      </c>
      <c r="E338" s="66">
        <v>7.6562398985448544E-3</v>
      </c>
      <c r="F338" s="67">
        <v>6.5553123386797649</v>
      </c>
      <c r="G338" s="83">
        <v>5.5564807056147652E-11</v>
      </c>
      <c r="M338" s="1"/>
      <c r="N338" s="1"/>
    </row>
    <row r="339" spans="1:14" s="22" customFormat="1" x14ac:dyDescent="0.25">
      <c r="A339" s="583"/>
      <c r="B339" s="70" t="s">
        <v>165</v>
      </c>
      <c r="C339" s="66">
        <v>4.4402151766664733E-2</v>
      </c>
      <c r="D339" s="66">
        <v>3.3160600134642939E-3</v>
      </c>
      <c r="E339" s="66">
        <v>1.7871897558075982E-2</v>
      </c>
      <c r="F339" s="67">
        <v>13.390032624975843</v>
      </c>
      <c r="G339" s="83">
        <v>6.9977820602782146E-41</v>
      </c>
      <c r="M339" s="1"/>
      <c r="N339" s="1"/>
    </row>
    <row r="340" spans="1:14" s="22" customFormat="1" x14ac:dyDescent="0.25">
      <c r="A340" s="583"/>
      <c r="B340" s="70" t="s">
        <v>166</v>
      </c>
      <c r="C340" s="66">
        <v>-5.1226706795578385E-2</v>
      </c>
      <c r="D340" s="66">
        <v>2.9246162786076388E-3</v>
      </c>
      <c r="E340" s="66">
        <v>-2.5145523367829659E-2</v>
      </c>
      <c r="F340" s="67">
        <v>-17.515701861567482</v>
      </c>
      <c r="G340" s="83">
        <v>1.1257216224563107E-68</v>
      </c>
      <c r="M340" s="1"/>
      <c r="N340" s="1"/>
    </row>
    <row r="341" spans="1:14" s="22" customFormat="1" x14ac:dyDescent="0.25">
      <c r="A341" s="583"/>
      <c r="B341" s="70" t="s">
        <v>167</v>
      </c>
      <c r="C341" s="66">
        <v>-8.3350446303922576E-2</v>
      </c>
      <c r="D341" s="66">
        <v>3.7819450334134444E-3</v>
      </c>
      <c r="E341" s="66">
        <v>-3.2649698739205243E-2</v>
      </c>
      <c r="F341" s="67">
        <v>-22.039042230260424</v>
      </c>
      <c r="G341" s="83">
        <v>1.3270070378361539E-107</v>
      </c>
      <c r="M341" s="1"/>
      <c r="N341" s="1"/>
    </row>
    <row r="342" spans="1:14" s="22" customFormat="1" x14ac:dyDescent="0.25">
      <c r="A342" s="583"/>
      <c r="B342" s="70" t="s">
        <v>168</v>
      </c>
      <c r="C342" s="66">
        <v>-0.1778509873229942</v>
      </c>
      <c r="D342" s="66">
        <v>5.8044538293088362E-3</v>
      </c>
      <c r="E342" s="66">
        <v>-3.9999582691447141E-2</v>
      </c>
      <c r="F342" s="67">
        <v>-30.640434492726726</v>
      </c>
      <c r="G342" s="83">
        <v>4.8951781038848752E-206</v>
      </c>
      <c r="M342" s="1"/>
      <c r="N342" s="1"/>
    </row>
    <row r="343" spans="1:14" s="22" customFormat="1" x14ac:dyDescent="0.25">
      <c r="A343" s="583"/>
      <c r="B343" s="70" t="s">
        <v>169</v>
      </c>
      <c r="C343" s="66">
        <v>4.1696590776879865E-2</v>
      </c>
      <c r="D343" s="66">
        <v>3.1464709521230078E-3</v>
      </c>
      <c r="E343" s="66">
        <v>2.0809531662459586E-2</v>
      </c>
      <c r="F343" s="67">
        <v>13.25185943596462</v>
      </c>
      <c r="G343" s="83">
        <v>4.4521358602561105E-40</v>
      </c>
      <c r="M343" s="1"/>
      <c r="N343" s="1"/>
    </row>
    <row r="344" spans="1:14" s="22" customFormat="1" x14ac:dyDescent="0.25">
      <c r="A344" s="583"/>
      <c r="B344" s="70" t="s">
        <v>170</v>
      </c>
      <c r="C344" s="66">
        <v>-4.9539516299244156E-2</v>
      </c>
      <c r="D344" s="66">
        <v>2.9536470914674367E-3</v>
      </c>
      <c r="E344" s="66">
        <v>-2.6563175060582003E-2</v>
      </c>
      <c r="F344" s="67">
        <v>-16.77232071575343</v>
      </c>
      <c r="G344" s="83">
        <v>4.0052572056676928E-63</v>
      </c>
      <c r="M344" s="1"/>
      <c r="N344" s="1"/>
    </row>
    <row r="345" spans="1:14" s="22" customFormat="1" x14ac:dyDescent="0.25">
      <c r="A345" s="583"/>
      <c r="B345" s="70" t="s">
        <v>171</v>
      </c>
      <c r="C345" s="66">
        <v>3.9344829720031012E-2</v>
      </c>
      <c r="D345" s="66">
        <v>4.9806380367523424E-3</v>
      </c>
      <c r="E345" s="66">
        <v>1.2524176920240101E-2</v>
      </c>
      <c r="F345" s="67">
        <v>7.8995561270872967</v>
      </c>
      <c r="G345" s="83">
        <v>2.8031030318221578E-15</v>
      </c>
      <c r="M345" s="1"/>
      <c r="N345" s="1"/>
    </row>
    <row r="346" spans="1:14" s="22" customFormat="1" x14ac:dyDescent="0.25">
      <c r="A346" s="583"/>
      <c r="B346" s="70" t="s">
        <v>172</v>
      </c>
      <c r="C346" s="66">
        <v>5.2350718613050851E-2</v>
      </c>
      <c r="D346" s="66">
        <v>2.9556278459815172E-3</v>
      </c>
      <c r="E346" s="66">
        <v>2.5713565270559836E-2</v>
      </c>
      <c r="F346" s="67">
        <v>17.712215928749991</v>
      </c>
      <c r="G346" s="83">
        <v>3.4997600223085713E-70</v>
      </c>
      <c r="M346" s="1"/>
      <c r="N346" s="1"/>
    </row>
    <row r="347" spans="1:14" s="22" customFormat="1" x14ac:dyDescent="0.25">
      <c r="A347" s="583"/>
      <c r="B347" s="70" t="s">
        <v>173</v>
      </c>
      <c r="C347" s="66">
        <v>2.2307982597752997E-2</v>
      </c>
      <c r="D347" s="66">
        <v>5.210460926850429E-3</v>
      </c>
      <c r="E347" s="66">
        <v>7.6063480751391022E-3</v>
      </c>
      <c r="F347" s="67">
        <v>4.2813837222722482</v>
      </c>
      <c r="G347" s="83">
        <v>1.8576005580569443E-5</v>
      </c>
      <c r="M347" s="1"/>
      <c r="N347" s="1"/>
    </row>
    <row r="348" spans="1:14" s="22" customFormat="1" x14ac:dyDescent="0.25">
      <c r="A348" s="583"/>
      <c r="B348" s="70" t="s">
        <v>174</v>
      </c>
      <c r="C348" s="66">
        <v>-8.1764895234034511E-3</v>
      </c>
      <c r="D348" s="66">
        <v>6.5291279541329073E-3</v>
      </c>
      <c r="E348" s="66">
        <v>-2.0055723359795898E-3</v>
      </c>
      <c r="F348" s="67">
        <v>-1.2523095857277191</v>
      </c>
      <c r="G348" s="83">
        <v>0.21045750603444757</v>
      </c>
      <c r="M348" s="1"/>
      <c r="N348" s="1"/>
    </row>
    <row r="349" spans="1:14" s="22" customFormat="1" x14ac:dyDescent="0.25">
      <c r="A349" s="583"/>
      <c r="B349" s="70" t="s">
        <v>194</v>
      </c>
      <c r="C349" s="66">
        <v>0.4337018557706519</v>
      </c>
      <c r="D349" s="66">
        <v>2.4120222270877087E-3</v>
      </c>
      <c r="E349" s="66">
        <v>0.21296344854232865</v>
      </c>
      <c r="F349" s="67">
        <v>179.8083993174086</v>
      </c>
      <c r="G349" s="83">
        <v>0</v>
      </c>
      <c r="M349" s="1"/>
      <c r="N349" s="1"/>
    </row>
    <row r="350" spans="1:14" s="22" customFormat="1" x14ac:dyDescent="0.25">
      <c r="A350" s="583"/>
      <c r="B350" s="70" t="s">
        <v>175</v>
      </c>
      <c r="C350" s="66">
        <v>-7.3933166459548352E-2</v>
      </c>
      <c r="D350" s="66">
        <v>2.8750363969562366E-3</v>
      </c>
      <c r="E350" s="66">
        <v>-3.3443197798917461E-2</v>
      </c>
      <c r="F350" s="67">
        <v>-25.71555843182383</v>
      </c>
      <c r="G350" s="83">
        <v>9.1935346353924347E-146</v>
      </c>
      <c r="M350" s="1"/>
      <c r="N350" s="1"/>
    </row>
    <row r="351" spans="1:14" s="22" customFormat="1" x14ac:dyDescent="0.25">
      <c r="A351" s="583"/>
      <c r="B351" s="70" t="s">
        <v>176</v>
      </c>
      <c r="C351" s="66">
        <v>4.2597695708002009E-2</v>
      </c>
      <c r="D351" s="66">
        <v>2.7496182473824254E-3</v>
      </c>
      <c r="E351" s="66">
        <v>1.9292858051277915E-2</v>
      </c>
      <c r="F351" s="67">
        <v>15.492221783352672</v>
      </c>
      <c r="G351" s="83">
        <v>3.9993369581962248E-54</v>
      </c>
      <c r="M351" s="1"/>
      <c r="N351" s="1"/>
    </row>
    <row r="352" spans="1:14" s="22" customFormat="1" x14ac:dyDescent="0.25">
      <c r="A352" s="583"/>
      <c r="B352" s="70" t="s">
        <v>12</v>
      </c>
      <c r="C352" s="66">
        <v>-0.10508153493961897</v>
      </c>
      <c r="D352" s="66">
        <v>3.7741869100117761E-3</v>
      </c>
      <c r="E352" s="66">
        <v>-3.4306975201761958E-2</v>
      </c>
      <c r="F352" s="67">
        <v>-27.842165066300623</v>
      </c>
      <c r="G352" s="83">
        <v>1.6704747318435907E-170</v>
      </c>
      <c r="M352" s="1"/>
      <c r="N352" s="1"/>
    </row>
    <row r="353" spans="1:14" s="22" customFormat="1" x14ac:dyDescent="0.25">
      <c r="A353" s="583"/>
      <c r="B353" s="70" t="s">
        <v>10</v>
      </c>
      <c r="C353" s="66">
        <v>0.22871063534418837</v>
      </c>
      <c r="D353" s="66">
        <v>2.3964061162215877E-3</v>
      </c>
      <c r="E353" s="66">
        <v>0.11831210022915023</v>
      </c>
      <c r="F353" s="67">
        <v>95.439013360889064</v>
      </c>
      <c r="G353" s="83">
        <v>0</v>
      </c>
      <c r="M353" s="1"/>
      <c r="N353" s="1"/>
    </row>
    <row r="354" spans="1:14" s="22" customFormat="1" x14ac:dyDescent="0.25">
      <c r="A354" s="583"/>
      <c r="B354" s="70" t="s">
        <v>186</v>
      </c>
      <c r="C354" s="66">
        <v>0.13111501904875075</v>
      </c>
      <c r="D354" s="66">
        <v>8.527665842251746E-3</v>
      </c>
      <c r="E354" s="66">
        <v>1.7982581288316438E-2</v>
      </c>
      <c r="F354" s="67">
        <v>15.375252909080872</v>
      </c>
      <c r="G354" s="83">
        <v>2.4490368851585098E-53</v>
      </c>
      <c r="M354" s="1"/>
      <c r="N354" s="1"/>
    </row>
    <row r="355" spans="1:14" s="22" customFormat="1" x14ac:dyDescent="0.25">
      <c r="A355" s="583"/>
      <c r="B355" s="70" t="s">
        <v>187</v>
      </c>
      <c r="C355" s="66">
        <v>0.11642498139823289</v>
      </c>
      <c r="D355" s="66">
        <v>8.0563141094093828E-3</v>
      </c>
      <c r="E355" s="66">
        <v>1.6901433951557028E-2</v>
      </c>
      <c r="F355" s="67">
        <v>14.451395491426306</v>
      </c>
      <c r="G355" s="83">
        <v>2.4964816326503117E-47</v>
      </c>
      <c r="M355" s="1"/>
      <c r="N355" s="1"/>
    </row>
    <row r="356" spans="1:14" s="22" customFormat="1" x14ac:dyDescent="0.25">
      <c r="A356" s="583"/>
      <c r="B356" s="70" t="s">
        <v>188</v>
      </c>
      <c r="C356" s="66">
        <v>9.5164409050695932E-3</v>
      </c>
      <c r="D356" s="66">
        <v>7.4517276845951289E-3</v>
      </c>
      <c r="E356" s="66">
        <v>1.4955391671898294E-3</v>
      </c>
      <c r="F356" s="67">
        <v>1.2770784585624113</v>
      </c>
      <c r="G356" s="83">
        <v>0.20157498317943212</v>
      </c>
      <c r="M356" s="1"/>
      <c r="N356" s="1"/>
    </row>
    <row r="357" spans="1:14" s="22" customFormat="1" x14ac:dyDescent="0.25">
      <c r="A357" s="583"/>
      <c r="B357" s="70" t="s">
        <v>189</v>
      </c>
      <c r="C357" s="66">
        <v>9.7088897420253201E-2</v>
      </c>
      <c r="D357" s="66">
        <v>8.952475353918174E-3</v>
      </c>
      <c r="E357" s="66">
        <v>1.2696402670997286E-2</v>
      </c>
      <c r="F357" s="67">
        <v>10.844922055860328</v>
      </c>
      <c r="G357" s="83">
        <v>2.1190360866755831E-27</v>
      </c>
      <c r="M357" s="1"/>
      <c r="N357" s="1"/>
    </row>
    <row r="358" spans="1:14" s="22" customFormat="1" x14ac:dyDescent="0.25">
      <c r="A358" s="583"/>
      <c r="B358" s="70" t="s">
        <v>190</v>
      </c>
      <c r="C358" s="66">
        <v>0.14967501040127953</v>
      </c>
      <c r="D358" s="66">
        <v>1.0236659000675687E-2</v>
      </c>
      <c r="E358" s="66">
        <v>1.7096766731406771E-2</v>
      </c>
      <c r="F358" s="67">
        <v>14.621470773950758</v>
      </c>
      <c r="G358" s="83">
        <v>2.0841392322919434E-48</v>
      </c>
      <c r="M358" s="1"/>
      <c r="N358" s="1"/>
    </row>
    <row r="359" spans="1:14" s="22" customFormat="1" x14ac:dyDescent="0.25">
      <c r="A359" s="583"/>
      <c r="B359" s="70" t="s">
        <v>183</v>
      </c>
      <c r="C359" s="66">
        <v>0.10111619888155519</v>
      </c>
      <c r="D359" s="66">
        <v>1.6705309382243277E-2</v>
      </c>
      <c r="E359" s="66">
        <v>7.0789007918211164E-3</v>
      </c>
      <c r="F359" s="67">
        <v>6.0529378156285771</v>
      </c>
      <c r="G359" s="83">
        <v>1.4230145125009366E-9</v>
      </c>
      <c r="M359" s="1"/>
      <c r="N359" s="1"/>
    </row>
    <row r="360" spans="1:14" s="22" customFormat="1" x14ac:dyDescent="0.25">
      <c r="A360" s="583"/>
      <c r="B360" s="70" t="s">
        <v>184</v>
      </c>
      <c r="C360" s="66">
        <v>-2.5557611903595675E-2</v>
      </c>
      <c r="D360" s="66">
        <v>3.1540151175155815E-3</v>
      </c>
      <c r="E360" s="66">
        <v>-1.0054784212038885E-2</v>
      </c>
      <c r="F360" s="67">
        <v>-8.1031989230690229</v>
      </c>
      <c r="G360" s="83">
        <v>5.3619701668728716E-16</v>
      </c>
      <c r="M360" s="1"/>
      <c r="N360" s="1"/>
    </row>
    <row r="361" spans="1:14" s="22" customFormat="1" ht="15.75" thickBot="1" x14ac:dyDescent="0.3">
      <c r="A361" s="584"/>
      <c r="B361" s="76" t="s">
        <v>193</v>
      </c>
      <c r="C361" s="66">
        <v>8.1771119691230604E-3</v>
      </c>
      <c r="D361" s="66">
        <v>1.1423268833569797E-3</v>
      </c>
      <c r="E361" s="66">
        <v>8.3574569369907776E-3</v>
      </c>
      <c r="F361" s="67">
        <v>7.158294257325724</v>
      </c>
      <c r="G361" s="84">
        <v>8.1768648701771181E-13</v>
      </c>
      <c r="M361" s="1"/>
      <c r="N361" s="1"/>
    </row>
    <row r="362" spans="1:14" s="22" customFormat="1" x14ac:dyDescent="0.25">
      <c r="A362" s="59"/>
      <c r="B362" s="59"/>
      <c r="C362" s="59"/>
      <c r="D362" s="59"/>
      <c r="E362" s="59"/>
      <c r="F362" s="59"/>
      <c r="G362" s="59"/>
      <c r="M362" s="1"/>
      <c r="N362" s="1"/>
    </row>
    <row r="363" spans="1:14" s="22" customFormat="1" ht="15.75" thickBot="1" x14ac:dyDescent="0.3">
      <c r="A363" s="600" t="s">
        <v>275</v>
      </c>
      <c r="B363" s="586"/>
      <c r="C363" s="586"/>
      <c r="D363" s="586"/>
      <c r="E363" s="586"/>
      <c r="F363" s="586"/>
      <c r="G363" s="586"/>
      <c r="M363" s="1"/>
      <c r="N363" s="1"/>
    </row>
    <row r="364" spans="1:14" s="22" customFormat="1" ht="37.5" thickBot="1" x14ac:dyDescent="0.3">
      <c r="A364" s="587" t="s">
        <v>179</v>
      </c>
      <c r="B364" s="588"/>
      <c r="C364" s="590" t="s">
        <v>180</v>
      </c>
      <c r="D364" s="591"/>
      <c r="E364" s="78" t="s">
        <v>273</v>
      </c>
      <c r="F364" s="580" t="s">
        <v>181</v>
      </c>
      <c r="G364" s="612" t="s">
        <v>270</v>
      </c>
      <c r="M364" s="1"/>
      <c r="N364" s="1"/>
    </row>
    <row r="365" spans="1:14" s="22" customFormat="1" ht="15.75" thickBot="1" x14ac:dyDescent="0.3">
      <c r="A365" s="584"/>
      <c r="B365" s="589"/>
      <c r="C365" s="79" t="s">
        <v>161</v>
      </c>
      <c r="D365" s="80" t="s">
        <v>162</v>
      </c>
      <c r="E365" s="80" t="s">
        <v>274</v>
      </c>
      <c r="F365" s="581"/>
      <c r="G365" s="613"/>
      <c r="M365" s="1"/>
      <c r="N365" s="1"/>
    </row>
    <row r="366" spans="1:14" s="22" customFormat="1" ht="15.75" thickBot="1" x14ac:dyDescent="0.3">
      <c r="A366" s="582">
        <v>1</v>
      </c>
      <c r="B366" s="68" t="s">
        <v>182</v>
      </c>
      <c r="C366" s="66">
        <v>1.8843460210672369</v>
      </c>
      <c r="D366" s="66">
        <v>1.035448550815106E-2</v>
      </c>
      <c r="E366" s="81"/>
      <c r="F366" s="67">
        <v>181.98354902171414</v>
      </c>
      <c r="G366" s="82">
        <v>0</v>
      </c>
      <c r="M366" s="1"/>
      <c r="N366" s="1"/>
    </row>
    <row r="367" spans="1:14" s="22" customFormat="1" x14ac:dyDescent="0.25">
      <c r="A367" s="583"/>
      <c r="B367" s="70" t="s">
        <v>164</v>
      </c>
      <c r="C367" s="66">
        <v>-0.21140196017927415</v>
      </c>
      <c r="D367" s="66">
        <v>5.8437955976875901E-3</v>
      </c>
      <c r="E367" s="66">
        <v>-0.10869843325872112</v>
      </c>
      <c r="F367" s="67">
        <v>-36.175454230967048</v>
      </c>
      <c r="G367" s="83">
        <v>7.4530688183448785E-286</v>
      </c>
      <c r="M367" s="1"/>
      <c r="N367" s="1"/>
    </row>
    <row r="368" spans="1:14" s="22" customFormat="1" x14ac:dyDescent="0.25">
      <c r="A368" s="583"/>
      <c r="B368" s="70" t="s">
        <v>165</v>
      </c>
      <c r="C368" s="66">
        <v>-7.0011688759259116E-2</v>
      </c>
      <c r="D368" s="66">
        <v>6.3204598474462526E-3</v>
      </c>
      <c r="E368" s="66">
        <v>-2.8401095969039451E-2</v>
      </c>
      <c r="F368" s="67">
        <v>-11.076992884868488</v>
      </c>
      <c r="G368" s="83">
        <v>1.6459250238404199E-28</v>
      </c>
      <c r="M368" s="1"/>
      <c r="N368" s="1"/>
    </row>
    <row r="369" spans="1:14" s="22" customFormat="1" x14ac:dyDescent="0.25">
      <c r="A369" s="583"/>
      <c r="B369" s="70" t="s">
        <v>166</v>
      </c>
      <c r="C369" s="66">
        <v>-2.7477982829790335E-2</v>
      </c>
      <c r="D369" s="66">
        <v>7.1981466947632095E-3</v>
      </c>
      <c r="E369" s="66">
        <v>-9.5096963591647862E-3</v>
      </c>
      <c r="F369" s="67">
        <v>-3.8173691083263277</v>
      </c>
      <c r="G369" s="83">
        <v>1.3491301522139997E-4</v>
      </c>
      <c r="M369" s="1"/>
      <c r="N369" s="1"/>
    </row>
    <row r="370" spans="1:14" s="22" customFormat="1" x14ac:dyDescent="0.25">
      <c r="A370" s="583"/>
      <c r="B370" s="70" t="s">
        <v>167</v>
      </c>
      <c r="C370" s="66">
        <v>-8.8344643591116032E-2</v>
      </c>
      <c r="D370" s="66">
        <v>8.2366215135633043E-3</v>
      </c>
      <c r="E370" s="66">
        <v>-2.754168259612793E-2</v>
      </c>
      <c r="F370" s="67">
        <v>-10.725835033895665</v>
      </c>
      <c r="G370" s="83">
        <v>7.7974314147483763E-27</v>
      </c>
      <c r="M370" s="1"/>
      <c r="N370" s="1"/>
    </row>
    <row r="371" spans="1:14" s="22" customFormat="1" x14ac:dyDescent="0.25">
      <c r="A371" s="583"/>
      <c r="B371" s="70" t="s">
        <v>168</v>
      </c>
      <c r="C371" s="66">
        <v>-0.20374282359143564</v>
      </c>
      <c r="D371" s="66">
        <v>1.0342070271483267E-2</v>
      </c>
      <c r="E371" s="66">
        <v>-4.5455230973935078E-2</v>
      </c>
      <c r="F371" s="67">
        <v>-19.700390564278646</v>
      </c>
      <c r="G371" s="83">
        <v>2.4684852906786076E-86</v>
      </c>
      <c r="M371" s="1"/>
      <c r="N371" s="1"/>
    </row>
    <row r="372" spans="1:14" s="22" customFormat="1" x14ac:dyDescent="0.25">
      <c r="A372" s="583"/>
      <c r="B372" s="70" t="s">
        <v>169</v>
      </c>
      <c r="C372" s="66">
        <v>-6.0778929420707596E-2</v>
      </c>
      <c r="D372" s="66">
        <v>7.28041670003332E-3</v>
      </c>
      <c r="E372" s="66">
        <v>-2.8174444110625443E-2</v>
      </c>
      <c r="F372" s="67">
        <v>-8.3482761941949608</v>
      </c>
      <c r="G372" s="83">
        <v>6.9594249928238321E-17</v>
      </c>
      <c r="M372" s="1"/>
      <c r="N372" s="1"/>
    </row>
    <row r="373" spans="1:14" s="22" customFormat="1" x14ac:dyDescent="0.25">
      <c r="A373" s="583"/>
      <c r="B373" s="70" t="s">
        <v>170</v>
      </c>
      <c r="C373" s="66">
        <v>-5.9171958846867476E-2</v>
      </c>
      <c r="D373" s="66">
        <v>6.0089392679786675E-3</v>
      </c>
      <c r="E373" s="66">
        <v>-2.9195161047101778E-2</v>
      </c>
      <c r="F373" s="67">
        <v>-9.8473218330216525</v>
      </c>
      <c r="G373" s="83">
        <v>7.1036011536519811E-23</v>
      </c>
      <c r="M373" s="1"/>
      <c r="N373" s="1"/>
    </row>
    <row r="374" spans="1:14" s="22" customFormat="1" x14ac:dyDescent="0.25">
      <c r="A374" s="583"/>
      <c r="B374" s="70" t="s">
        <v>171</v>
      </c>
      <c r="C374" s="66">
        <v>-5.8018654287140183E-2</v>
      </c>
      <c r="D374" s="66">
        <v>8.7240020127261168E-3</v>
      </c>
      <c r="E374" s="66">
        <v>-2.2634169657452349E-2</v>
      </c>
      <c r="F374" s="67">
        <v>-6.6504631936702454</v>
      </c>
      <c r="G374" s="83">
        <v>2.9273698331316766E-11</v>
      </c>
      <c r="M374" s="1"/>
      <c r="N374" s="1"/>
    </row>
    <row r="375" spans="1:14" s="22" customFormat="1" x14ac:dyDescent="0.25">
      <c r="A375" s="583"/>
      <c r="B375" s="70" t="s">
        <v>172</v>
      </c>
      <c r="C375" s="66">
        <v>-2.8572271523795148E-3</v>
      </c>
      <c r="D375" s="66">
        <v>4.5495844164660801E-3</v>
      </c>
      <c r="E375" s="66">
        <v>-1.4198298861093791E-3</v>
      </c>
      <c r="F375" s="67">
        <v>-0.6280193729428335</v>
      </c>
      <c r="G375" s="83">
        <v>0.52999179120570983</v>
      </c>
      <c r="M375" s="1"/>
      <c r="N375" s="1"/>
    </row>
    <row r="376" spans="1:14" s="22" customFormat="1" x14ac:dyDescent="0.25">
      <c r="A376" s="583"/>
      <c r="B376" s="70" t="s">
        <v>173</v>
      </c>
      <c r="C376" s="66">
        <v>9.7385842649763049E-2</v>
      </c>
      <c r="D376" s="66">
        <v>1.0752926654063608E-2</v>
      </c>
      <c r="E376" s="66">
        <v>2.9522403737798159E-2</v>
      </c>
      <c r="F376" s="67">
        <v>9.0566824998253139</v>
      </c>
      <c r="G376" s="83">
        <v>1.3535696170340079E-19</v>
      </c>
      <c r="M376" s="1"/>
      <c r="N376" s="1"/>
    </row>
    <row r="377" spans="1:14" s="22" customFormat="1" x14ac:dyDescent="0.25">
      <c r="A377" s="583"/>
      <c r="B377" s="70" t="s">
        <v>174</v>
      </c>
      <c r="C377" s="66">
        <v>-4.3923403919908351E-2</v>
      </c>
      <c r="D377" s="66">
        <v>1.257680525338333E-2</v>
      </c>
      <c r="E377" s="66">
        <v>-1.0739389629016922E-2</v>
      </c>
      <c r="F377" s="67">
        <v>-3.4924134575505463</v>
      </c>
      <c r="G377" s="83">
        <v>4.7875476636711448E-4</v>
      </c>
      <c r="M377" s="1"/>
      <c r="N377" s="1"/>
    </row>
    <row r="378" spans="1:14" s="22" customFormat="1" x14ac:dyDescent="0.25">
      <c r="A378" s="583"/>
      <c r="B378" s="70" t="s">
        <v>194</v>
      </c>
      <c r="C378" s="66">
        <v>0.1899549798976411</v>
      </c>
      <c r="D378" s="66">
        <v>7.3219238699290387E-3</v>
      </c>
      <c r="E378" s="66">
        <v>5.0905025557151616E-2</v>
      </c>
      <c r="F378" s="67">
        <v>25.943315346091147</v>
      </c>
      <c r="G378" s="83">
        <v>3.321264856386284E-148</v>
      </c>
      <c r="M378" s="1"/>
      <c r="N378" s="1"/>
    </row>
    <row r="379" spans="1:14" s="22" customFormat="1" x14ac:dyDescent="0.25">
      <c r="A379" s="583"/>
      <c r="B379" s="70" t="s">
        <v>175</v>
      </c>
      <c r="C379" s="66">
        <v>-6.6504029104979184E-2</v>
      </c>
      <c r="D379" s="66">
        <v>4.7728016966412674E-3</v>
      </c>
      <c r="E379" s="66">
        <v>-3.1096424943401643E-2</v>
      </c>
      <c r="F379" s="67">
        <v>-13.933960246406137</v>
      </c>
      <c r="G379" s="83">
        <v>4.0832550140565817E-44</v>
      </c>
      <c r="M379" s="1"/>
      <c r="N379" s="1"/>
    </row>
    <row r="380" spans="1:14" s="22" customFormat="1" x14ac:dyDescent="0.25">
      <c r="A380" s="583"/>
      <c r="B380" s="70" t="s">
        <v>176</v>
      </c>
      <c r="C380" s="66">
        <v>4.7491590058206308E-2</v>
      </c>
      <c r="D380" s="66">
        <v>4.6963162093706977E-3</v>
      </c>
      <c r="E380" s="66">
        <v>2.0793923184672453E-2</v>
      </c>
      <c r="F380" s="67">
        <v>10.112519673067359</v>
      </c>
      <c r="G380" s="83">
        <v>4.9109828779493013E-24</v>
      </c>
      <c r="M380" s="1"/>
      <c r="N380" s="1"/>
    </row>
    <row r="381" spans="1:14" s="22" customFormat="1" x14ac:dyDescent="0.25">
      <c r="A381" s="583"/>
      <c r="B381" s="70" t="s">
        <v>12</v>
      </c>
      <c r="C381" s="66">
        <v>-0.10750913059635994</v>
      </c>
      <c r="D381" s="66">
        <v>6.2639859581857665E-3</v>
      </c>
      <c r="E381" s="66">
        <v>-3.4506910973161276E-2</v>
      </c>
      <c r="F381" s="67">
        <v>-17.163054214045161</v>
      </c>
      <c r="G381" s="83">
        <v>5.4520921505275367E-66</v>
      </c>
      <c r="M381" s="1"/>
      <c r="N381" s="1"/>
    </row>
    <row r="382" spans="1:14" s="22" customFormat="1" x14ac:dyDescent="0.25">
      <c r="A382" s="583"/>
      <c r="B382" s="70" t="s">
        <v>10</v>
      </c>
      <c r="C382" s="66">
        <v>0.2949219344246366</v>
      </c>
      <c r="D382" s="66">
        <v>4.001485256483063E-3</v>
      </c>
      <c r="E382" s="66">
        <v>0.14900605942731462</v>
      </c>
      <c r="F382" s="67">
        <v>73.703116598221783</v>
      </c>
      <c r="G382" s="83">
        <v>0</v>
      </c>
      <c r="M382" s="1"/>
      <c r="N382" s="1"/>
    </row>
    <row r="383" spans="1:14" s="22" customFormat="1" x14ac:dyDescent="0.25">
      <c r="A383" s="583"/>
      <c r="B383" s="70" t="s">
        <v>186</v>
      </c>
      <c r="C383" s="66">
        <v>8.6815940179768944E-2</v>
      </c>
      <c r="D383" s="66">
        <v>1.4189743391591991E-2</v>
      </c>
      <c r="E383" s="66">
        <v>1.1647577878427278E-2</v>
      </c>
      <c r="F383" s="67">
        <v>6.1182177706758933</v>
      </c>
      <c r="G383" s="83">
        <v>9.4759727766483935E-10</v>
      </c>
      <c r="M383" s="1"/>
      <c r="N383" s="1"/>
    </row>
    <row r="384" spans="1:14" s="22" customFormat="1" x14ac:dyDescent="0.25">
      <c r="A384" s="583"/>
      <c r="B384" s="70" t="s">
        <v>187</v>
      </c>
      <c r="C384" s="66">
        <v>-0.12051137770735783</v>
      </c>
      <c r="D384" s="66">
        <v>1.3665548716242665E-2</v>
      </c>
      <c r="E384" s="66">
        <v>-1.6868041234645199E-2</v>
      </c>
      <c r="F384" s="67">
        <v>-8.8186270606258077</v>
      </c>
      <c r="G384" s="83">
        <v>1.1655287268783331E-18</v>
      </c>
      <c r="M384" s="1"/>
      <c r="N384" s="1"/>
    </row>
    <row r="385" spans="1:14" s="22" customFormat="1" x14ac:dyDescent="0.25">
      <c r="A385" s="583"/>
      <c r="B385" s="70" t="s">
        <v>188</v>
      </c>
      <c r="C385" s="66">
        <v>2.0882016221232529E-2</v>
      </c>
      <c r="D385" s="66">
        <v>1.2059027054812073E-2</v>
      </c>
      <c r="E385" s="66">
        <v>3.3174821214546671E-3</v>
      </c>
      <c r="F385" s="67">
        <v>1.731650167655914</v>
      </c>
      <c r="G385" s="83">
        <v>8.3337034026558454E-2</v>
      </c>
      <c r="M385" s="1"/>
      <c r="N385" s="1"/>
    </row>
    <row r="386" spans="1:14" s="22" customFormat="1" x14ac:dyDescent="0.25">
      <c r="A386" s="583"/>
      <c r="B386" s="70" t="s">
        <v>189</v>
      </c>
      <c r="C386" s="66">
        <v>2.3205105879273032E-3</v>
      </c>
      <c r="D386" s="66">
        <v>1.4595010945870944E-2</v>
      </c>
      <c r="E386" s="66">
        <v>3.032825050221518E-4</v>
      </c>
      <c r="F386" s="67">
        <v>0.15899341196340766</v>
      </c>
      <c r="G386" s="83">
        <v>0.87367418567314625</v>
      </c>
      <c r="M386" s="1"/>
      <c r="N386" s="1"/>
    </row>
    <row r="387" spans="1:14" s="22" customFormat="1" x14ac:dyDescent="0.25">
      <c r="A387" s="583"/>
      <c r="B387" s="70" t="s">
        <v>190</v>
      </c>
      <c r="C387" s="66">
        <v>0.10829231500068122</v>
      </c>
      <c r="D387" s="66">
        <v>1.6452661177868502E-2</v>
      </c>
      <c r="E387" s="66">
        <v>1.2534494525440087E-2</v>
      </c>
      <c r="F387" s="67">
        <v>6.5820546493932515</v>
      </c>
      <c r="G387" s="83">
        <v>4.6485248976543016E-11</v>
      </c>
      <c r="M387" s="1"/>
      <c r="N387" s="1"/>
    </row>
    <row r="388" spans="1:14" s="22" customFormat="1" x14ac:dyDescent="0.25">
      <c r="A388" s="583"/>
      <c r="B388" s="70" t="s">
        <v>183</v>
      </c>
      <c r="C388" s="66">
        <v>-0.27426484634182202</v>
      </c>
      <c r="D388" s="66">
        <v>1.0936604611634535E-2</v>
      </c>
      <c r="E388" s="66">
        <v>-5.2120991732420401E-2</v>
      </c>
      <c r="F388" s="67">
        <v>-25.077696056603774</v>
      </c>
      <c r="G388" s="83">
        <v>1.2666945558495668E-138</v>
      </c>
      <c r="M388" s="1"/>
      <c r="N388" s="1"/>
    </row>
    <row r="389" spans="1:14" s="22" customFormat="1" x14ac:dyDescent="0.25">
      <c r="A389" s="583"/>
      <c r="B389" s="70" t="s">
        <v>184</v>
      </c>
      <c r="C389" s="66">
        <v>-5.5148573889439174E-2</v>
      </c>
      <c r="D389" s="66">
        <v>4.7454609837251013E-3</v>
      </c>
      <c r="E389" s="66">
        <v>-2.4902805387477946E-2</v>
      </c>
      <c r="F389" s="67">
        <v>-11.62133122126073</v>
      </c>
      <c r="G389" s="83">
        <v>3.2675881260453017E-31</v>
      </c>
      <c r="M389" s="1"/>
      <c r="N389" s="1"/>
    </row>
    <row r="390" spans="1:14" s="22" customFormat="1" ht="15.75" thickBot="1" x14ac:dyDescent="0.3">
      <c r="A390" s="584"/>
      <c r="B390" s="76" t="s">
        <v>193</v>
      </c>
      <c r="C390" s="66">
        <v>-5.354989096019622E-3</v>
      </c>
      <c r="D390" s="66">
        <v>1.8943476995973659E-3</v>
      </c>
      <c r="E390" s="66">
        <v>-5.3777205999612941E-3</v>
      </c>
      <c r="F390" s="67">
        <v>-2.826824820574279</v>
      </c>
      <c r="G390" s="84">
        <v>4.7015564925147937E-3</v>
      </c>
      <c r="M390" s="1"/>
      <c r="N390" s="1"/>
    </row>
    <row r="391" spans="1:14" s="22" customFormat="1" x14ac:dyDescent="0.25">
      <c r="A391" s="59"/>
      <c r="B391" s="59"/>
      <c r="C391" s="59"/>
      <c r="D391" s="59"/>
      <c r="E391" s="59"/>
      <c r="F391" s="59"/>
      <c r="G391" s="59"/>
      <c r="M391" s="1"/>
      <c r="N391" s="1"/>
    </row>
    <row r="392" spans="1:14" s="22" customFormat="1" ht="15.75" thickBot="1" x14ac:dyDescent="0.3">
      <c r="A392" s="600" t="s">
        <v>276</v>
      </c>
      <c r="B392" s="586"/>
      <c r="C392" s="586"/>
      <c r="D392" s="586"/>
      <c r="E392" s="586"/>
      <c r="F392" s="586"/>
      <c r="G392" s="586"/>
      <c r="M392" s="1"/>
      <c r="N392" s="1"/>
    </row>
    <row r="393" spans="1:14" s="22" customFormat="1" ht="37.5" thickBot="1" x14ac:dyDescent="0.3">
      <c r="A393" s="587" t="s">
        <v>179</v>
      </c>
      <c r="B393" s="588"/>
      <c r="C393" s="590" t="s">
        <v>180</v>
      </c>
      <c r="D393" s="591"/>
      <c r="E393" s="78" t="s">
        <v>273</v>
      </c>
      <c r="F393" s="580" t="s">
        <v>181</v>
      </c>
      <c r="G393" s="612" t="s">
        <v>270</v>
      </c>
      <c r="M393" s="1"/>
      <c r="N393" s="1"/>
    </row>
    <row r="394" spans="1:14" s="22" customFormat="1" ht="15.75" thickBot="1" x14ac:dyDescent="0.3">
      <c r="A394" s="584"/>
      <c r="B394" s="589"/>
      <c r="C394" s="79" t="s">
        <v>161</v>
      </c>
      <c r="D394" s="80" t="s">
        <v>162</v>
      </c>
      <c r="E394" s="80" t="s">
        <v>274</v>
      </c>
      <c r="F394" s="581"/>
      <c r="G394" s="613"/>
      <c r="M394" s="1"/>
      <c r="N394" s="1"/>
    </row>
    <row r="395" spans="1:14" s="22" customFormat="1" ht="15.75" thickBot="1" x14ac:dyDescent="0.3">
      <c r="A395" s="582">
        <v>1</v>
      </c>
      <c r="B395" s="68" t="s">
        <v>182</v>
      </c>
      <c r="C395" s="66">
        <v>1.9587707048757768</v>
      </c>
      <c r="D395" s="66">
        <v>3.1886966519366816E-2</v>
      </c>
      <c r="E395" s="81"/>
      <c r="F395" s="67">
        <v>61.428568430493414</v>
      </c>
      <c r="G395" s="82">
        <v>0</v>
      </c>
      <c r="M395" s="1"/>
      <c r="N395" s="1"/>
    </row>
    <row r="396" spans="1:14" s="22" customFormat="1" x14ac:dyDescent="0.25">
      <c r="A396" s="583"/>
      <c r="B396" s="70" t="s">
        <v>164</v>
      </c>
      <c r="C396" s="66">
        <v>-0.4005109205045248</v>
      </c>
      <c r="D396" s="66">
        <v>2.5181695817142413E-2</v>
      </c>
      <c r="E396" s="66">
        <v>-0.12233199513567776</v>
      </c>
      <c r="F396" s="67">
        <v>-15.904843081770426</v>
      </c>
      <c r="G396" s="83">
        <v>1.2554269396502176E-56</v>
      </c>
      <c r="M396" s="1"/>
      <c r="N396" s="1"/>
    </row>
    <row r="397" spans="1:14" s="22" customFormat="1" x14ac:dyDescent="0.25">
      <c r="A397" s="583"/>
      <c r="B397" s="70" t="s">
        <v>165</v>
      </c>
      <c r="C397" s="66">
        <v>-8.3633151979011586E-3</v>
      </c>
      <c r="D397" s="66">
        <v>1.706742332586204E-2</v>
      </c>
      <c r="E397" s="66">
        <v>-3.9135679947930367E-3</v>
      </c>
      <c r="F397" s="67">
        <v>-0.49001627476060422</v>
      </c>
      <c r="G397" s="83">
        <v>0.6241274971107913</v>
      </c>
      <c r="M397" s="1"/>
      <c r="N397" s="1"/>
    </row>
    <row r="398" spans="1:14" s="22" customFormat="1" x14ac:dyDescent="0.25">
      <c r="A398" s="583"/>
      <c r="B398" s="70" t="s">
        <v>166</v>
      </c>
      <c r="C398" s="66">
        <v>-9.9951371141342005E-2</v>
      </c>
      <c r="D398" s="66">
        <v>1.718364406709386E-2</v>
      </c>
      <c r="E398" s="66">
        <v>-4.5442880572320946E-2</v>
      </c>
      <c r="F398" s="67">
        <v>-5.8166574418720502</v>
      </c>
      <c r="G398" s="83">
        <v>6.090650945527892E-9</v>
      </c>
      <c r="M398" s="1"/>
      <c r="N398" s="1"/>
    </row>
    <row r="399" spans="1:14" s="22" customFormat="1" x14ac:dyDescent="0.25">
      <c r="A399" s="583"/>
      <c r="B399" s="70" t="s">
        <v>167</v>
      </c>
      <c r="C399" s="66">
        <v>-0.15412163334933834</v>
      </c>
      <c r="D399" s="66">
        <v>2.2813873576462758E-2</v>
      </c>
      <c r="E399" s="66">
        <v>-5.1131739387505329E-2</v>
      </c>
      <c r="F399" s="67">
        <v>-6.7556100384612794</v>
      </c>
      <c r="G399" s="83">
        <v>1.4595484420814175E-11</v>
      </c>
      <c r="M399" s="1"/>
      <c r="N399" s="1"/>
    </row>
    <row r="400" spans="1:14" s="22" customFormat="1" x14ac:dyDescent="0.25">
      <c r="A400" s="583"/>
      <c r="B400" s="70" t="s">
        <v>168</v>
      </c>
      <c r="C400" s="66">
        <v>-0.1397506680539598</v>
      </c>
      <c r="D400" s="66">
        <v>3.1948275953276914E-2</v>
      </c>
      <c r="E400" s="66">
        <v>-3.0851088953826149E-2</v>
      </c>
      <c r="F400" s="67">
        <v>-4.3742788580623131</v>
      </c>
      <c r="G400" s="83">
        <v>1.2242062984481499E-5</v>
      </c>
      <c r="M400" s="1"/>
      <c r="N400" s="1"/>
    </row>
    <row r="401" spans="1:14" s="22" customFormat="1" x14ac:dyDescent="0.25">
      <c r="A401" s="583"/>
      <c r="B401" s="70" t="s">
        <v>169</v>
      </c>
      <c r="C401" s="66">
        <v>8.0924268803115301E-3</v>
      </c>
      <c r="D401" s="66">
        <v>1.7989909737174476E-2</v>
      </c>
      <c r="E401" s="66">
        <v>4.3279624363202936E-3</v>
      </c>
      <c r="F401" s="67">
        <v>0.44983143320554203</v>
      </c>
      <c r="G401" s="83">
        <v>0.65283662993840086</v>
      </c>
      <c r="M401" s="1"/>
      <c r="N401" s="1"/>
    </row>
    <row r="402" spans="1:14" s="22" customFormat="1" x14ac:dyDescent="0.25">
      <c r="A402" s="583"/>
      <c r="B402" s="70" t="s">
        <v>170</v>
      </c>
      <c r="C402" s="66">
        <v>3.5117680492147418E-2</v>
      </c>
      <c r="D402" s="66">
        <v>1.9906256351891419E-2</v>
      </c>
      <c r="E402" s="66">
        <v>1.8875898605383308E-2</v>
      </c>
      <c r="F402" s="67">
        <v>1.7641529311869162</v>
      </c>
      <c r="G402" s="83">
        <v>7.7720758948909494E-2</v>
      </c>
      <c r="M402" s="1"/>
      <c r="N402" s="1"/>
    </row>
    <row r="403" spans="1:14" s="22" customFormat="1" x14ac:dyDescent="0.25">
      <c r="A403" s="583"/>
      <c r="B403" s="70" t="s">
        <v>171</v>
      </c>
      <c r="C403" s="66">
        <v>4.7381605351750317E-2</v>
      </c>
      <c r="D403" s="66">
        <v>2.4980108653865903E-2</v>
      </c>
      <c r="E403" s="66">
        <v>2.0602893712300657E-2</v>
      </c>
      <c r="F403" s="67">
        <v>1.8967733891108425</v>
      </c>
      <c r="G403" s="83">
        <v>5.7871549451069211E-2</v>
      </c>
      <c r="M403" s="1"/>
      <c r="N403" s="1"/>
    </row>
    <row r="404" spans="1:14" s="22" customFormat="1" x14ac:dyDescent="0.25">
      <c r="A404" s="583"/>
      <c r="B404" s="70" t="s">
        <v>172</v>
      </c>
      <c r="C404" s="66">
        <v>7.8171552593451577E-4</v>
      </c>
      <c r="D404" s="66">
        <v>1.5415879856069157E-2</v>
      </c>
      <c r="E404" s="66">
        <v>4.0341387425345612E-4</v>
      </c>
      <c r="F404" s="67">
        <v>5.0708459927881325E-2</v>
      </c>
      <c r="G404" s="83">
        <v>0.95955831713750062</v>
      </c>
      <c r="M404" s="1"/>
      <c r="N404" s="1"/>
    </row>
    <row r="405" spans="1:14" s="22" customFormat="1" x14ac:dyDescent="0.25">
      <c r="A405" s="583"/>
      <c r="B405" s="70" t="s">
        <v>173</v>
      </c>
      <c r="C405" s="66">
        <v>0.24010086544187767</v>
      </c>
      <c r="D405" s="66">
        <v>2.3866985802650481E-2</v>
      </c>
      <c r="E405" s="66">
        <v>0.11199434062598292</v>
      </c>
      <c r="F405" s="67">
        <v>10.059957609528302</v>
      </c>
      <c r="G405" s="83">
        <v>9.3979425022287499E-24</v>
      </c>
      <c r="M405" s="1"/>
      <c r="N405" s="1"/>
    </row>
    <row r="406" spans="1:14" s="22" customFormat="1" x14ac:dyDescent="0.25">
      <c r="A406" s="583"/>
      <c r="B406" s="70" t="s">
        <v>174</v>
      </c>
      <c r="C406" s="66">
        <v>-0.2390006871374285</v>
      </c>
      <c r="D406" s="66">
        <v>2.6110029304703151E-2</v>
      </c>
      <c r="E406" s="66">
        <v>-9.5884353678516179E-2</v>
      </c>
      <c r="F406" s="67">
        <v>-9.153597046877989</v>
      </c>
      <c r="G406" s="83">
        <v>5.9969946428071754E-20</v>
      </c>
      <c r="M406" s="1"/>
      <c r="N406" s="1"/>
    </row>
    <row r="407" spans="1:14" s="22" customFormat="1" x14ac:dyDescent="0.25">
      <c r="A407" s="583"/>
      <c r="B407" s="70" t="s">
        <v>194</v>
      </c>
      <c r="C407" s="66">
        <v>0.27742133098903615</v>
      </c>
      <c r="D407" s="66">
        <v>1.3598271460420672E-2</v>
      </c>
      <c r="E407" s="66">
        <v>0.14187125086639416</v>
      </c>
      <c r="F407" s="67">
        <v>20.401220243065652</v>
      </c>
      <c r="G407" s="83">
        <v>1.2586717493569407E-91</v>
      </c>
      <c r="M407" s="1"/>
      <c r="N407" s="1"/>
    </row>
    <row r="408" spans="1:14" s="22" customFormat="1" x14ac:dyDescent="0.25">
      <c r="A408" s="583"/>
      <c r="B408" s="70" t="s">
        <v>175</v>
      </c>
      <c r="C408" s="66">
        <v>-0.11873099116477551</v>
      </c>
      <c r="D408" s="66">
        <v>1.5043489857178955E-2</v>
      </c>
      <c r="E408" s="66">
        <v>-6.4185624128191232E-2</v>
      </c>
      <c r="F408" s="67">
        <v>-7.8925164501051919</v>
      </c>
      <c r="G408" s="83">
        <v>3.1056996698023422E-15</v>
      </c>
      <c r="M408" s="1"/>
      <c r="N408" s="1"/>
    </row>
    <row r="409" spans="1:14" s="22" customFormat="1" x14ac:dyDescent="0.25">
      <c r="A409" s="583"/>
      <c r="B409" s="70" t="s">
        <v>176</v>
      </c>
      <c r="C409" s="66">
        <v>7.3430821110020195E-2</v>
      </c>
      <c r="D409" s="66">
        <v>1.8872246926245517E-2</v>
      </c>
      <c r="E409" s="66">
        <v>2.9272548913461604E-2</v>
      </c>
      <c r="F409" s="67">
        <v>3.8909421542116647</v>
      </c>
      <c r="G409" s="83">
        <v>1.0016349651118339E-4</v>
      </c>
      <c r="M409" s="1"/>
      <c r="N409" s="1"/>
    </row>
    <row r="410" spans="1:14" s="22" customFormat="1" x14ac:dyDescent="0.25">
      <c r="A410" s="583"/>
      <c r="B410" s="70" t="s">
        <v>12</v>
      </c>
      <c r="C410" s="66">
        <v>-0.22922550043183498</v>
      </c>
      <c r="D410" s="66">
        <v>1.373499871715768E-2</v>
      </c>
      <c r="E410" s="66">
        <v>-0.12073423233436162</v>
      </c>
      <c r="F410" s="67">
        <v>-16.689153392165071</v>
      </c>
      <c r="G410" s="83">
        <v>3.9491275735991694E-62</v>
      </c>
      <c r="M410" s="1"/>
      <c r="N410" s="1"/>
    </row>
    <row r="411" spans="1:14" s="22" customFormat="1" x14ac:dyDescent="0.25">
      <c r="A411" s="583"/>
      <c r="B411" s="70" t="s">
        <v>10</v>
      </c>
      <c r="C411" s="66">
        <v>0.27044011866599488</v>
      </c>
      <c r="D411" s="66">
        <v>2.7113548333879526E-2</v>
      </c>
      <c r="E411" s="66">
        <v>6.9668462295479461E-2</v>
      </c>
      <c r="F411" s="67">
        <v>9.9743536086004827</v>
      </c>
      <c r="G411" s="83">
        <v>2.2248346037599666E-23</v>
      </c>
      <c r="M411" s="1"/>
      <c r="N411" s="1"/>
    </row>
    <row r="412" spans="1:14" s="22" customFormat="1" x14ac:dyDescent="0.25">
      <c r="A412" s="583"/>
      <c r="B412" s="70" t="s">
        <v>186</v>
      </c>
      <c r="C412" s="66">
        <v>0.67780104987052503</v>
      </c>
      <c r="D412" s="66">
        <v>5.2147244666108199E-2</v>
      </c>
      <c r="E412" s="66">
        <v>8.5385969878224915E-2</v>
      </c>
      <c r="F412" s="67">
        <v>12.997830550979138</v>
      </c>
      <c r="G412" s="83">
        <v>1.7712789474764984E-38</v>
      </c>
      <c r="M412" s="1"/>
      <c r="N412" s="1"/>
    </row>
    <row r="413" spans="1:14" s="22" customFormat="1" x14ac:dyDescent="0.25">
      <c r="A413" s="583"/>
      <c r="B413" s="70" t="s">
        <v>187</v>
      </c>
      <c r="C413" s="66">
        <v>-2.4720415240326282E-2</v>
      </c>
      <c r="D413" s="66">
        <v>3.3084231704944046E-2</v>
      </c>
      <c r="E413" s="66">
        <v>-5.0024526524734643E-3</v>
      </c>
      <c r="F413" s="67">
        <v>-0.7471962915986986</v>
      </c>
      <c r="G413" s="83">
        <v>0.45495344090028589</v>
      </c>
      <c r="M413" s="1"/>
      <c r="N413" s="1"/>
    </row>
    <row r="414" spans="1:14" s="22" customFormat="1" x14ac:dyDescent="0.25">
      <c r="A414" s="583"/>
      <c r="B414" s="70" t="s">
        <v>188</v>
      </c>
      <c r="C414" s="66">
        <v>0.47813826211029387</v>
      </c>
      <c r="D414" s="66">
        <v>5.9317516304706934E-2</v>
      </c>
      <c r="E414" s="66">
        <v>5.2671410230833923E-2</v>
      </c>
      <c r="F414" s="67">
        <v>8.060658839020757</v>
      </c>
      <c r="G414" s="83">
        <v>7.9906262832571257E-16</v>
      </c>
      <c r="M414" s="1"/>
      <c r="N414" s="1"/>
    </row>
    <row r="415" spans="1:14" s="22" customFormat="1" x14ac:dyDescent="0.25">
      <c r="A415" s="583"/>
      <c r="B415" s="70" t="s">
        <v>189</v>
      </c>
      <c r="C415" s="66">
        <v>0.19139394341809962</v>
      </c>
      <c r="D415" s="66">
        <v>5.6559218495657142E-2</v>
      </c>
      <c r="E415" s="66">
        <v>2.1806745757936008E-2</v>
      </c>
      <c r="F415" s="67">
        <v>3.3839566477177487</v>
      </c>
      <c r="G415" s="83">
        <v>7.1579773619299394E-4</v>
      </c>
      <c r="M415" s="1"/>
      <c r="N415" s="1"/>
    </row>
    <row r="416" spans="1:14" s="22" customFormat="1" x14ac:dyDescent="0.25">
      <c r="A416" s="583"/>
      <c r="B416" s="70" t="s">
        <v>190</v>
      </c>
      <c r="C416" s="66">
        <v>6.0704481074343272E-2</v>
      </c>
      <c r="D416" s="66">
        <v>4.5727459981641273E-2</v>
      </c>
      <c r="E416" s="66">
        <v>8.7736111229338182E-3</v>
      </c>
      <c r="F416" s="67">
        <v>1.327527947074143</v>
      </c>
      <c r="G416" s="83">
        <v>0.18434851983836842</v>
      </c>
      <c r="M416" s="1"/>
      <c r="N416" s="1"/>
    </row>
    <row r="417" spans="1:14" s="22" customFormat="1" x14ac:dyDescent="0.25">
      <c r="A417" s="583"/>
      <c r="B417" s="70" t="s">
        <v>183</v>
      </c>
      <c r="C417" s="66">
        <v>-0.29359188639826528</v>
      </c>
      <c r="D417" s="66">
        <v>1.8023830686323052E-2</v>
      </c>
      <c r="E417" s="66">
        <v>-0.1576564805004623</v>
      </c>
      <c r="F417" s="67">
        <v>-16.289094782778356</v>
      </c>
      <c r="G417" s="83">
        <v>2.7233889987894435E-59</v>
      </c>
      <c r="M417" s="1"/>
      <c r="N417" s="1"/>
    </row>
    <row r="418" spans="1:14" s="22" customFormat="1" x14ac:dyDescent="0.25">
      <c r="A418" s="583"/>
      <c r="B418" s="70" t="s">
        <v>184</v>
      </c>
      <c r="C418" s="66">
        <v>-0.17126550114252656</v>
      </c>
      <c r="D418" s="66">
        <v>1.7357326375769772E-2</v>
      </c>
      <c r="E418" s="66">
        <v>-8.6497425495045827E-2</v>
      </c>
      <c r="F418" s="67">
        <v>-9.8670438888334377</v>
      </c>
      <c r="G418" s="83">
        <v>6.4874207190996736E-23</v>
      </c>
      <c r="M418" s="1"/>
      <c r="N418" s="1"/>
    </row>
    <row r="419" spans="1:14" s="22" customFormat="1" ht="15.75" thickBot="1" x14ac:dyDescent="0.3">
      <c r="A419" s="584"/>
      <c r="B419" s="76" t="s">
        <v>193</v>
      </c>
      <c r="C419" s="66">
        <v>2.7278621072125038E-2</v>
      </c>
      <c r="D419" s="66">
        <v>6.4042980386307081E-3</v>
      </c>
      <c r="E419" s="66">
        <v>2.7690480346326016E-2</v>
      </c>
      <c r="F419" s="67">
        <v>4.2594240473476512</v>
      </c>
      <c r="G419" s="84">
        <v>2.0584496673631125E-5</v>
      </c>
      <c r="M419" s="1"/>
      <c r="N419" s="1"/>
    </row>
    <row r="420" spans="1:14" s="22" customFormat="1" x14ac:dyDescent="0.25">
      <c r="A420" s="59"/>
      <c r="B420" s="59"/>
      <c r="C420" s="59"/>
      <c r="D420" s="59"/>
      <c r="E420" s="59"/>
      <c r="F420" s="59"/>
      <c r="G420" s="59"/>
      <c r="M420" s="1"/>
      <c r="N420" s="1"/>
    </row>
    <row r="421" spans="1:14" s="22" customFormat="1" x14ac:dyDescent="0.25">
      <c r="A421" s="59"/>
      <c r="B421" s="59"/>
      <c r="C421" s="59"/>
      <c r="D421" s="59"/>
      <c r="E421" s="59"/>
      <c r="F421" s="59"/>
      <c r="G421" s="59"/>
      <c r="M421" s="1"/>
      <c r="N421" s="1"/>
    </row>
    <row r="422" spans="1:14" s="22" customFormat="1" x14ac:dyDescent="0.25">
      <c r="C422" s="1"/>
      <c r="D422" s="1"/>
      <c r="E422" s="1"/>
      <c r="F422" s="1"/>
      <c r="M422" s="1"/>
      <c r="N422" s="1"/>
    </row>
    <row r="423" spans="1:14" s="22" customFormat="1" x14ac:dyDescent="0.25">
      <c r="C423" s="1"/>
      <c r="D423" s="1"/>
      <c r="E423" s="1"/>
      <c r="F423" s="1"/>
      <c r="M423" s="1"/>
      <c r="N423" s="1"/>
    </row>
    <row r="424" spans="1:14" s="22" customFormat="1" x14ac:dyDescent="0.25">
      <c r="C424" s="1"/>
      <c r="D424" s="1"/>
      <c r="E424" s="1"/>
      <c r="F424" s="1"/>
      <c r="M424" s="1"/>
      <c r="N424" s="1"/>
    </row>
  </sheetData>
  <mergeCells count="60">
    <mergeCell ref="A395:A419"/>
    <mergeCell ref="A366:A390"/>
    <mergeCell ref="A392:G392"/>
    <mergeCell ref="A393:B394"/>
    <mergeCell ref="C393:D393"/>
    <mergeCell ref="F393:F394"/>
    <mergeCell ref="G393:G394"/>
    <mergeCell ref="A337:A361"/>
    <mergeCell ref="A363:G363"/>
    <mergeCell ref="A364:B365"/>
    <mergeCell ref="C364:D364"/>
    <mergeCell ref="F364:F365"/>
    <mergeCell ref="G364:G365"/>
    <mergeCell ref="A283:A307"/>
    <mergeCell ref="A308:A332"/>
    <mergeCell ref="A334:G334"/>
    <mergeCell ref="A335:B336"/>
    <mergeCell ref="C335:D335"/>
    <mergeCell ref="F335:F336"/>
    <mergeCell ref="G335:G336"/>
    <mergeCell ref="A280:J280"/>
    <mergeCell ref="A281:B282"/>
    <mergeCell ref="C281:C282"/>
    <mergeCell ref="D281:D282"/>
    <mergeCell ref="E281:E282"/>
    <mergeCell ref="A252:A276"/>
    <mergeCell ref="A199:J199"/>
    <mergeCell ref="A200:B201"/>
    <mergeCell ref="C200:C201"/>
    <mergeCell ref="D200:D201"/>
    <mergeCell ref="E200:E201"/>
    <mergeCell ref="A202:A226"/>
    <mergeCell ref="A227:A251"/>
    <mergeCell ref="A119:J119"/>
    <mergeCell ref="A120:B121"/>
    <mergeCell ref="C120:C121"/>
    <mergeCell ref="D120:D121"/>
    <mergeCell ref="E120:E121"/>
    <mergeCell ref="A122:A146"/>
    <mergeCell ref="A147:A171"/>
    <mergeCell ref="A172:A196"/>
    <mergeCell ref="A35:J35"/>
    <mergeCell ref="A37:B38"/>
    <mergeCell ref="C37:C38"/>
    <mergeCell ref="D37:D38"/>
    <mergeCell ref="E37:E38"/>
    <mergeCell ref="F37:F38"/>
    <mergeCell ref="H37:H38"/>
    <mergeCell ref="J37:J38"/>
    <mergeCell ref="A39:A60"/>
    <mergeCell ref="A63:G63"/>
    <mergeCell ref="A64:B65"/>
    <mergeCell ref="C64:D64"/>
    <mergeCell ref="A93:A116"/>
    <mergeCell ref="E64:E65"/>
    <mergeCell ref="A66:A88"/>
    <mergeCell ref="A90:G90"/>
    <mergeCell ref="A91:B92"/>
    <mergeCell ref="C91:D91"/>
    <mergeCell ref="E91:E92"/>
  </mergeCells>
  <hyperlinks>
    <hyperlink ref="A1" location="'Main Menu'!A1" display="Return to Main Menu"/>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AC38"/>
  <sheetViews>
    <sheetView zoomScale="90" zoomScaleNormal="90" workbookViewId="0">
      <pane xSplit="4" ySplit="2" topLeftCell="E6" activePane="bottomRight" state="frozen"/>
      <selection pane="topRight" activeCell="E1" sqref="E1"/>
      <selection pane="bottomLeft" activeCell="A3" sqref="A3"/>
      <selection pane="bottomRight" activeCell="E37" sqref="E37"/>
    </sheetView>
  </sheetViews>
  <sheetFormatPr defaultRowHeight="15" x14ac:dyDescent="0.25"/>
  <cols>
    <col min="1" max="2" width="9.140625" style="22"/>
    <col min="3" max="3" width="5.5703125" style="22" bestFit="1" customWidth="1"/>
    <col min="4" max="4" width="16.42578125" style="22" bestFit="1" customWidth="1"/>
    <col min="5" max="5" width="11.140625" style="22" bestFit="1" customWidth="1"/>
    <col min="6" max="6" width="13.85546875" style="22" bestFit="1" customWidth="1"/>
    <col min="7" max="7" width="18.5703125" style="22" bestFit="1" customWidth="1"/>
    <col min="8" max="8" width="22.28515625" style="22" bestFit="1" customWidth="1"/>
    <col min="9" max="9" width="16.140625" style="22" bestFit="1" customWidth="1"/>
    <col min="10" max="10" width="18.5703125" style="22" bestFit="1" customWidth="1"/>
    <col min="11" max="11" width="19.140625" style="22" bestFit="1" customWidth="1"/>
    <col min="12" max="12" width="22.85546875" style="22" bestFit="1" customWidth="1"/>
    <col min="13" max="13" width="16.7109375" style="22" bestFit="1" customWidth="1"/>
    <col min="14" max="14" width="22.42578125" style="22" bestFit="1" customWidth="1"/>
    <col min="15" max="19" width="11.140625" style="22" bestFit="1" customWidth="1"/>
    <col min="20" max="20" width="10.140625" style="22" bestFit="1" customWidth="1"/>
    <col min="21" max="21" width="13.5703125" style="22" bestFit="1" customWidth="1"/>
    <col min="22" max="22" width="14.42578125" style="22" bestFit="1" customWidth="1"/>
    <col min="23" max="23" width="13.5703125" style="22" bestFit="1" customWidth="1"/>
    <col min="24" max="24" width="12.5703125" style="22" bestFit="1" customWidth="1"/>
    <col min="25" max="25" width="16.28515625" style="22" bestFit="1" customWidth="1"/>
    <col min="26" max="26" width="30.7109375" style="22" bestFit="1" customWidth="1"/>
    <col min="27" max="27" width="12.5703125" style="22" bestFit="1" customWidth="1"/>
    <col min="28" max="16384" width="9.140625" style="22"/>
  </cols>
  <sheetData>
    <row r="2" spans="3:29" x14ac:dyDescent="0.25">
      <c r="E2" s="472" t="s">
        <v>543</v>
      </c>
      <c r="F2" s="472" t="s">
        <v>544</v>
      </c>
      <c r="G2" s="471" t="s">
        <v>610</v>
      </c>
      <c r="H2" s="471" t="s">
        <v>611</v>
      </c>
      <c r="I2" s="471" t="s">
        <v>612</v>
      </c>
      <c r="J2" s="471" t="s">
        <v>613</v>
      </c>
      <c r="K2" s="472" t="s">
        <v>614</v>
      </c>
      <c r="L2" s="472" t="s">
        <v>615</v>
      </c>
      <c r="M2" s="472" t="s">
        <v>616</v>
      </c>
      <c r="N2" s="472" t="s">
        <v>617</v>
      </c>
      <c r="O2" s="471" t="s">
        <v>629</v>
      </c>
      <c r="P2" s="471" t="s">
        <v>509</v>
      </c>
      <c r="Q2" s="471" t="s">
        <v>510</v>
      </c>
      <c r="R2" s="471" t="s">
        <v>511</v>
      </c>
      <c r="S2" s="471" t="s">
        <v>512</v>
      </c>
      <c r="T2" s="471" t="s">
        <v>630</v>
      </c>
      <c r="U2" s="472" t="s">
        <v>631</v>
      </c>
      <c r="V2" s="472" t="s">
        <v>632</v>
      </c>
      <c r="W2" s="472" t="s">
        <v>633</v>
      </c>
      <c r="X2" s="471" t="s">
        <v>303</v>
      </c>
      <c r="Y2" s="471" t="s">
        <v>304</v>
      </c>
      <c r="Z2" s="470" t="s">
        <v>628</v>
      </c>
      <c r="AA2" s="22" t="s">
        <v>545</v>
      </c>
    </row>
    <row r="3" spans="3:29" x14ac:dyDescent="0.25">
      <c r="C3" s="22">
        <v>2015</v>
      </c>
      <c r="D3" s="22" t="s">
        <v>515</v>
      </c>
      <c r="E3" s="441">
        <f>[1]Momentum!$B$33</f>
        <v>6854209</v>
      </c>
      <c r="F3" s="441">
        <f>[1]Momentum!$B$34</f>
        <v>12108041</v>
      </c>
      <c r="G3" s="441">
        <f>[1]Momentum!$B$35</f>
        <v>5173887.5</v>
      </c>
      <c r="H3" s="441">
        <f>[1]Momentum!$B$36</f>
        <v>1189440.3799999999</v>
      </c>
      <c r="I3" s="441">
        <f>[1]Momentum!$B$37</f>
        <v>169515.48</v>
      </c>
      <c r="J3" s="441">
        <f>[1]Momentum!$B$38</f>
        <v>321373.21999999997</v>
      </c>
      <c r="K3" s="441">
        <f>[1]Momentum!$B$42</f>
        <v>4408959.5</v>
      </c>
      <c r="L3" s="441">
        <f>[1]Momentum!$B$43</f>
        <v>6195695</v>
      </c>
      <c r="M3" s="441">
        <f>[1]Momentum!$B$44</f>
        <v>913909.94</v>
      </c>
      <c r="N3" s="441">
        <f>[1]Momentum!$B$45</f>
        <v>589466.06000000006</v>
      </c>
      <c r="O3" s="441">
        <f>[1]Momentum!$B$81</f>
        <v>1235655.75</v>
      </c>
      <c r="P3" s="441">
        <f>[1]Momentum!$B$82</f>
        <v>1016967</v>
      </c>
      <c r="Q3" s="441">
        <f>[1]Momentum!$B$83</f>
        <v>1202378.6299999999</v>
      </c>
      <c r="R3" s="441">
        <f>[1]Momentum!$B$84</f>
        <v>1169330.1299999999</v>
      </c>
      <c r="S3" s="441">
        <f>[1]Momentum!$B$85</f>
        <v>666817.06000000006</v>
      </c>
      <c r="T3" s="441">
        <f>[1]Momentum!$B$86</f>
        <v>217962.97</v>
      </c>
      <c r="U3" s="441">
        <f>[1]Momentum!$B$103</f>
        <v>1192173</v>
      </c>
      <c r="V3" s="441">
        <f>[1]Momentum!$B$104</f>
        <v>2847837</v>
      </c>
      <c r="W3" s="441">
        <f>[1]Momentum!$B$105</f>
        <v>1469099.88</v>
      </c>
      <c r="X3" s="441">
        <f>[1]Momentum!$B$106</f>
        <v>2923941.5</v>
      </c>
      <c r="Y3" s="441">
        <f>[1]Momentum!$B$107</f>
        <v>2585170.5</v>
      </c>
      <c r="Z3" s="466">
        <f>365*([1]Momentum!$B$39+[1]Momentum!$B$46)/$AA3</f>
        <v>10679.360089248503</v>
      </c>
      <c r="AA3" s="466">
        <f t="shared" ref="AA3:AA36" si="0">X3+Y3</f>
        <v>5509112</v>
      </c>
    </row>
    <row r="4" spans="3:29" x14ac:dyDescent="0.25">
      <c r="D4" s="22" t="s">
        <v>667</v>
      </c>
      <c r="E4" s="441">
        <f>[1]Tech_Triumphs!$B$33</f>
        <v>6854209</v>
      </c>
      <c r="F4" s="441">
        <f>[1]Tech_Triumphs!$B$34</f>
        <v>12108041</v>
      </c>
      <c r="G4" s="441">
        <f>[1]Tech_Triumphs!$B$35</f>
        <v>5173887.5</v>
      </c>
      <c r="H4" s="441">
        <f>[1]Tech_Triumphs!$B$36</f>
        <v>1189440.3799999999</v>
      </c>
      <c r="I4" s="441">
        <f>[1]Tech_Triumphs!$B$37</f>
        <v>169515.48</v>
      </c>
      <c r="J4" s="441">
        <f>[1]Tech_Triumphs!$B$38</f>
        <v>321373.21999999997</v>
      </c>
      <c r="K4" s="441">
        <f>[1]Tech_Triumphs!$B$42</f>
        <v>4408959.5</v>
      </c>
      <c r="L4" s="441">
        <f>[1]Tech_Triumphs!$B$43</f>
        <v>6195695</v>
      </c>
      <c r="M4" s="441">
        <f>[1]Tech_Triumphs!$B$44</f>
        <v>913909.94</v>
      </c>
      <c r="N4" s="441">
        <f>[1]Tech_Triumphs!$B$45</f>
        <v>589466.06000000006</v>
      </c>
      <c r="O4" s="441">
        <f>[1]Tech_Triumphs!$B$81</f>
        <v>1235655.75</v>
      </c>
      <c r="P4" s="441">
        <f>[1]Tech_Triumphs!$B$82</f>
        <v>1016967</v>
      </c>
      <c r="Q4" s="441">
        <f>[1]Tech_Triumphs!$B$83</f>
        <v>1202378.6299999999</v>
      </c>
      <c r="R4" s="441">
        <f>[1]Tech_Triumphs!$B$84</f>
        <v>1169330.1299999999</v>
      </c>
      <c r="S4" s="441">
        <f>[1]Tech_Triumphs!$B$85</f>
        <v>666817.06000000006</v>
      </c>
      <c r="T4" s="441">
        <f>[1]Tech_Triumphs!$B$86</f>
        <v>217962.97</v>
      </c>
      <c r="U4" s="441">
        <f>[1]Tech_Triumphs!$B$103</f>
        <v>1192173</v>
      </c>
      <c r="V4" s="441">
        <f>[1]Tech_Triumphs!$B$104</f>
        <v>2847837</v>
      </c>
      <c r="W4" s="441">
        <f>[1]Tech_Triumphs!$B$105</f>
        <v>1469099.88</v>
      </c>
      <c r="X4" s="441">
        <f>[1]Tech_Triumphs!$B$106</f>
        <v>2923941.5</v>
      </c>
      <c r="Y4" s="441">
        <f>[1]Tech_Triumphs!$B$107</f>
        <v>2585170.5</v>
      </c>
      <c r="Z4" s="466">
        <f>365*([1]Tech_Triumphs!$B$39+[1]Tech_Triumphs!$B$46)/$AA4</f>
        <v>10679.360089248503</v>
      </c>
      <c r="AA4" s="466">
        <f t="shared" si="0"/>
        <v>5509112</v>
      </c>
    </row>
    <row r="5" spans="3:29" x14ac:dyDescent="0.25">
      <c r="D5" s="22" t="s">
        <v>666</v>
      </c>
      <c r="E5" s="441">
        <f>[1]Gentle_Footprint!$B$33</f>
        <v>6854209</v>
      </c>
      <c r="F5" s="441">
        <f>[1]Gentle_Footprint!$B$34</f>
        <v>12108041</v>
      </c>
      <c r="G5" s="441">
        <f>[1]Gentle_Footprint!$B$35</f>
        <v>5173887.5</v>
      </c>
      <c r="H5" s="441">
        <f>[1]Gentle_Footprint!$B$36</f>
        <v>1189440.3799999999</v>
      </c>
      <c r="I5" s="441">
        <f>[1]Gentle_Footprint!$B$37</f>
        <v>169515.48</v>
      </c>
      <c r="J5" s="441">
        <f>[1]Gentle_Footprint!$B$38</f>
        <v>321373.21999999997</v>
      </c>
      <c r="K5" s="441">
        <f>[1]Gentle_Footprint!$B$42</f>
        <v>4408959.5</v>
      </c>
      <c r="L5" s="441">
        <f>[1]Gentle_Footprint!$B$43</f>
        <v>6195695</v>
      </c>
      <c r="M5" s="441">
        <f>[1]Gentle_Footprint!$B$44</f>
        <v>913909.94</v>
      </c>
      <c r="N5" s="441">
        <f>[1]Gentle_Footprint!$B$45</f>
        <v>589466.06000000006</v>
      </c>
      <c r="O5" s="441">
        <f>[1]Gentle_Footprint!$B$81</f>
        <v>1235655.75</v>
      </c>
      <c r="P5" s="441">
        <f>[1]Gentle_Footprint!$B$82</f>
        <v>1016967</v>
      </c>
      <c r="Q5" s="441">
        <f>[1]Gentle_Footprint!$B$83</f>
        <v>1202378.6299999999</v>
      </c>
      <c r="R5" s="441">
        <f>[1]Gentle_Footprint!$B$84</f>
        <v>1169330.1299999999</v>
      </c>
      <c r="S5" s="441">
        <f>[1]Gentle_Footprint!$B$85</f>
        <v>666817.06000000006</v>
      </c>
      <c r="T5" s="441">
        <f>[1]Gentle_Footprint!$B$86</f>
        <v>217962.97</v>
      </c>
      <c r="U5" s="441">
        <f>[1]Gentle_Footprint!$B$103</f>
        <v>1192173</v>
      </c>
      <c r="V5" s="441">
        <f>[1]Gentle_Footprint!$B$104</f>
        <v>2847837</v>
      </c>
      <c r="W5" s="441">
        <f>[1]Gentle_Footprint!$B$105</f>
        <v>1469099.88</v>
      </c>
      <c r="X5" s="441">
        <f>[1]Gentle_Footprint!$B$106</f>
        <v>2923941.5</v>
      </c>
      <c r="Y5" s="441">
        <f>[1]Gentle_Footprint!$B$107</f>
        <v>2585170.5</v>
      </c>
      <c r="Z5" s="466">
        <f>365*([1]Gentle_Footprint!$B$39+[1]Gentle_Footprint!$B$46)/$AA5</f>
        <v>10679.360089248503</v>
      </c>
      <c r="AA5" s="466">
        <f t="shared" si="0"/>
        <v>5509112</v>
      </c>
    </row>
    <row r="6" spans="3:29" x14ac:dyDescent="0.25">
      <c r="D6" s="22" t="s">
        <v>665</v>
      </c>
      <c r="E6" s="441">
        <f>[1]Global_Chaos!$B$33</f>
        <v>6854209</v>
      </c>
      <c r="F6" s="441">
        <f>[1]Global_Chaos!$B$34</f>
        <v>12108041</v>
      </c>
      <c r="G6" s="441">
        <f>[1]Global_Chaos!$B$35</f>
        <v>5173887.5</v>
      </c>
      <c r="H6" s="441">
        <f>[1]Global_Chaos!$B$36</f>
        <v>1189440.3799999999</v>
      </c>
      <c r="I6" s="441">
        <f>[1]Global_Chaos!$B$37</f>
        <v>169515.48</v>
      </c>
      <c r="J6" s="441">
        <f>[1]Global_Chaos!$B$38</f>
        <v>321373.21999999997</v>
      </c>
      <c r="K6" s="441">
        <f>[1]Global_Chaos!$B$42</f>
        <v>4408959.5</v>
      </c>
      <c r="L6" s="441">
        <f>[1]Global_Chaos!$B$43</f>
        <v>6195695</v>
      </c>
      <c r="M6" s="441">
        <f>[1]Global_Chaos!$B$44</f>
        <v>913909.94</v>
      </c>
      <c r="N6" s="441">
        <f>[1]Global_Chaos!$B$45</f>
        <v>589466.06000000006</v>
      </c>
      <c r="O6" s="441">
        <f>[1]Global_Chaos!$B$81</f>
        <v>1235655.75</v>
      </c>
      <c r="P6" s="441">
        <f>[1]Global_Chaos!$B$82</f>
        <v>1016967</v>
      </c>
      <c r="Q6" s="441">
        <f>[1]Global_Chaos!$B$83</f>
        <v>1202378.6299999999</v>
      </c>
      <c r="R6" s="441">
        <f>[1]Global_Chaos!$B$84</f>
        <v>1169330.1299999999</v>
      </c>
      <c r="S6" s="441">
        <f>[1]Global_Chaos!$B$85</f>
        <v>666817.06000000006</v>
      </c>
      <c r="T6" s="441">
        <f>[1]Global_Chaos!$B$86</f>
        <v>217962.97</v>
      </c>
      <c r="U6" s="441">
        <f>[1]Global_Chaos!$B$103</f>
        <v>1192173</v>
      </c>
      <c r="V6" s="441">
        <f>[1]Global_Chaos!$B$104</f>
        <v>2847837</v>
      </c>
      <c r="W6" s="441">
        <f>[1]Global_Chaos!$B$105</f>
        <v>1469099.88</v>
      </c>
      <c r="X6" s="441">
        <f>[1]Global_Chaos!$B$106</f>
        <v>2923941.5</v>
      </c>
      <c r="Y6" s="441">
        <f>[1]Global_Chaos!$B$107</f>
        <v>2585170.5</v>
      </c>
      <c r="Z6" s="466">
        <f>365*([1]Global_Chaos!$B$39+[1]Global_Chaos!$B$46)/$AA6</f>
        <v>10679.360089248503</v>
      </c>
      <c r="AA6" s="466">
        <f t="shared" si="0"/>
        <v>5509112</v>
      </c>
    </row>
    <row r="7" spans="3:29" x14ac:dyDescent="0.25">
      <c r="D7" s="22" t="s">
        <v>664</v>
      </c>
      <c r="E7" s="441">
        <f>[1]ABM!$B$33</f>
        <v>6719973</v>
      </c>
      <c r="F7" s="441">
        <f>[1]ABM!$B$34</f>
        <v>12517561</v>
      </c>
      <c r="G7" s="441">
        <f>[1]ABM!$B$35</f>
        <v>5056511</v>
      </c>
      <c r="H7" s="441">
        <f>[1]ABM!$B$36</f>
        <v>1128054</v>
      </c>
      <c r="I7" s="441">
        <f>[1]ABM!$B$37</f>
        <v>179552</v>
      </c>
      <c r="J7" s="441">
        <f>[1]ABM!$B$38</f>
        <v>355856</v>
      </c>
      <c r="K7" s="441">
        <f>[1]ABM!$B$42</f>
        <v>4699398</v>
      </c>
      <c r="L7" s="441">
        <f>[1]ABM!$B$43</f>
        <v>6114477</v>
      </c>
      <c r="M7" s="441">
        <f>[1]ABM!$B$44</f>
        <v>1094758</v>
      </c>
      <c r="N7" s="441">
        <f>[1]ABM!$B$45</f>
        <v>608928</v>
      </c>
      <c r="O7" s="441">
        <f>[1]ABM!$B$81</f>
        <v>1235655.75</v>
      </c>
      <c r="P7" s="441">
        <f>[1]ABM!$B$82</f>
        <v>1016967</v>
      </c>
      <c r="Q7" s="441">
        <f>[1]ABM!$B$83</f>
        <v>1202378.6299999999</v>
      </c>
      <c r="R7" s="441">
        <f>[1]ABM!$B$84</f>
        <v>1169330.1299999999</v>
      </c>
      <c r="S7" s="441">
        <f>[1]ABM!$B$85</f>
        <v>666817.06000000006</v>
      </c>
      <c r="T7" s="441">
        <f>[1]ABM!$B$86</f>
        <v>217962.97</v>
      </c>
      <c r="U7" s="441">
        <f>[1]ABM!$B$103</f>
        <v>1192173</v>
      </c>
      <c r="V7" s="441">
        <f>[1]ABM!$B$104</f>
        <v>2847837</v>
      </c>
      <c r="W7" s="441">
        <f>[1]ABM!$B$105</f>
        <v>1469099.88</v>
      </c>
      <c r="X7" s="441">
        <f>[1]ABM!$B$106</f>
        <v>2923941.5</v>
      </c>
      <c r="Y7" s="441">
        <f>[1]ABM!$B$107</f>
        <v>2585170.5</v>
      </c>
      <c r="Z7" s="466">
        <f>'[1]Simulation reports'!AD27</f>
        <v>10475.5</v>
      </c>
      <c r="AA7" s="466">
        <f t="shared" si="0"/>
        <v>5509112</v>
      </c>
    </row>
    <row r="8" spans="3:29" s="467" customFormat="1" x14ac:dyDescent="0.25">
      <c r="C8" s="467">
        <v>2017</v>
      </c>
      <c r="D8" s="467" t="s">
        <v>515</v>
      </c>
      <c r="E8" s="469">
        <f>[1]Momentum!$F$33</f>
        <v>7076207.5</v>
      </c>
      <c r="F8" s="469">
        <f>[1]Momentum!$F$34</f>
        <v>12574511</v>
      </c>
      <c r="G8" s="469">
        <f>[1]Momentum!$F$35</f>
        <v>5347543.5</v>
      </c>
      <c r="H8" s="469">
        <f>[1]Momentum!$F$36</f>
        <v>1214569.25</v>
      </c>
      <c r="I8" s="469">
        <f>[1]Momentum!$F$37</f>
        <v>177607.47</v>
      </c>
      <c r="J8" s="469">
        <f>[1]Momentum!$F$38</f>
        <v>336493.28</v>
      </c>
      <c r="K8" s="469">
        <f>[1]Momentum!$F$42</f>
        <v>4618690</v>
      </c>
      <c r="L8" s="469">
        <f>[1]Momentum!$F$43</f>
        <v>6396266.5</v>
      </c>
      <c r="M8" s="469">
        <f>[1]Momentum!$F$44</f>
        <v>946450.31</v>
      </c>
      <c r="N8" s="469">
        <f>[1]Momentum!$F$45</f>
        <v>613137.63</v>
      </c>
      <c r="O8" s="469">
        <f>[1]Momentum!$F$81</f>
        <v>1287487</v>
      </c>
      <c r="P8" s="469">
        <f>[1]Momentum!$F$82</f>
        <v>1090713.25</v>
      </c>
      <c r="Q8" s="469">
        <f>[1]Momentum!$F$83</f>
        <v>1239215.5</v>
      </c>
      <c r="R8" s="469">
        <f>[1]Momentum!$F$84</f>
        <v>1181534.6299999999</v>
      </c>
      <c r="S8" s="469">
        <f>[1]Momentum!$F$85</f>
        <v>722470.88</v>
      </c>
      <c r="T8" s="469">
        <f>[1]Momentum!$F$86</f>
        <v>270157.28000000003</v>
      </c>
      <c r="U8" s="469">
        <f>[1]Momentum!$F$103</f>
        <v>1235804.5</v>
      </c>
      <c r="V8" s="469">
        <f>[1]Momentum!$F$104</f>
        <v>3003417.25</v>
      </c>
      <c r="W8" s="469">
        <f>[1]Momentum!$F$105</f>
        <v>1552352.88</v>
      </c>
      <c r="X8" s="469">
        <f>[1]Momentum!$F$106</f>
        <v>3063293.25</v>
      </c>
      <c r="Y8" s="469">
        <f>[1]Momentum!$F$107</f>
        <v>2728285</v>
      </c>
      <c r="Z8" s="468">
        <f>365*([1]Momentum!$F$39+[1]Momentum!$F$46)/$AA8</f>
        <v>10520.92515196527</v>
      </c>
      <c r="AA8" s="468">
        <f t="shared" si="0"/>
        <v>5791578.25</v>
      </c>
      <c r="AC8" s="22"/>
    </row>
    <row r="9" spans="3:29" s="467" customFormat="1" x14ac:dyDescent="0.25">
      <c r="D9" s="467" t="s">
        <v>667</v>
      </c>
      <c r="E9" s="469">
        <f>[1]Tech_Triumphs!$F$33</f>
        <v>7076207.5</v>
      </c>
      <c r="F9" s="469">
        <f>[1]Tech_Triumphs!$F$34</f>
        <v>12574511</v>
      </c>
      <c r="G9" s="469">
        <f>[1]Tech_Triumphs!$F$35</f>
        <v>5347543.5</v>
      </c>
      <c r="H9" s="469">
        <f>[1]Tech_Triumphs!$F$36</f>
        <v>1214569.25</v>
      </c>
      <c r="I9" s="469">
        <f>[1]Tech_Triumphs!$F$37</f>
        <v>177607.47</v>
      </c>
      <c r="J9" s="469">
        <f>[1]Tech_Triumphs!$F$38</f>
        <v>336493.28</v>
      </c>
      <c r="K9" s="469">
        <f>[1]Tech_Triumphs!$F$42</f>
        <v>4618690</v>
      </c>
      <c r="L9" s="469">
        <f>[1]Tech_Triumphs!$F$43</f>
        <v>6396266.5</v>
      </c>
      <c r="M9" s="469">
        <f>[1]Tech_Triumphs!$F$44</f>
        <v>946450.31</v>
      </c>
      <c r="N9" s="469">
        <f>[1]Tech_Triumphs!$F$45</f>
        <v>613137.63</v>
      </c>
      <c r="O9" s="469">
        <f>[1]Tech_Triumphs!$F$81</f>
        <v>1287487</v>
      </c>
      <c r="P9" s="469">
        <f>[1]Tech_Triumphs!$F$82</f>
        <v>1090713.25</v>
      </c>
      <c r="Q9" s="469">
        <f>[1]Tech_Triumphs!$F$83</f>
        <v>1239215.5</v>
      </c>
      <c r="R9" s="469">
        <f>[1]Tech_Triumphs!$F$84</f>
        <v>1181534.6299999999</v>
      </c>
      <c r="S9" s="469">
        <f>[1]Tech_Triumphs!$F$85</f>
        <v>722470.88</v>
      </c>
      <c r="T9" s="469">
        <f>[1]Tech_Triumphs!$F$86</f>
        <v>270157.28000000003</v>
      </c>
      <c r="U9" s="469">
        <f>[1]Tech_Triumphs!$F$103</f>
        <v>1235804.5</v>
      </c>
      <c r="V9" s="469">
        <f>[1]Tech_Triumphs!$F$104</f>
        <v>3003417.25</v>
      </c>
      <c r="W9" s="469">
        <f>[1]Tech_Triumphs!$F$105</f>
        <v>1552352.88</v>
      </c>
      <c r="X9" s="469">
        <f>[1]Tech_Triumphs!$F$106</f>
        <v>3063293.25</v>
      </c>
      <c r="Y9" s="469">
        <f>[1]Tech_Triumphs!$F$107</f>
        <v>2728285</v>
      </c>
      <c r="Z9" s="468">
        <f>365*([1]Tech_Triumphs!$F$39+[1]Tech_Triumphs!$F$46)/$AA9</f>
        <v>10520.92515196527</v>
      </c>
      <c r="AA9" s="468">
        <f t="shared" si="0"/>
        <v>5791578.25</v>
      </c>
      <c r="AC9" s="22"/>
    </row>
    <row r="10" spans="3:29" s="467" customFormat="1" x14ac:dyDescent="0.25">
      <c r="D10" s="467" t="s">
        <v>666</v>
      </c>
      <c r="E10" s="469">
        <f>[1]Gentle_Footprint!$F$33</f>
        <v>7076207.5</v>
      </c>
      <c r="F10" s="469">
        <f>[1]Gentle_Footprint!$F$34</f>
        <v>12574511</v>
      </c>
      <c r="G10" s="469">
        <f>[1]Gentle_Footprint!$F$35</f>
        <v>5347543.5</v>
      </c>
      <c r="H10" s="469">
        <f>[1]Gentle_Footprint!$F$36</f>
        <v>1214569.25</v>
      </c>
      <c r="I10" s="469">
        <f>[1]Gentle_Footprint!$F$37</f>
        <v>177607.47</v>
      </c>
      <c r="J10" s="469">
        <f>[1]Gentle_Footprint!$F$38</f>
        <v>336493.28</v>
      </c>
      <c r="K10" s="469">
        <f>[1]Gentle_Footprint!$F$42</f>
        <v>4618690</v>
      </c>
      <c r="L10" s="469">
        <f>[1]Gentle_Footprint!$F$43</f>
        <v>6396266.5</v>
      </c>
      <c r="M10" s="469">
        <f>[1]Gentle_Footprint!$F$44</f>
        <v>946450.31</v>
      </c>
      <c r="N10" s="469">
        <f>[1]Gentle_Footprint!$F$45</f>
        <v>613137.63</v>
      </c>
      <c r="O10" s="469">
        <f>[1]Gentle_Footprint!$F$81</f>
        <v>1287487</v>
      </c>
      <c r="P10" s="469">
        <f>[1]Gentle_Footprint!$F$82</f>
        <v>1090713.25</v>
      </c>
      <c r="Q10" s="469">
        <f>[1]Gentle_Footprint!$F$83</f>
        <v>1239215.5</v>
      </c>
      <c r="R10" s="469">
        <f>[1]Gentle_Footprint!$F$84</f>
        <v>1181534.6299999999</v>
      </c>
      <c r="S10" s="469">
        <f>[1]Gentle_Footprint!$F$85</f>
        <v>722470.88</v>
      </c>
      <c r="T10" s="469">
        <f>[1]Gentle_Footprint!$F$86</f>
        <v>270157.28000000003</v>
      </c>
      <c r="U10" s="469">
        <f>[1]Gentle_Footprint!$F$103</f>
        <v>1235804.5</v>
      </c>
      <c r="V10" s="469">
        <f>[1]Gentle_Footprint!$F$104</f>
        <v>3003417.25</v>
      </c>
      <c r="W10" s="469">
        <f>[1]Gentle_Footprint!$F$105</f>
        <v>1552352.88</v>
      </c>
      <c r="X10" s="469">
        <f>[1]Gentle_Footprint!$F$106</f>
        <v>3063293.25</v>
      </c>
      <c r="Y10" s="469">
        <f>[1]Gentle_Footprint!$F$107</f>
        <v>2728285</v>
      </c>
      <c r="Z10" s="468">
        <f>365*([1]Gentle_Footprint!$F$39+[1]Gentle_Footprint!$F$46)/$AA10</f>
        <v>10520.92515196527</v>
      </c>
      <c r="AA10" s="468">
        <f t="shared" si="0"/>
        <v>5791578.25</v>
      </c>
    </row>
    <row r="11" spans="3:29" s="467" customFormat="1" x14ac:dyDescent="0.25">
      <c r="D11" s="467" t="s">
        <v>665</v>
      </c>
      <c r="E11" s="469">
        <f>[1]Global_Chaos!$F$33</f>
        <v>7076207.5</v>
      </c>
      <c r="F11" s="469">
        <f>[1]Global_Chaos!$B$34</f>
        <v>12108041</v>
      </c>
      <c r="G11" s="469">
        <f>[1]Global_Chaos!$F$35</f>
        <v>5347543.5</v>
      </c>
      <c r="H11" s="469">
        <f>[1]Global_Chaos!$F$36</f>
        <v>1214569.25</v>
      </c>
      <c r="I11" s="469">
        <f>[1]Global_Chaos!$F$37</f>
        <v>177607.47</v>
      </c>
      <c r="J11" s="469">
        <f>[1]Global_Chaos!$F$38</f>
        <v>336493.28</v>
      </c>
      <c r="K11" s="469">
        <f>[1]Global_Chaos!$F$42</f>
        <v>4618690</v>
      </c>
      <c r="L11" s="469">
        <f>[1]Global_Chaos!$F$43</f>
        <v>6396266.5</v>
      </c>
      <c r="M11" s="469">
        <f>[1]Global_Chaos!$F$44</f>
        <v>946450.31</v>
      </c>
      <c r="N11" s="469">
        <f>[1]Global_Chaos!$F$45</f>
        <v>613137.63</v>
      </c>
      <c r="O11" s="469">
        <f>[1]Global_Chaos!$F$81</f>
        <v>1287487</v>
      </c>
      <c r="P11" s="469">
        <f>[1]Global_Chaos!$F$82</f>
        <v>1090713.25</v>
      </c>
      <c r="Q11" s="469">
        <f>[1]Global_Chaos!$F$83</f>
        <v>1239215.5</v>
      </c>
      <c r="R11" s="469">
        <f>[1]Global_Chaos!$F$84</f>
        <v>1181534.6299999999</v>
      </c>
      <c r="S11" s="469">
        <f>[1]Global_Chaos!$F$85</f>
        <v>722470.88</v>
      </c>
      <c r="T11" s="469">
        <f>[1]Global_Chaos!$F$86</f>
        <v>270157.28000000003</v>
      </c>
      <c r="U11" s="469">
        <f>[1]Global_Chaos!$F$103</f>
        <v>1235804.5</v>
      </c>
      <c r="V11" s="469">
        <f>[1]Global_Chaos!$F$104</f>
        <v>3003417.25</v>
      </c>
      <c r="W11" s="469">
        <f>[1]Global_Chaos!$F$105</f>
        <v>1552352.88</v>
      </c>
      <c r="X11" s="469">
        <f>[1]Global_Chaos!$F$106</f>
        <v>3063293.25</v>
      </c>
      <c r="Y11" s="469">
        <f>[1]Global_Chaos!$F$107</f>
        <v>2728285</v>
      </c>
      <c r="Z11" s="468">
        <f>365*([1]Global_Chaos!$F$39+[1]Global_Chaos!$F$46)/$AA11</f>
        <v>10520.92515196527</v>
      </c>
      <c r="AA11" s="468">
        <f t="shared" si="0"/>
        <v>5791578.25</v>
      </c>
    </row>
    <row r="12" spans="3:29" s="467" customFormat="1" x14ac:dyDescent="0.25">
      <c r="D12" s="467" t="s">
        <v>664</v>
      </c>
      <c r="E12" s="469">
        <f>[1]ABM!$F$33</f>
        <v>7085410</v>
      </c>
      <c r="F12" s="469">
        <f>[1]ABM!$F$34</f>
        <v>12780796</v>
      </c>
      <c r="G12" s="469">
        <f>[1]ABM!$F$35</f>
        <v>5339093</v>
      </c>
      <c r="H12" s="469">
        <f>[1]ABM!$F$36</f>
        <v>1175291</v>
      </c>
      <c r="I12" s="469">
        <f>[1]ABM!$F$37</f>
        <v>192918</v>
      </c>
      <c r="J12" s="469">
        <f>[1]ABM!$F$38</f>
        <v>378108</v>
      </c>
      <c r="K12" s="469">
        <f>[1]ABM!$F$42</f>
        <v>4882344</v>
      </c>
      <c r="L12" s="469">
        <f>[1]ABM!$F$43</f>
        <v>6176842</v>
      </c>
      <c r="M12" s="469">
        <f>[1]ABM!$F$44</f>
        <v>1104378</v>
      </c>
      <c r="N12" s="469">
        <f>[1]ABM!$F$45</f>
        <v>617232</v>
      </c>
      <c r="O12" s="469">
        <f>[1]ABM!$F$81</f>
        <v>1239182</v>
      </c>
      <c r="P12" s="469">
        <f>[1]ABM!$F$82</f>
        <v>1043446</v>
      </c>
      <c r="Q12" s="469">
        <f>[1]ABM!$F$83</f>
        <v>1217358</v>
      </c>
      <c r="R12" s="469">
        <f>[1]ABM!$F$84</f>
        <v>1219716</v>
      </c>
      <c r="S12" s="469">
        <f>[1]ABM!$F$85</f>
        <v>722935</v>
      </c>
      <c r="T12" s="469">
        <f>[1]ABM!$F$86</f>
        <v>241058</v>
      </c>
      <c r="U12" s="469">
        <f>[1]ABM!$F$103</f>
        <v>1208993</v>
      </c>
      <c r="V12" s="469">
        <f>[1]ABM!$F$104</f>
        <v>2956294</v>
      </c>
      <c r="W12" s="469">
        <f>[1]ABM!$F$105</f>
        <v>1518408</v>
      </c>
      <c r="X12" s="469">
        <f>[1]ABM!$F$106</f>
        <v>2944337</v>
      </c>
      <c r="Y12" s="469">
        <f>[1]ABM!$F$107</f>
        <v>2739358</v>
      </c>
      <c r="Z12" s="468">
        <f>'[1]Simulation reports'!AE27</f>
        <v>10548.5</v>
      </c>
      <c r="AA12" s="468">
        <f t="shared" si="0"/>
        <v>5683695</v>
      </c>
    </row>
    <row r="13" spans="3:29" x14ac:dyDescent="0.25">
      <c r="C13" s="22">
        <v>2020</v>
      </c>
      <c r="D13" s="22" t="s">
        <v>515</v>
      </c>
      <c r="E13" s="441">
        <f>[1]Momentum!$L$33</f>
        <v>7448595.5</v>
      </c>
      <c r="F13" s="441">
        <f>[1]Momentum!$L$34</f>
        <v>13432439</v>
      </c>
      <c r="G13" s="441">
        <f>[1]Momentum!$L$35</f>
        <v>5637741.5</v>
      </c>
      <c r="H13" s="441">
        <f>[1]Momentum!$L$36</f>
        <v>1256930.8799999999</v>
      </c>
      <c r="I13" s="441">
        <f>[1]Momentum!$L$37</f>
        <v>191722.67</v>
      </c>
      <c r="J13" s="441">
        <f>[1]Momentum!$L$38</f>
        <v>362200.13</v>
      </c>
      <c r="K13" s="441">
        <f>[1]Momentum!$L$42</f>
        <v>4998210.5</v>
      </c>
      <c r="L13" s="441">
        <f>[1]Momentum!$L$43</f>
        <v>6763286.5</v>
      </c>
      <c r="M13" s="441">
        <f>[1]Momentum!$L$44</f>
        <v>1012945.44</v>
      </c>
      <c r="N13" s="441">
        <f>[1]Momentum!$L$45</f>
        <v>657968.56000000006</v>
      </c>
      <c r="O13" s="441">
        <f>[1]Momentum!$L$81</f>
        <v>1362694.75</v>
      </c>
      <c r="P13" s="441">
        <f>[1]Momentum!$L$82</f>
        <v>1149795.25</v>
      </c>
      <c r="Q13" s="441">
        <f>[1]Momentum!$L$83</f>
        <v>1300285.5</v>
      </c>
      <c r="R13" s="441">
        <f>[1]Momentum!$L$84</f>
        <v>1208223.25</v>
      </c>
      <c r="S13" s="441">
        <f>[1]Momentum!$L$85</f>
        <v>796167.5</v>
      </c>
      <c r="T13" s="441">
        <f>[1]Momentum!$L$86</f>
        <v>345999.5</v>
      </c>
      <c r="U13" s="441">
        <f>[1]Momentum!$L$103</f>
        <v>1299149.3799999999</v>
      </c>
      <c r="V13" s="441">
        <f>[1]Momentum!$L$104</f>
        <v>3203802.25</v>
      </c>
      <c r="W13" s="441">
        <f>[1]Momentum!$L$105</f>
        <v>1660216.25</v>
      </c>
      <c r="X13" s="441">
        <f>[1]Momentum!$L$106</f>
        <v>3225541</v>
      </c>
      <c r="Y13" s="441">
        <f>[1]Momentum!$L$107</f>
        <v>2937626.25</v>
      </c>
      <c r="Z13" s="466">
        <f>365*([1]Momentum!$L$39+[1]Momentum!$L$46)/$AA13</f>
        <v>10468.170345369095</v>
      </c>
      <c r="AA13" s="466">
        <f t="shared" si="0"/>
        <v>6163167.25</v>
      </c>
    </row>
    <row r="14" spans="3:29" x14ac:dyDescent="0.25">
      <c r="D14" s="22" t="s">
        <v>667</v>
      </c>
      <c r="E14" s="441">
        <f>[1]Tech_Triumphs!$L$33</f>
        <v>7448595.5</v>
      </c>
      <c r="F14" s="441">
        <f>[1]Tech_Triumphs!$L$34</f>
        <v>13432439</v>
      </c>
      <c r="G14" s="441">
        <f>[1]Tech_Triumphs!$L$35</f>
        <v>5637741.5</v>
      </c>
      <c r="H14" s="441">
        <f>[1]Tech_Triumphs!$L$36</f>
        <v>1256930.8799999999</v>
      </c>
      <c r="I14" s="441">
        <f>[1]Tech_Triumphs!$L$37</f>
        <v>191722.67</v>
      </c>
      <c r="J14" s="441">
        <f>[1]Tech_Triumphs!$L$38</f>
        <v>362200.13</v>
      </c>
      <c r="K14" s="441">
        <f>[1]Tech_Triumphs!$L$42</f>
        <v>4998210.5</v>
      </c>
      <c r="L14" s="441">
        <f>[1]Tech_Triumphs!$L$43</f>
        <v>6763286.5</v>
      </c>
      <c r="M14" s="441">
        <f>[1]Tech_Triumphs!$L$44</f>
        <v>1012945.44</v>
      </c>
      <c r="N14" s="441">
        <f>[1]Tech_Triumphs!$L$45</f>
        <v>657968.56000000006</v>
      </c>
      <c r="O14" s="441">
        <f>[1]Tech_Triumphs!$L$81</f>
        <v>1362694.75</v>
      </c>
      <c r="P14" s="441">
        <f>[1]Tech_Triumphs!$L$82</f>
        <v>1149795.25</v>
      </c>
      <c r="Q14" s="441">
        <f>[1]Tech_Triumphs!$L$83</f>
        <v>1300285.5</v>
      </c>
      <c r="R14" s="441">
        <f>[1]Tech_Triumphs!$L$84</f>
        <v>1208223.25</v>
      </c>
      <c r="S14" s="441">
        <f>[1]Tech_Triumphs!$L$85</f>
        <v>796167.5</v>
      </c>
      <c r="T14" s="441">
        <f>[1]Tech_Triumphs!$L$86</f>
        <v>345999.5</v>
      </c>
      <c r="U14" s="441">
        <f>[1]Tech_Triumphs!$L$103</f>
        <v>1299149.3799999999</v>
      </c>
      <c r="V14" s="441">
        <f>[1]Tech_Triumphs!$L$104</f>
        <v>3203802.25</v>
      </c>
      <c r="W14" s="441">
        <f>[1]Tech_Triumphs!$L$105</f>
        <v>1660216.25</v>
      </c>
      <c r="X14" s="441">
        <f>[1]Tech_Triumphs!$L$106</f>
        <v>3225541</v>
      </c>
      <c r="Y14" s="441">
        <f>[1]Tech_Triumphs!$L$107</f>
        <v>2937626.25</v>
      </c>
      <c r="Z14" s="466">
        <f>365*([1]Tech_Triumphs!$L$39+[1]Tech_Triumphs!$L$46)/$AA14</f>
        <v>10468.170345369095</v>
      </c>
      <c r="AA14" s="466">
        <f t="shared" si="0"/>
        <v>6163167.25</v>
      </c>
    </row>
    <row r="15" spans="3:29" x14ac:dyDescent="0.25">
      <c r="D15" s="22" t="s">
        <v>666</v>
      </c>
      <c r="E15" s="441">
        <f>[1]Gentle_Footprint!$L$33</f>
        <v>7448595.5</v>
      </c>
      <c r="F15" s="441">
        <f>[1]Gentle_Footprint!$L$34</f>
        <v>13432439</v>
      </c>
      <c r="G15" s="441">
        <f>[1]Gentle_Footprint!$L$35</f>
        <v>5637741.5</v>
      </c>
      <c r="H15" s="441">
        <f>[1]Gentle_Footprint!$L$36</f>
        <v>1256930.8799999999</v>
      </c>
      <c r="I15" s="441">
        <f>[1]Gentle_Footprint!$L$37</f>
        <v>191722.67</v>
      </c>
      <c r="J15" s="441">
        <f>[1]Gentle_Footprint!$L$38</f>
        <v>362200.13</v>
      </c>
      <c r="K15" s="441">
        <f>[1]Gentle_Footprint!$L$42</f>
        <v>4998210.5</v>
      </c>
      <c r="L15" s="441">
        <f>[1]Gentle_Footprint!$L$43</f>
        <v>6763286.5</v>
      </c>
      <c r="M15" s="441">
        <f>[1]Gentle_Footprint!$L$44</f>
        <v>1012945.44</v>
      </c>
      <c r="N15" s="441">
        <f>[1]Gentle_Footprint!$L$45</f>
        <v>657968.56000000006</v>
      </c>
      <c r="O15" s="441">
        <f>[1]Gentle_Footprint!$L$81</f>
        <v>1362694.75</v>
      </c>
      <c r="P15" s="441">
        <f>[1]Gentle_Footprint!$L$82</f>
        <v>1149795.25</v>
      </c>
      <c r="Q15" s="441">
        <f>[1]Gentle_Footprint!$L$83</f>
        <v>1300285.5</v>
      </c>
      <c r="R15" s="441">
        <f>[1]Gentle_Footprint!$L$84</f>
        <v>1208223.25</v>
      </c>
      <c r="S15" s="441">
        <f>[1]Gentle_Footprint!$L$85</f>
        <v>796167.5</v>
      </c>
      <c r="T15" s="441">
        <f>[1]Gentle_Footprint!$L$86</f>
        <v>345999.5</v>
      </c>
      <c r="U15" s="441">
        <f>[1]Gentle_Footprint!$L$103</f>
        <v>1299149.3799999999</v>
      </c>
      <c r="V15" s="441">
        <f>[1]Gentle_Footprint!$L$104</f>
        <v>3203802.25</v>
      </c>
      <c r="W15" s="441">
        <f>[1]Gentle_Footprint!$L$105</f>
        <v>1660216.25</v>
      </c>
      <c r="X15" s="441">
        <f>[1]Gentle_Footprint!$L$106</f>
        <v>3225541</v>
      </c>
      <c r="Y15" s="441">
        <f>[1]Gentle_Footprint!$L$107</f>
        <v>2937626.25</v>
      </c>
      <c r="Z15" s="466">
        <f>365*([1]Gentle_Footprint!$L$39+[1]Gentle_Footprint!$L$46)/$AA15</f>
        <v>10468.170345369095</v>
      </c>
      <c r="AA15" s="466">
        <f t="shared" si="0"/>
        <v>6163167.25</v>
      </c>
    </row>
    <row r="16" spans="3:29" x14ac:dyDescent="0.25">
      <c r="D16" s="22" t="s">
        <v>665</v>
      </c>
      <c r="E16" s="441">
        <f>[1]Global_Chaos!$L$33</f>
        <v>7448595.5</v>
      </c>
      <c r="F16" s="441">
        <f>[1]Global_Chaos!$L$34</f>
        <v>13432439</v>
      </c>
      <c r="G16" s="441">
        <f>[1]Global_Chaos!$L$35</f>
        <v>5637741.5</v>
      </c>
      <c r="H16" s="441">
        <f>[1]Global_Chaos!$L$36</f>
        <v>1256930.8799999999</v>
      </c>
      <c r="I16" s="441">
        <f>[1]Global_Chaos!$L$37</f>
        <v>191722.67</v>
      </c>
      <c r="J16" s="441">
        <f>[1]Global_Chaos!$L$38</f>
        <v>362200.13</v>
      </c>
      <c r="K16" s="441">
        <f>[1]Global_Chaos!$L$42</f>
        <v>4998210.5</v>
      </c>
      <c r="L16" s="441">
        <f>[1]Global_Chaos!$L$43</f>
        <v>6763286.5</v>
      </c>
      <c r="M16" s="441">
        <f>[1]Global_Chaos!$L$44</f>
        <v>1012945.44</v>
      </c>
      <c r="N16" s="441">
        <f>[1]Global_Chaos!$L$45</f>
        <v>657968.56000000006</v>
      </c>
      <c r="O16" s="441">
        <f>[1]Global_Chaos!$L$81</f>
        <v>1362694.75</v>
      </c>
      <c r="P16" s="441">
        <f>[1]Global_Chaos!$L$82</f>
        <v>1149795.25</v>
      </c>
      <c r="Q16" s="441">
        <f>[1]Global_Chaos!$L$83</f>
        <v>1300285.5</v>
      </c>
      <c r="R16" s="441">
        <f>[1]Global_Chaos!$L$84</f>
        <v>1208223.25</v>
      </c>
      <c r="S16" s="441">
        <f>[1]Global_Chaos!$L$85</f>
        <v>796167.5</v>
      </c>
      <c r="T16" s="441">
        <f>[1]Global_Chaos!$L$86</f>
        <v>345999.5</v>
      </c>
      <c r="U16" s="441">
        <f>[1]Global_Chaos!$L$103</f>
        <v>1299149.3799999999</v>
      </c>
      <c r="V16" s="441">
        <f>[1]Global_Chaos!$L$104</f>
        <v>3203802.25</v>
      </c>
      <c r="W16" s="441">
        <f>[1]Global_Chaos!$L$105</f>
        <v>1660216.25</v>
      </c>
      <c r="X16" s="441">
        <f>[1]Global_Chaos!$L$106</f>
        <v>3225541</v>
      </c>
      <c r="Y16" s="441">
        <f>[1]Global_Chaos!$L$107</f>
        <v>2937626.25</v>
      </c>
      <c r="Z16" s="466">
        <f>365*([1]Global_Chaos!$L$39+[1]Global_Chaos!$L$46)/$AA16</f>
        <v>10468.170345369095</v>
      </c>
      <c r="AA16" s="466">
        <f t="shared" si="0"/>
        <v>6163167.25</v>
      </c>
    </row>
    <row r="17" spans="3:27" x14ac:dyDescent="0.25">
      <c r="D17" s="22" t="s">
        <v>664</v>
      </c>
      <c r="E17" s="441">
        <f>[1]ABM!$L$33</f>
        <v>7404117</v>
      </c>
      <c r="F17" s="441">
        <f>[1]ABM!$L$34</f>
        <v>13287174</v>
      </c>
      <c r="G17" s="441">
        <f>[1]ABM!$L$35</f>
        <v>5596786</v>
      </c>
      <c r="H17" s="441">
        <f>[1]ABM!$L$36</f>
        <v>1214536</v>
      </c>
      <c r="I17" s="441">
        <f>[1]ABM!$L$37</f>
        <v>198599</v>
      </c>
      <c r="J17" s="441">
        <f>[1]ABM!$L$38</f>
        <v>394196</v>
      </c>
      <c r="K17" s="441">
        <f>[1]ABM!$L$42</f>
        <v>5159644</v>
      </c>
      <c r="L17" s="441">
        <f>[1]ABM!$L$43</f>
        <v>6374701</v>
      </c>
      <c r="M17" s="441">
        <f>[1]ABM!$L$44</f>
        <v>1117289</v>
      </c>
      <c r="N17" s="441">
        <f>[1]ABM!$L$45</f>
        <v>635540</v>
      </c>
      <c r="O17" s="441">
        <f>[1]ABM!$L$81</f>
        <v>1257537</v>
      </c>
      <c r="P17" s="441">
        <f>[1]ABM!$L$82</f>
        <v>1078926</v>
      </c>
      <c r="Q17" s="441">
        <f>[1]ABM!$L$83</f>
        <v>1269422</v>
      </c>
      <c r="R17" s="441">
        <f>[1]ABM!$L$84</f>
        <v>1257485</v>
      </c>
      <c r="S17" s="441">
        <f>[1]ABM!$L$85</f>
        <v>807933</v>
      </c>
      <c r="T17" s="441">
        <f>[1]ABM!$L$86</f>
        <v>285202</v>
      </c>
      <c r="U17" s="441">
        <f>[1]ABM!$L$103</f>
        <v>1253308</v>
      </c>
      <c r="V17" s="441">
        <f>[1]ABM!$L$104</f>
        <v>3108706</v>
      </c>
      <c r="W17" s="441">
        <f>[1]ABM!$L$105</f>
        <v>1594491</v>
      </c>
      <c r="X17" s="441">
        <f>[1]ABM!$L$106</f>
        <v>3089249</v>
      </c>
      <c r="Y17" s="441">
        <f>[1]ABM!$L$107</f>
        <v>2867256</v>
      </c>
      <c r="Z17" s="466">
        <f>'[1]Simulation reports'!AF27</f>
        <v>10548.5</v>
      </c>
      <c r="AA17" s="466">
        <f t="shared" si="0"/>
        <v>5956505</v>
      </c>
    </row>
    <row r="18" spans="3:27" s="467" customFormat="1" x14ac:dyDescent="0.25">
      <c r="C18" s="467">
        <v>2024</v>
      </c>
      <c r="D18" s="467" t="s">
        <v>515</v>
      </c>
      <c r="E18" s="469">
        <f>[1]Momentum!$T$33</f>
        <v>7782911</v>
      </c>
      <c r="F18" s="469">
        <f>[1]Momentum!$T$34</f>
        <v>14470249</v>
      </c>
      <c r="G18" s="469">
        <f>[1]Momentum!$T$35</f>
        <v>5896609</v>
      </c>
      <c r="H18" s="469">
        <f>[1]Momentum!$T$36</f>
        <v>1293187.6299999999</v>
      </c>
      <c r="I18" s="469">
        <f>[1]Momentum!$T$37</f>
        <v>206115.38</v>
      </c>
      <c r="J18" s="469">
        <f>[1]Momentum!$T$38</f>
        <v>387006.19</v>
      </c>
      <c r="K18" s="469">
        <f>[1]Momentum!$T$42</f>
        <v>5452492</v>
      </c>
      <c r="L18" s="469">
        <f>[1]Momentum!$T$43</f>
        <v>7204250.5</v>
      </c>
      <c r="M18" s="469">
        <f>[1]Momentum!$T$44</f>
        <v>1102847.75</v>
      </c>
      <c r="N18" s="469">
        <f>[1]Momentum!$T$45</f>
        <v>710682.25</v>
      </c>
      <c r="O18" s="469">
        <f>[1]Momentum!$T$81</f>
        <v>1449304.75</v>
      </c>
      <c r="P18" s="469">
        <f>[1]Momentum!$T$82</f>
        <v>1195259.25</v>
      </c>
      <c r="Q18" s="469">
        <f>[1]Momentum!$T$83</f>
        <v>1373785</v>
      </c>
      <c r="R18" s="469">
        <f>[1]Momentum!$T$84</f>
        <v>1254873.5</v>
      </c>
      <c r="S18" s="469">
        <f>[1]Momentum!$T$85</f>
        <v>881900.69</v>
      </c>
      <c r="T18" s="469">
        <f>[1]Momentum!$T$86</f>
        <v>440749.78</v>
      </c>
      <c r="U18" s="469">
        <f>[1]Momentum!$T$103</f>
        <v>1381075.38</v>
      </c>
      <c r="V18" s="469">
        <f>[1]Momentum!$T$104</f>
        <v>3432609.75</v>
      </c>
      <c r="W18" s="469">
        <f>[1]Momentum!$T$105</f>
        <v>1782187.25</v>
      </c>
      <c r="X18" s="469">
        <f>[1]Momentum!$T$106</f>
        <v>3388204.5</v>
      </c>
      <c r="Y18" s="469">
        <f>[1]Momentum!$T$107</f>
        <v>3207662.25</v>
      </c>
      <c r="Z18" s="468">
        <f>365*([1]Momentum!$T$39+[1]Momentum!$T$46)/$AA18</f>
        <v>10322.920735171007</v>
      </c>
      <c r="AA18" s="468">
        <f t="shared" si="0"/>
        <v>6595866.75</v>
      </c>
    </row>
    <row r="19" spans="3:27" s="467" customFormat="1" x14ac:dyDescent="0.25">
      <c r="D19" s="467" t="s">
        <v>667</v>
      </c>
      <c r="E19" s="469">
        <f>[1]Tech_Triumphs!$T$33</f>
        <v>7782911</v>
      </c>
      <c r="F19" s="469">
        <f>[1]Tech_Triumphs!$T$34</f>
        <v>14470249</v>
      </c>
      <c r="G19" s="469">
        <f>[1]Tech_Triumphs!$T$35</f>
        <v>5896609</v>
      </c>
      <c r="H19" s="469">
        <f>[1]Tech_Triumphs!$T$36</f>
        <v>1293187.6299999999</v>
      </c>
      <c r="I19" s="469">
        <f>[1]Tech_Triumphs!$T$37</f>
        <v>206115.38</v>
      </c>
      <c r="J19" s="469">
        <f>[1]Tech_Triumphs!$T$38</f>
        <v>387006.19</v>
      </c>
      <c r="K19" s="469">
        <f>[1]Tech_Triumphs!$T$42</f>
        <v>5452492</v>
      </c>
      <c r="L19" s="469">
        <f>[1]Tech_Triumphs!$T$43</f>
        <v>7204250.5</v>
      </c>
      <c r="M19" s="469">
        <f>[1]Tech_Triumphs!$T$44</f>
        <v>1102847.75</v>
      </c>
      <c r="N19" s="469">
        <f>[1]Tech_Triumphs!$T$45</f>
        <v>710682.25</v>
      </c>
      <c r="O19" s="469">
        <f>[1]Tech_Triumphs!$T$81</f>
        <v>1449304.75</v>
      </c>
      <c r="P19" s="469">
        <f>[1]Tech_Triumphs!$T$82</f>
        <v>1195259.25</v>
      </c>
      <c r="Q19" s="469">
        <f>[1]Tech_Triumphs!$T$83</f>
        <v>1373785</v>
      </c>
      <c r="R19" s="469">
        <f>[1]Tech_Triumphs!$T$84</f>
        <v>1254873.5</v>
      </c>
      <c r="S19" s="469">
        <f>[1]Tech_Triumphs!$T$85</f>
        <v>881900.69</v>
      </c>
      <c r="T19" s="469">
        <f>[1]Tech_Triumphs!$T$86</f>
        <v>440749.78</v>
      </c>
      <c r="U19" s="469">
        <f>[1]Tech_Triumphs!$T$103</f>
        <v>1381075.38</v>
      </c>
      <c r="V19" s="469">
        <f>[1]Tech_Triumphs!$T$104</f>
        <v>3432609.75</v>
      </c>
      <c r="W19" s="469">
        <f>[1]Tech_Triumphs!$T$105</f>
        <v>1782187.25</v>
      </c>
      <c r="X19" s="469">
        <f>[1]Tech_Triumphs!$T$106</f>
        <v>3388204.5</v>
      </c>
      <c r="Y19" s="469">
        <f>[1]Tech_Triumphs!$T$107</f>
        <v>3207662.25</v>
      </c>
      <c r="Z19" s="468">
        <f>365*([1]Tech_Triumphs!$T$39+[1]Tech_Triumphs!$T$46)/$AA19</f>
        <v>10322.920735171007</v>
      </c>
      <c r="AA19" s="468">
        <f t="shared" si="0"/>
        <v>6595866.75</v>
      </c>
    </row>
    <row r="20" spans="3:27" s="467" customFormat="1" x14ac:dyDescent="0.25">
      <c r="D20" s="467" t="s">
        <v>666</v>
      </c>
      <c r="E20" s="469">
        <f>[1]Gentle_Footprint!$T$33</f>
        <v>7782911</v>
      </c>
      <c r="F20" s="469">
        <f>[1]Gentle_Footprint!$T$34</f>
        <v>14470249</v>
      </c>
      <c r="G20" s="469">
        <f>[1]Gentle_Footprint!$T$35</f>
        <v>5896609</v>
      </c>
      <c r="H20" s="469">
        <f>[1]Gentle_Footprint!$T$36</f>
        <v>1293187.6299999999</v>
      </c>
      <c r="I20" s="469">
        <f>[1]Gentle_Footprint!$T$37</f>
        <v>206115.38</v>
      </c>
      <c r="J20" s="469">
        <f>[1]Gentle_Footprint!$T$38</f>
        <v>387006.19</v>
      </c>
      <c r="K20" s="469">
        <f>[1]Gentle_Footprint!$T$42</f>
        <v>5452492</v>
      </c>
      <c r="L20" s="469">
        <f>[1]Gentle_Footprint!$T$43</f>
        <v>7204250.5</v>
      </c>
      <c r="M20" s="469">
        <f>[1]Gentle_Footprint!$T$44</f>
        <v>1102847.75</v>
      </c>
      <c r="N20" s="469">
        <f>[1]Gentle_Footprint!$T$45</f>
        <v>710682.25</v>
      </c>
      <c r="O20" s="469">
        <f>[1]Gentle_Footprint!$T$81</f>
        <v>1449304.75</v>
      </c>
      <c r="P20" s="469">
        <f>[1]Gentle_Footprint!$T$82</f>
        <v>1195259.25</v>
      </c>
      <c r="Q20" s="469">
        <f>[1]Gentle_Footprint!$T$83</f>
        <v>1373785</v>
      </c>
      <c r="R20" s="469">
        <f>[1]Gentle_Footprint!$T$84</f>
        <v>1254873.5</v>
      </c>
      <c r="S20" s="469">
        <f>[1]Gentle_Footprint!$T$85</f>
        <v>881900.69</v>
      </c>
      <c r="T20" s="469">
        <f>[1]Gentle_Footprint!$T$86</f>
        <v>440749.78</v>
      </c>
      <c r="U20" s="469">
        <f>[1]Gentle_Footprint!$T$103</f>
        <v>1381075.38</v>
      </c>
      <c r="V20" s="469">
        <f>[1]Gentle_Footprint!$T$104</f>
        <v>3432609.75</v>
      </c>
      <c r="W20" s="469">
        <f>[1]Gentle_Footprint!$T$105</f>
        <v>1782187.25</v>
      </c>
      <c r="X20" s="469">
        <f>[1]Gentle_Footprint!$T$106</f>
        <v>3388204.5</v>
      </c>
      <c r="Y20" s="469">
        <f>[1]Gentle_Footprint!$T$107</f>
        <v>3207662.25</v>
      </c>
      <c r="Z20" s="468">
        <f>365*([1]Gentle_Footprint!$T$39+[1]Gentle_Footprint!$T$46)/$AA20</f>
        <v>10322.920735171007</v>
      </c>
      <c r="AA20" s="468">
        <f t="shared" si="0"/>
        <v>6595866.75</v>
      </c>
    </row>
    <row r="21" spans="3:27" s="467" customFormat="1" x14ac:dyDescent="0.25">
      <c r="D21" s="467" t="s">
        <v>665</v>
      </c>
      <c r="E21" s="469">
        <f>[1]Global_Chaos!$T$33</f>
        <v>7782911</v>
      </c>
      <c r="F21" s="469">
        <f>[1]Global_Chaos!$T$34</f>
        <v>14470249</v>
      </c>
      <c r="G21" s="469">
        <f>[1]Global_Chaos!$T$35</f>
        <v>5896609</v>
      </c>
      <c r="H21" s="469">
        <f>[1]Global_Chaos!$T$36</f>
        <v>1293187.6299999999</v>
      </c>
      <c r="I21" s="469">
        <f>[1]Global_Chaos!$T$37</f>
        <v>206115.38</v>
      </c>
      <c r="J21" s="469">
        <f>[1]Global_Chaos!$T$38</f>
        <v>387006.19</v>
      </c>
      <c r="K21" s="469">
        <f>[1]Global_Chaos!$T$42</f>
        <v>5452492</v>
      </c>
      <c r="L21" s="469">
        <f>[1]Global_Chaos!$T$43</f>
        <v>7204250.5</v>
      </c>
      <c r="M21" s="469">
        <f>[1]Global_Chaos!$T$44</f>
        <v>1102847.75</v>
      </c>
      <c r="N21" s="469">
        <f>[1]Global_Chaos!$T$45</f>
        <v>710682.25</v>
      </c>
      <c r="O21" s="469">
        <f>[1]Global_Chaos!$T$81</f>
        <v>1449304.75</v>
      </c>
      <c r="P21" s="469">
        <f>[1]Global_Chaos!$T$82</f>
        <v>1195259.25</v>
      </c>
      <c r="Q21" s="469">
        <f>[1]Global_Chaos!$T$83</f>
        <v>1373785</v>
      </c>
      <c r="R21" s="469">
        <f>[1]Global_Chaos!$T$84</f>
        <v>1254873.5</v>
      </c>
      <c r="S21" s="469">
        <f>[1]Global_Chaos!$T$85</f>
        <v>881900.69</v>
      </c>
      <c r="T21" s="469">
        <f>[1]Global_Chaos!$T$86</f>
        <v>440749.78</v>
      </c>
      <c r="U21" s="469">
        <f>[1]Global_Chaos!$T$103</f>
        <v>1381075.38</v>
      </c>
      <c r="V21" s="469">
        <f>[1]Global_Chaos!$T$104</f>
        <v>3432609.75</v>
      </c>
      <c r="W21" s="469">
        <f>[1]Global_Chaos!$T$105</f>
        <v>1782187.25</v>
      </c>
      <c r="X21" s="469">
        <f>[1]Global_Chaos!$T$106</f>
        <v>3388204.5</v>
      </c>
      <c r="Y21" s="469">
        <f>[1]Global_Chaos!$T$107</f>
        <v>3207662.25</v>
      </c>
      <c r="Z21" s="468">
        <f>365*([1]Global_Chaos!$T$39+[1]Global_Chaos!$T$46)/$AA21</f>
        <v>10322.920735171007</v>
      </c>
      <c r="AA21" s="468">
        <f t="shared" si="0"/>
        <v>6595866.75</v>
      </c>
    </row>
    <row r="22" spans="3:27" s="467" customFormat="1" x14ac:dyDescent="0.25">
      <c r="D22" s="467" t="s">
        <v>664</v>
      </c>
      <c r="E22" s="469">
        <f>[1]ABM!$T$33</f>
        <v>7747679</v>
      </c>
      <c r="F22" s="469">
        <f>[1]ABM!$T$34</f>
        <v>14163775</v>
      </c>
      <c r="G22" s="469">
        <f>[1]ABM!$T$35</f>
        <v>5867214</v>
      </c>
      <c r="H22" s="469">
        <f>[1]ABM!$T$36</f>
        <v>1264822</v>
      </c>
      <c r="I22" s="469">
        <f>[1]ABM!$T$37</f>
        <v>205579</v>
      </c>
      <c r="J22" s="469">
        <f>[1]ABM!$T$38</f>
        <v>410064</v>
      </c>
      <c r="K22" s="469">
        <f>[1]ABM!$T$42</f>
        <v>5526111</v>
      </c>
      <c r="L22" s="469">
        <f>[1]ABM!$T$43</f>
        <v>6798167</v>
      </c>
      <c r="M22" s="469">
        <f>[1]ABM!$T$44</f>
        <v>1160879</v>
      </c>
      <c r="N22" s="469">
        <f>[1]ABM!$T$45</f>
        <v>678618</v>
      </c>
      <c r="O22" s="469">
        <f>[1]ABM!$T$81</f>
        <v>1307970</v>
      </c>
      <c r="P22" s="469">
        <f>[1]ABM!$T$82</f>
        <v>1129633</v>
      </c>
      <c r="Q22" s="469">
        <f>[1]ABM!$T$83</f>
        <v>1348370</v>
      </c>
      <c r="R22" s="469">
        <f>[1]ABM!$T$84</f>
        <v>1301703</v>
      </c>
      <c r="S22" s="469">
        <f>[1]ABM!$T$85</f>
        <v>901584</v>
      </c>
      <c r="T22" s="469">
        <f>[1]ABM!$T$86</f>
        <v>370338</v>
      </c>
      <c r="U22" s="469">
        <f>[1]ABM!$T$103</f>
        <v>1333829</v>
      </c>
      <c r="V22" s="469">
        <f>[1]ABM!$T$104</f>
        <v>3317936</v>
      </c>
      <c r="W22" s="469">
        <f>[1]ABM!$T$105</f>
        <v>1707833</v>
      </c>
      <c r="X22" s="469">
        <f>[1]ABM!$T$106</f>
        <v>3244289</v>
      </c>
      <c r="Y22" s="469">
        <f>[1]ABM!$T$107</f>
        <v>3115309</v>
      </c>
      <c r="Z22" s="468">
        <f>'[1]Simulation reports'!AG27</f>
        <v>10439</v>
      </c>
      <c r="AA22" s="468">
        <f t="shared" si="0"/>
        <v>6359598</v>
      </c>
    </row>
    <row r="23" spans="3:27" x14ac:dyDescent="0.25">
      <c r="C23" s="22">
        <v>2030</v>
      </c>
      <c r="D23" s="22" t="s">
        <v>515</v>
      </c>
      <c r="E23" s="441">
        <f>[1]Momentum!$AF$33</f>
        <v>8338208.5</v>
      </c>
      <c r="F23" s="441">
        <f>[1]Momentum!$AF$34</f>
        <v>15054934</v>
      </c>
      <c r="G23" s="441">
        <f>[1]Momentum!$AF$35</f>
        <v>6272436</v>
      </c>
      <c r="H23" s="441">
        <f>[1]Momentum!$AF$36</f>
        <v>1372133.88</v>
      </c>
      <c r="I23" s="441">
        <f>[1]Momentum!$AF$37</f>
        <v>241174.09</v>
      </c>
      <c r="J23" s="441">
        <f>[1]Momentum!$AF$38</f>
        <v>452467.94</v>
      </c>
      <c r="K23" s="441">
        <f>[1]Momentum!$AF$42</f>
        <v>5660037.5</v>
      </c>
      <c r="L23" s="441">
        <f>[1]Momentum!$AF$43</f>
        <v>7378455.5</v>
      </c>
      <c r="M23" s="441">
        <f>[1]Momentum!$AF$44</f>
        <v>1243459.3799999999</v>
      </c>
      <c r="N23" s="441">
        <f>[1]Momentum!$AF$45</f>
        <v>772980.69</v>
      </c>
      <c r="O23" s="441">
        <f>[1]Momentum!$AF$81</f>
        <v>1539328.5</v>
      </c>
      <c r="P23" s="441">
        <f>[1]Momentum!$AF$82</f>
        <v>1250043.5</v>
      </c>
      <c r="Q23" s="441">
        <f>[1]Momentum!$AF$83</f>
        <v>1460412.5</v>
      </c>
      <c r="R23" s="441">
        <f>[1]Momentum!$AF$84</f>
        <v>1334478.8799999999</v>
      </c>
      <c r="S23" s="441">
        <f>[1]Momentum!$AF$85</f>
        <v>995495</v>
      </c>
      <c r="T23" s="441">
        <f>[1]Momentum!$AF$86</f>
        <v>574965.06000000006</v>
      </c>
      <c r="U23" s="441">
        <f>[1]Momentum!$AF$103</f>
        <v>1509201.25</v>
      </c>
      <c r="V23" s="441">
        <f>[1]Momentum!$AF$104</f>
        <v>3706933.75</v>
      </c>
      <c r="W23" s="441">
        <f>[1]Momentum!$AF$105</f>
        <v>1938591.88</v>
      </c>
      <c r="X23" s="441">
        <f>[1]Momentum!$AF$106</f>
        <v>3572346</v>
      </c>
      <c r="Y23" s="441">
        <f>[1]Momentum!$AF$107</f>
        <v>3582379.75</v>
      </c>
      <c r="Z23" s="466">
        <f>365*([1]Momentum!$AF$39+[1]Momentum!$AF$46)/$AA23</f>
        <v>9982.0232746167803</v>
      </c>
      <c r="AA23" s="466">
        <f t="shared" si="0"/>
        <v>7154725.75</v>
      </c>
    </row>
    <row r="24" spans="3:27" x14ac:dyDescent="0.25">
      <c r="D24" s="22" t="s">
        <v>667</v>
      </c>
      <c r="E24" s="441">
        <f>[1]Tech_Triumphs!$AF$33</f>
        <v>8410662</v>
      </c>
      <c r="F24" s="441">
        <f>[1]Tech_Triumphs!$AF$34</f>
        <v>16623991</v>
      </c>
      <c r="G24" s="441">
        <f>[1]Tech_Triumphs!$AF$35</f>
        <v>6370576</v>
      </c>
      <c r="H24" s="441">
        <f>[1]Tech_Triumphs!$AF$36</f>
        <v>1380498.5</v>
      </c>
      <c r="I24" s="441">
        <f>[1]Tech_Triumphs!$AF$37</f>
        <v>230675.34</v>
      </c>
      <c r="J24" s="441">
        <f>[1]Tech_Triumphs!$AF$38</f>
        <v>428908.5</v>
      </c>
      <c r="K24" s="441">
        <f>[1]Tech_Triumphs!$AF$42</f>
        <v>6358911</v>
      </c>
      <c r="L24" s="441">
        <f>[1]Tech_Triumphs!$AF$43</f>
        <v>8155587.5</v>
      </c>
      <c r="M24" s="441">
        <f>[1]Tech_Triumphs!$AF$44</f>
        <v>1298576.75</v>
      </c>
      <c r="N24" s="441">
        <f>[1]Tech_Triumphs!$AF$45</f>
        <v>810878.63</v>
      </c>
      <c r="O24" s="441">
        <f>[1]Tech_Triumphs!$AF$81</f>
        <v>1541224.25</v>
      </c>
      <c r="P24" s="441">
        <f>[1]Tech_Triumphs!$AF$82</f>
        <v>1251236.1299999999</v>
      </c>
      <c r="Q24" s="441">
        <f>[1]Tech_Triumphs!$AF$83</f>
        <v>1462607</v>
      </c>
      <c r="R24" s="441">
        <f>[1]Tech_Triumphs!$AF$84</f>
        <v>1336563</v>
      </c>
      <c r="S24" s="441">
        <f>[1]Tech_Triumphs!$AF$85</f>
        <v>996686.81</v>
      </c>
      <c r="T24" s="441">
        <f>[1]Tech_Triumphs!$AF$86</f>
        <v>574559.56000000006</v>
      </c>
      <c r="U24" s="441">
        <f>[1]Tech_Triumphs!$AF$103</f>
        <v>1498408.63</v>
      </c>
      <c r="V24" s="441">
        <f>[1]Tech_Triumphs!$AF$104</f>
        <v>3708865</v>
      </c>
      <c r="W24" s="441">
        <f>[1]Tech_Triumphs!$AF$105</f>
        <v>1955601.13</v>
      </c>
      <c r="X24" s="441">
        <f>[1]Tech_Triumphs!$AF$106</f>
        <v>3603372.5</v>
      </c>
      <c r="Y24" s="441">
        <f>[1]Tech_Triumphs!$AF$107</f>
        <v>3559497.25</v>
      </c>
      <c r="Z24" s="466">
        <f>365*([1]Tech_Triumphs!$AF$39+[1]Tech_Triumphs!$AF$46)/$AA24</f>
        <v>10489.255097790938</v>
      </c>
      <c r="AA24" s="466">
        <f t="shared" si="0"/>
        <v>7162869.75</v>
      </c>
    </row>
    <row r="25" spans="3:27" x14ac:dyDescent="0.25">
      <c r="D25" s="22" t="s">
        <v>666</v>
      </c>
      <c r="E25" s="441">
        <f>[1]Gentle_Footprint!$AF$33</f>
        <v>7853889.5</v>
      </c>
      <c r="F25" s="441">
        <f>[1]Gentle_Footprint!$AF$34</f>
        <v>14983331</v>
      </c>
      <c r="G25" s="441">
        <f>[1]Gentle_Footprint!$AF$35</f>
        <v>5872367.5</v>
      </c>
      <c r="H25" s="441">
        <f>[1]Gentle_Footprint!$AF$36</f>
        <v>1290922.5</v>
      </c>
      <c r="I25" s="441">
        <f>[1]Gentle_Footprint!$AF$37</f>
        <v>238504.08</v>
      </c>
      <c r="J25" s="441">
        <f>[1]Gentle_Footprint!$AF$38</f>
        <v>452101.31</v>
      </c>
      <c r="K25" s="441">
        <f>[1]Gentle_Footprint!$AF$42</f>
        <v>5553658</v>
      </c>
      <c r="L25" s="441">
        <f>[1]Gentle_Footprint!$AF$43</f>
        <v>7321163</v>
      </c>
      <c r="M25" s="441">
        <f>[1]Gentle_Footprint!$AF$44</f>
        <v>1302618.75</v>
      </c>
      <c r="N25" s="441">
        <f>[1]Gentle_Footprint!$AF$45</f>
        <v>805865.25</v>
      </c>
      <c r="O25" s="441">
        <f>[1]Gentle_Footprint!$AF$81</f>
        <v>1527013.13</v>
      </c>
      <c r="P25" s="441">
        <f>[1]Gentle_Footprint!$AF$82</f>
        <v>1241764.3799999999</v>
      </c>
      <c r="Q25" s="441">
        <f>[1]Gentle_Footprint!$AF$83</f>
        <v>1455910.25</v>
      </c>
      <c r="R25" s="441">
        <f>[1]Gentle_Footprint!$AF$84</f>
        <v>1332769.3799999999</v>
      </c>
      <c r="S25" s="441">
        <f>[1]Gentle_Footprint!$AF$85</f>
        <v>992080.13</v>
      </c>
      <c r="T25" s="441">
        <f>[1]Gentle_Footprint!$AF$86</f>
        <v>559420.88</v>
      </c>
      <c r="U25" s="441">
        <f>[1]Gentle_Footprint!$AF$103</f>
        <v>1518118.63</v>
      </c>
      <c r="V25" s="441">
        <f>[1]Gentle_Footprint!$AF$104</f>
        <v>3677577</v>
      </c>
      <c r="W25" s="441">
        <f>[1]Gentle_Footprint!$AF$105</f>
        <v>1913262</v>
      </c>
      <c r="X25" s="441">
        <f>[1]Gentle_Footprint!$AF$106</f>
        <v>3543368.5</v>
      </c>
      <c r="Y25" s="441">
        <f>[1]Gentle_Footprint!$AF$107</f>
        <v>3565587.75</v>
      </c>
      <c r="Z25" s="466">
        <f>365*([1]Gentle_Footprint!$AF$39+[1]Gentle_Footprint!$AF$46)/$AA25</f>
        <v>9067.0211594001576</v>
      </c>
      <c r="AA25" s="466">
        <f t="shared" si="0"/>
        <v>7108956.25</v>
      </c>
    </row>
    <row r="26" spans="3:27" x14ac:dyDescent="0.25">
      <c r="D26" s="22" t="s">
        <v>665</v>
      </c>
      <c r="E26" s="441">
        <f>[1]Global_Chaos!$AF$33</f>
        <v>7918685.5</v>
      </c>
      <c r="F26" s="441">
        <f>[1]Global_Chaos!$AF$34</f>
        <v>15061492</v>
      </c>
      <c r="G26" s="441">
        <f>[1]Global_Chaos!$AF$35</f>
        <v>5925044</v>
      </c>
      <c r="H26" s="441">
        <f>[1]Global_Chaos!$AF$36</f>
        <v>1254159.75</v>
      </c>
      <c r="I26" s="441">
        <f>[1]Global_Chaos!$AF$37</f>
        <v>229808.52</v>
      </c>
      <c r="J26" s="441">
        <f>[1]Global_Chaos!$AF$38</f>
        <v>509661.97</v>
      </c>
      <c r="K26" s="441">
        <f>[1]Global_Chaos!$AF$42</f>
        <v>5325356.5</v>
      </c>
      <c r="L26" s="441">
        <f>[1]Global_Chaos!$AF$43</f>
        <v>7500986</v>
      </c>
      <c r="M26" s="441">
        <f>[1]Global_Chaos!$AF$44</f>
        <v>1330127.75</v>
      </c>
      <c r="N26" s="441">
        <f>[1]Global_Chaos!$AF$45</f>
        <v>905026.5</v>
      </c>
      <c r="O26" s="441">
        <f>[1]Global_Chaos!$AF$81</f>
        <v>1540962</v>
      </c>
      <c r="P26" s="441">
        <f>[1]Global_Chaos!$AF$82</f>
        <v>1249385.75</v>
      </c>
      <c r="Q26" s="441">
        <f>[1]Global_Chaos!$AF$83</f>
        <v>1460668.63</v>
      </c>
      <c r="R26" s="441">
        <f>[1]Global_Chaos!$AF$84</f>
        <v>1335173</v>
      </c>
      <c r="S26" s="441">
        <f>[1]Global_Chaos!$AF$85</f>
        <v>995647.44</v>
      </c>
      <c r="T26" s="441">
        <f>[1]Global_Chaos!$AF$86</f>
        <v>573947.5</v>
      </c>
      <c r="U26" s="441">
        <f>[1]Global_Chaos!$AF$103</f>
        <v>1505603.63</v>
      </c>
      <c r="V26" s="441">
        <f>[1]Global_Chaos!$AF$104</f>
        <v>3726313.25</v>
      </c>
      <c r="W26" s="441">
        <f>[1]Global_Chaos!$AF$105</f>
        <v>1923863.75</v>
      </c>
      <c r="X26" s="441">
        <f>[1]Global_Chaos!$AF$106</f>
        <v>3573530</v>
      </c>
      <c r="Y26" s="441">
        <f>[1]Global_Chaos!$AF$107</f>
        <v>3582250</v>
      </c>
      <c r="Z26" s="466">
        <f>365*([1]Global_Chaos!$AF$39+[1]Global_Chaos!$AF$46)/$AA26</f>
        <v>8944.1431625902424</v>
      </c>
      <c r="AA26" s="466">
        <f t="shared" si="0"/>
        <v>7155780</v>
      </c>
    </row>
    <row r="27" spans="3:27" x14ac:dyDescent="0.25">
      <c r="D27" s="22" t="s">
        <v>664</v>
      </c>
      <c r="E27" s="441">
        <f>[1]ABM!$AF$33</f>
        <v>8269462</v>
      </c>
      <c r="F27" s="441">
        <f>[1]ABM!$AF$34</f>
        <v>15550811</v>
      </c>
      <c r="G27" s="441">
        <f>[1]ABM!$AF$35</f>
        <v>6273071</v>
      </c>
      <c r="H27" s="441">
        <f>[1]ABM!$AF$36</f>
        <v>1347992</v>
      </c>
      <c r="I27" s="441">
        <f>[1]ABM!$AF$37</f>
        <v>213422</v>
      </c>
      <c r="J27" s="441">
        <f>[1]ABM!$AF$38</f>
        <v>434977</v>
      </c>
      <c r="K27" s="441">
        <f>[1]ABM!$AF$42</f>
        <v>6066518</v>
      </c>
      <c r="L27" s="441">
        <f>[1]ABM!$AF$43</f>
        <v>7479242</v>
      </c>
      <c r="M27" s="441">
        <f>[1]ABM!$AF$44</f>
        <v>1262886</v>
      </c>
      <c r="N27" s="441">
        <f>[1]ABM!$AF$45</f>
        <v>742165</v>
      </c>
      <c r="O27" s="441">
        <f>[1]ABM!$AF$81</f>
        <v>1427713</v>
      </c>
      <c r="P27" s="441">
        <f>[1]ABM!$AF$82</f>
        <v>1149953</v>
      </c>
      <c r="Q27" s="441">
        <f>[1]ABM!$AF$83</f>
        <v>1491386</v>
      </c>
      <c r="R27" s="441">
        <f>[1]ABM!$AF$84</f>
        <v>1354485</v>
      </c>
      <c r="S27" s="441">
        <f>[1]ABM!$AF$85</f>
        <v>1037483</v>
      </c>
      <c r="T27" s="441">
        <f>[1]ABM!$AF$86</f>
        <v>500253</v>
      </c>
      <c r="U27" s="441">
        <f>[1]ABM!$AF$103</f>
        <v>1459051</v>
      </c>
      <c r="V27" s="441">
        <f>[1]ABM!$AF$104</f>
        <v>3632103</v>
      </c>
      <c r="W27" s="441">
        <f>[1]ABM!$AF$105</f>
        <v>1870119</v>
      </c>
      <c r="X27" s="441">
        <f>[1]ABM!$AF$106</f>
        <v>3472478</v>
      </c>
      <c r="Y27" s="441">
        <f>[1]ABM!$AF$107</f>
        <v>3488795</v>
      </c>
      <c r="Z27" s="466">
        <f>'[1]Simulation reports'!AH27</f>
        <v>10293</v>
      </c>
      <c r="AA27" s="466">
        <f t="shared" si="0"/>
        <v>6961273</v>
      </c>
    </row>
    <row r="28" spans="3:27" s="467" customFormat="1" x14ac:dyDescent="0.25">
      <c r="C28" s="467">
        <v>2040</v>
      </c>
      <c r="D28" s="467" t="s">
        <v>515</v>
      </c>
      <c r="E28" s="469">
        <f>[1]Momentum!$AZ$33</f>
        <v>7667298</v>
      </c>
      <c r="F28" s="469">
        <f>[1]Momentum!$AZ$34</f>
        <v>16877196</v>
      </c>
      <c r="G28" s="469">
        <f>[1]Momentum!$AZ$35</f>
        <v>5719176</v>
      </c>
      <c r="H28" s="469">
        <f>[1]Momentum!$AZ$36</f>
        <v>1267854.8799999999</v>
      </c>
      <c r="I28" s="469">
        <f>[1]Momentum!$AZ$37</f>
        <v>235184.98</v>
      </c>
      <c r="J28" s="469">
        <f>[1]Momentum!$AZ$38</f>
        <v>445087.53</v>
      </c>
      <c r="K28" s="469">
        <f>[1]Momentum!$AZ$42</f>
        <v>6303811.5</v>
      </c>
      <c r="L28" s="469">
        <f>[1]Momentum!$AZ$43</f>
        <v>8183935</v>
      </c>
      <c r="M28" s="469">
        <f>[1]Momentum!$AZ$44</f>
        <v>1523420</v>
      </c>
      <c r="N28" s="469">
        <f>[1]Momentum!$AZ$45</f>
        <v>866042.56</v>
      </c>
      <c r="O28" s="469">
        <f>[1]Momentum!$AZ$81</f>
        <v>1629157</v>
      </c>
      <c r="P28" s="469">
        <f>[1]Momentum!$AZ$82</f>
        <v>1328922</v>
      </c>
      <c r="Q28" s="469">
        <f>[1]Momentum!$AZ$83</f>
        <v>1568099.5</v>
      </c>
      <c r="R28" s="469">
        <f>[1]Momentum!$AZ$84</f>
        <v>1460275.38</v>
      </c>
      <c r="S28" s="469">
        <f>[1]Momentum!$AZ$85</f>
        <v>1156909.8799999999</v>
      </c>
      <c r="T28" s="469">
        <f>[1]Momentum!$AZ$86</f>
        <v>773989.31</v>
      </c>
      <c r="U28" s="469">
        <f>[1]Momentum!$AZ$103</f>
        <v>1725010.75</v>
      </c>
      <c r="V28" s="469">
        <f>[1]Momentum!$AZ$104</f>
        <v>4042995</v>
      </c>
      <c r="W28" s="469">
        <f>[1]Momentum!$AZ$105</f>
        <v>2149350.75</v>
      </c>
      <c r="X28" s="469">
        <f>[1]Momentum!$AZ$106</f>
        <v>3802521</v>
      </c>
      <c r="Y28" s="469">
        <f>[1]Momentum!$AZ$107</f>
        <v>4114829.75</v>
      </c>
      <c r="Z28" s="468">
        <f>365*([1]Momentum!$AZ$39+[1]Momentum!$AZ$46)/$AA28</f>
        <v>8758.1908935889951</v>
      </c>
      <c r="AA28" s="468">
        <f t="shared" si="0"/>
        <v>7917350.75</v>
      </c>
    </row>
    <row r="29" spans="3:27" s="467" customFormat="1" x14ac:dyDescent="0.25">
      <c r="D29" s="467" t="s">
        <v>667</v>
      </c>
      <c r="E29" s="469">
        <f>[1]Tech_Triumphs!$AZ$33</f>
        <v>7999028.5</v>
      </c>
      <c r="F29" s="469">
        <f>[1]Tech_Triumphs!$AZ$34</f>
        <v>20153306</v>
      </c>
      <c r="G29" s="469">
        <f>[1]Tech_Triumphs!$AZ$35</f>
        <v>6047065.5</v>
      </c>
      <c r="H29" s="469">
        <f>[1]Tech_Triumphs!$AZ$36</f>
        <v>1297359.25</v>
      </c>
      <c r="I29" s="469">
        <f>[1]Tech_Triumphs!$AZ$37</f>
        <v>230597.36</v>
      </c>
      <c r="J29" s="469">
        <f>[1]Tech_Triumphs!$AZ$38</f>
        <v>424026.44</v>
      </c>
      <c r="K29" s="469">
        <f>[1]Tech_Triumphs!$AZ$42</f>
        <v>7913444.5</v>
      </c>
      <c r="L29" s="469">
        <f>[1]Tech_Triumphs!$AZ$43</f>
        <v>9628938</v>
      </c>
      <c r="M29" s="469">
        <f>[1]Tech_Triumphs!$AZ$44</f>
        <v>1660950.88</v>
      </c>
      <c r="N29" s="469">
        <f>[1]Tech_Triumphs!$AZ$45</f>
        <v>949913.25</v>
      </c>
      <c r="O29" s="469">
        <f>[1]Tech_Triumphs!$AZ$81</f>
        <v>1580956.75</v>
      </c>
      <c r="P29" s="469">
        <f>[1]Tech_Triumphs!$AZ$82</f>
        <v>1326576</v>
      </c>
      <c r="Q29" s="469">
        <f>[1]Tech_Triumphs!$AZ$83</f>
        <v>1569654.75</v>
      </c>
      <c r="R29" s="469">
        <f>[1]Tech_Triumphs!$AZ$84</f>
        <v>1466991.5</v>
      </c>
      <c r="S29" s="469">
        <f>[1]Tech_Triumphs!$AZ$85</f>
        <v>1165912.1299999999</v>
      </c>
      <c r="T29" s="469">
        <f>[1]Tech_Triumphs!$AZ$86</f>
        <v>798422.06</v>
      </c>
      <c r="U29" s="469">
        <f>[1]Tech_Triumphs!$AZ$103</f>
        <v>1649235.13</v>
      </c>
      <c r="V29" s="469">
        <f>[1]Tech_Triumphs!$AZ$104</f>
        <v>3999428.25</v>
      </c>
      <c r="W29" s="469">
        <f>[1]Tech_Triumphs!$AZ$105</f>
        <v>2259849.5</v>
      </c>
      <c r="X29" s="469">
        <f>[1]Tech_Triumphs!$AZ$106</f>
        <v>3965732.75</v>
      </c>
      <c r="Y29" s="469">
        <f>[1]Tech_Triumphs!$AZ$107</f>
        <v>3942784.25</v>
      </c>
      <c r="Z29" s="468">
        <f>365*([1]Tech_Triumphs!$AZ$39+[1]Tech_Triumphs!$AZ$46)/$AA29</f>
        <v>10467.465452751761</v>
      </c>
      <c r="AA29" s="468">
        <f t="shared" si="0"/>
        <v>7908517</v>
      </c>
    </row>
    <row r="30" spans="3:27" s="467" customFormat="1" x14ac:dyDescent="0.25">
      <c r="D30" s="467" t="s">
        <v>666</v>
      </c>
      <c r="E30" s="469">
        <f>[1]Gentle_Footprint!$AZ$33</f>
        <v>7809834.5</v>
      </c>
      <c r="F30" s="469">
        <f>[1]Gentle_Footprint!$AZ$34</f>
        <v>14469737</v>
      </c>
      <c r="G30" s="469">
        <f>[1]Gentle_Footprint!$AZ$35</f>
        <v>5730664.5</v>
      </c>
      <c r="H30" s="469">
        <f>[1]Gentle_Footprint!$AZ$36</f>
        <v>1280687</v>
      </c>
      <c r="I30" s="469">
        <f>[1]Gentle_Footprint!$AZ$37</f>
        <v>270370.38</v>
      </c>
      <c r="J30" s="469">
        <f>[1]Gentle_Footprint!$AZ$38</f>
        <v>528105.5</v>
      </c>
      <c r="K30" s="469">
        <f>[1]Gentle_Footprint!$AZ$42</f>
        <v>5268538.5</v>
      </c>
      <c r="L30" s="469">
        <f>[1]Gentle_Footprint!$AZ$43</f>
        <v>6888948.5</v>
      </c>
      <c r="M30" s="469">
        <f>[1]Gentle_Footprint!$AZ$44</f>
        <v>1484467.63</v>
      </c>
      <c r="N30" s="469">
        <f>[1]Gentle_Footprint!$AZ$45</f>
        <v>827775.38</v>
      </c>
      <c r="O30" s="469">
        <f>[1]Gentle_Footprint!$AZ$81</f>
        <v>1490470.25</v>
      </c>
      <c r="P30" s="469">
        <f>[1]Gentle_Footprint!$AZ$82</f>
        <v>1267108.3799999999</v>
      </c>
      <c r="Q30" s="469">
        <f>[1]Gentle_Footprint!$AZ$83</f>
        <v>1528360.38</v>
      </c>
      <c r="R30" s="469">
        <f>[1]Gentle_Footprint!$AZ$84</f>
        <v>1445921.88</v>
      </c>
      <c r="S30" s="469">
        <f>[1]Gentle_Footprint!$AZ$85</f>
        <v>1139632.25</v>
      </c>
      <c r="T30" s="469">
        <f>[1]Gentle_Footprint!$AZ$86</f>
        <v>699897.81</v>
      </c>
      <c r="U30" s="469">
        <f>[1]Gentle_Footprint!$AZ$103</f>
        <v>1755745.63</v>
      </c>
      <c r="V30" s="469">
        <f>[1]Gentle_Footprint!$AZ$104</f>
        <v>3832326.5</v>
      </c>
      <c r="W30" s="469">
        <f>[1]Gentle_Footprint!$AZ$105</f>
        <v>1983321</v>
      </c>
      <c r="X30" s="469">
        <f>[1]Gentle_Footprint!$AZ$106</f>
        <v>3662272.75</v>
      </c>
      <c r="Y30" s="469">
        <f>[1]Gentle_Footprint!$AZ$107</f>
        <v>3909127</v>
      </c>
      <c r="Z30" s="468">
        <f>365*([1]Gentle_Footprint!$AZ$39+[1]Gentle_Footprint!$AZ$46)/$AA30</f>
        <v>7290.9132766368593</v>
      </c>
      <c r="AA30" s="468">
        <f t="shared" si="0"/>
        <v>7571399.75</v>
      </c>
    </row>
    <row r="31" spans="3:27" s="467" customFormat="1" x14ac:dyDescent="0.25">
      <c r="D31" s="467" t="s">
        <v>665</v>
      </c>
      <c r="E31" s="469">
        <f>[1]Global_Chaos!$AZ$33</f>
        <v>7616045.5</v>
      </c>
      <c r="F31" s="469">
        <f>[1]Global_Chaos!$AZ$34</f>
        <v>16854726</v>
      </c>
      <c r="G31" s="469">
        <f>[1]Global_Chaos!$AZ$35</f>
        <v>5602877</v>
      </c>
      <c r="H31" s="469">
        <f>[1]Global_Chaos!$AZ$36</f>
        <v>1105798.1299999999</v>
      </c>
      <c r="I31" s="469">
        <f>[1]Global_Chaos!$AZ$37</f>
        <v>260112.52</v>
      </c>
      <c r="J31" s="469">
        <f>[1]Global_Chaos!$AZ$38</f>
        <v>647260.56000000006</v>
      </c>
      <c r="K31" s="469">
        <f>[1]Global_Chaos!$AZ$42</f>
        <v>5876757.5</v>
      </c>
      <c r="L31" s="469">
        <f>[1]Global_Chaos!$AZ$43</f>
        <v>7862059</v>
      </c>
      <c r="M31" s="469">
        <f>[1]Global_Chaos!$AZ$44</f>
        <v>1859170.63</v>
      </c>
      <c r="N31" s="469">
        <f>[1]Global_Chaos!$AZ$45</f>
        <v>1256756.6299999999</v>
      </c>
      <c r="O31" s="469">
        <f>[1]Global_Chaos!$AZ$81</f>
        <v>1594925.75</v>
      </c>
      <c r="P31" s="469">
        <f>[1]Global_Chaos!$AZ$82</f>
        <v>1320374.6299999999</v>
      </c>
      <c r="Q31" s="469">
        <f>[1]Global_Chaos!$AZ$83</f>
        <v>1558245.13</v>
      </c>
      <c r="R31" s="469">
        <f>[1]Global_Chaos!$AZ$84</f>
        <v>1461163</v>
      </c>
      <c r="S31" s="469">
        <f>[1]Global_Chaos!$AZ$85</f>
        <v>1162180</v>
      </c>
      <c r="T31" s="469">
        <f>[1]Global_Chaos!$AZ$86</f>
        <v>795859.13</v>
      </c>
      <c r="U31" s="469">
        <f>[1]Global_Chaos!$AZ$103</f>
        <v>1710023.38</v>
      </c>
      <c r="V31" s="469">
        <f>[1]Global_Chaos!$AZ$104</f>
        <v>4133711.75</v>
      </c>
      <c r="W31" s="469">
        <f>[1]Global_Chaos!$AZ$105</f>
        <v>2049012.75</v>
      </c>
      <c r="X31" s="469">
        <f>[1]Global_Chaos!$AZ$106</f>
        <v>3787163.5</v>
      </c>
      <c r="Y31" s="469">
        <f>[1]Global_Chaos!$AZ$107</f>
        <v>4105585</v>
      </c>
      <c r="Z31" s="468">
        <f>365*([1]Global_Chaos!$AZ$39+[1]Global_Chaos!$AZ$46)/$AA31</f>
        <v>7175.9394233833755</v>
      </c>
      <c r="AA31" s="468">
        <f t="shared" si="0"/>
        <v>7892748.5</v>
      </c>
    </row>
    <row r="32" spans="3:27" s="467" customFormat="1" x14ac:dyDescent="0.25">
      <c r="D32" s="467" t="s">
        <v>664</v>
      </c>
      <c r="E32" s="469">
        <f>[1]ABM!$AZ$33</f>
        <v>9034207</v>
      </c>
      <c r="F32" s="469">
        <f>[1]ABM!$AZ$34</f>
        <v>17795642</v>
      </c>
      <c r="G32" s="469">
        <f>[1]ABM!$AZ$35</f>
        <v>6828353</v>
      </c>
      <c r="H32" s="469">
        <f>[1]ABM!$AZ$36</f>
        <v>1471719</v>
      </c>
      <c r="I32" s="469">
        <f>[1]ABM!$AZ$37</f>
        <v>258864</v>
      </c>
      <c r="J32" s="469">
        <f>[1]ABM!$AZ$38</f>
        <v>475271</v>
      </c>
      <c r="K32" s="469">
        <f>[1]ABM!$AZ$42</f>
        <v>6864398</v>
      </c>
      <c r="L32" s="469">
        <f>[1]ABM!$AZ$43</f>
        <v>8602427</v>
      </c>
      <c r="M32" s="469">
        <f>[1]ABM!$AZ$44</f>
        <v>1463745</v>
      </c>
      <c r="N32" s="469">
        <f>[1]ABM!$AZ$45</f>
        <v>865072</v>
      </c>
      <c r="O32" s="469">
        <f>[1]ABM!$AZ$81</f>
        <v>1635503</v>
      </c>
      <c r="P32" s="469">
        <f>[1]ABM!$AZ$82</f>
        <v>1237121</v>
      </c>
      <c r="Q32" s="469">
        <f>[1]ABM!$AZ$83</f>
        <v>1622510</v>
      </c>
      <c r="R32" s="469">
        <f>[1]ABM!$AZ$84</f>
        <v>1544285</v>
      </c>
      <c r="S32" s="469">
        <f>[1]ABM!$AZ$85</f>
        <v>1150349</v>
      </c>
      <c r="T32" s="469">
        <f>[1]ABM!$AZ$86</f>
        <v>747798</v>
      </c>
      <c r="U32" s="469">
        <f>[1]ABM!$AZ$103</f>
        <v>1696896</v>
      </c>
      <c r="V32" s="469">
        <f>[1]ABM!$AZ$104</f>
        <v>4116887</v>
      </c>
      <c r="W32" s="469">
        <f>[1]ABM!$AZ$105</f>
        <v>2123783</v>
      </c>
      <c r="X32" s="469">
        <f>[1]ABM!$AZ$106</f>
        <v>3796780</v>
      </c>
      <c r="Y32" s="469">
        <f>[1]ABM!$AZ$107</f>
        <v>4140786</v>
      </c>
      <c r="Z32" s="468">
        <f>'[1]Simulation reports'!AI27</f>
        <v>10001</v>
      </c>
      <c r="AA32" s="468">
        <f t="shared" si="0"/>
        <v>7937566</v>
      </c>
    </row>
    <row r="33" spans="3:27" x14ac:dyDescent="0.25">
      <c r="C33" s="22">
        <v>2050</v>
      </c>
      <c r="D33" s="22" t="s">
        <v>515</v>
      </c>
      <c r="E33" s="441">
        <f>[1]Momentum!$BT$33</f>
        <v>7017839.5</v>
      </c>
      <c r="F33" s="441">
        <f>[1]Momentum!$BT$34</f>
        <v>17233956</v>
      </c>
      <c r="G33" s="441">
        <f>[1]Momentum!$BT$35</f>
        <v>5165584.5</v>
      </c>
      <c r="H33" s="441">
        <f>[1]Momentum!$BT$36</f>
        <v>1165733.5</v>
      </c>
      <c r="I33" s="441">
        <f>[1]Momentum!$BT$37</f>
        <v>235695.5</v>
      </c>
      <c r="J33" s="441">
        <f>[1]Momentum!$BT$38</f>
        <v>450826.97</v>
      </c>
      <c r="K33" s="441">
        <f>[1]Momentum!$BT$42</f>
        <v>6336385.5</v>
      </c>
      <c r="L33" s="441">
        <f>[1]Momentum!$BT$43</f>
        <v>8232770.5</v>
      </c>
      <c r="M33" s="441">
        <f>[1]Momentum!$BT$44</f>
        <v>1751242.75</v>
      </c>
      <c r="N33" s="441">
        <f>[1]Momentum!$BT$45</f>
        <v>913537.38</v>
      </c>
      <c r="O33" s="441">
        <f>[1]Momentum!$BT$81</f>
        <v>1653697.38</v>
      </c>
      <c r="P33" s="441">
        <f>[1]Momentum!$BT$82</f>
        <v>1382506.25</v>
      </c>
      <c r="Q33" s="441">
        <f>[1]Momentum!$BT$83</f>
        <v>1637182.88</v>
      </c>
      <c r="R33" s="441">
        <f>[1]Momentum!$BT$84</f>
        <v>1553663</v>
      </c>
      <c r="S33" s="441">
        <f>[1]Momentum!$BT$85</f>
        <v>1281921.25</v>
      </c>
      <c r="T33" s="441">
        <f>[1]Momentum!$BT$86</f>
        <v>952686.94</v>
      </c>
      <c r="U33" s="441">
        <f>[1]Momentum!$BT$103</f>
        <v>1929555.38</v>
      </c>
      <c r="V33" s="441">
        <f>[1]Momentum!$BT$104</f>
        <v>4221335</v>
      </c>
      <c r="W33" s="441">
        <f>[1]Momentum!$BT$105</f>
        <v>2310767.25</v>
      </c>
      <c r="X33" s="441">
        <f>[1]Momentum!$BT$106</f>
        <v>3953088.75</v>
      </c>
      <c r="Y33" s="441">
        <f>[1]Momentum!$BT$107</f>
        <v>4508570</v>
      </c>
      <c r="Z33" s="466">
        <f>365*([1]Momentum!$BT$39+[1]Momentum!$BT$46)/$AA33</f>
        <v>7672.1335423743012</v>
      </c>
      <c r="AA33" s="466">
        <f t="shared" si="0"/>
        <v>8461658.75</v>
      </c>
    </row>
    <row r="34" spans="3:27" x14ac:dyDescent="0.25">
      <c r="D34" s="22" t="s">
        <v>667</v>
      </c>
      <c r="E34" s="441">
        <f>[1]Tech_Triumphs!$BT$33</f>
        <v>7658685.5</v>
      </c>
      <c r="F34" s="441">
        <f>[1]Tech_Triumphs!$BT$34</f>
        <v>23042494</v>
      </c>
      <c r="G34" s="441">
        <f>[1]Tech_Triumphs!$BT$35</f>
        <v>5786286.5</v>
      </c>
      <c r="H34" s="441">
        <f>[1]Tech_Triumphs!$BT$36</f>
        <v>1220383.8799999999</v>
      </c>
      <c r="I34" s="441">
        <f>[1]Tech_Triumphs!$BT$37</f>
        <v>230438.66</v>
      </c>
      <c r="J34" s="441">
        <f>[1]Tech_Triumphs!$BT$38</f>
        <v>421582.47</v>
      </c>
      <c r="K34" s="441">
        <f>[1]Tech_Triumphs!$BT$42</f>
        <v>9318495</v>
      </c>
      <c r="L34" s="441">
        <f>[1]Tech_Triumphs!$BT$43</f>
        <v>10694413</v>
      </c>
      <c r="M34" s="441">
        <f>[1]Tech_Triumphs!$BT$44</f>
        <v>1995631.38</v>
      </c>
      <c r="N34" s="441">
        <f>[1]Tech_Triumphs!$BT$45</f>
        <v>1033970.38</v>
      </c>
      <c r="O34" s="441">
        <f>[1]Tech_Triumphs!$BT$81</f>
        <v>1508550.25</v>
      </c>
      <c r="P34" s="441">
        <f>[1]Tech_Triumphs!$BT$82</f>
        <v>1346323.38</v>
      </c>
      <c r="Q34" s="441">
        <f>[1]Tech_Triumphs!$BT$83</f>
        <v>1626539.38</v>
      </c>
      <c r="R34" s="441">
        <f>[1]Tech_Triumphs!$BT$84</f>
        <v>1561468.88</v>
      </c>
      <c r="S34" s="441">
        <f>[1]Tech_Triumphs!$BT$85</f>
        <v>1301871.3799999999</v>
      </c>
      <c r="T34" s="441">
        <f>[1]Tech_Triumphs!$BT$86</f>
        <v>1028094.38</v>
      </c>
      <c r="U34" s="441">
        <f>[1]Tech_Triumphs!$BT$103</f>
        <v>1715634.13</v>
      </c>
      <c r="V34" s="441">
        <f>[1]Tech_Triumphs!$BT$104</f>
        <v>4102017.75</v>
      </c>
      <c r="W34" s="441">
        <f>[1]Tech_Triumphs!$BT$105</f>
        <v>2555195.5</v>
      </c>
      <c r="X34" s="441">
        <f>[1]Tech_Triumphs!$BT$106</f>
        <v>4309654</v>
      </c>
      <c r="Y34" s="441">
        <f>[1]Tech_Triumphs!$BT$107</f>
        <v>4063192.75</v>
      </c>
      <c r="Z34" s="466">
        <f>365*([1]Tech_Triumphs!$BT$39+[1]Tech_Triumphs!$BT$46)/$AA34</f>
        <v>10854.855252187674</v>
      </c>
      <c r="AA34" s="466">
        <f t="shared" si="0"/>
        <v>8372846.75</v>
      </c>
    </row>
    <row r="35" spans="3:27" x14ac:dyDescent="0.25">
      <c r="D35" s="22" t="s">
        <v>666</v>
      </c>
      <c r="E35" s="441">
        <f>[1]Gentle_Footprint!$BT$33</f>
        <v>7798055</v>
      </c>
      <c r="F35" s="441">
        <f>[1]Gentle_Footprint!$BT$34</f>
        <v>12856261</v>
      </c>
      <c r="G35" s="441">
        <f>[1]Gentle_Footprint!$BT$35</f>
        <v>5638795.5</v>
      </c>
      <c r="H35" s="441">
        <f>[1]Gentle_Footprint!$BT$36</f>
        <v>1284632.75</v>
      </c>
      <c r="I35" s="441">
        <f>[1]Gentle_Footprint!$BT$37</f>
        <v>289084.65999999997</v>
      </c>
      <c r="J35" s="441">
        <f>[1]Gentle_Footprint!$BT$38</f>
        <v>585539.18999999994</v>
      </c>
      <c r="K35" s="441">
        <f>[1]Gentle_Footprint!$BT$42</f>
        <v>4660341.5</v>
      </c>
      <c r="L35" s="441">
        <f>[1]Gentle_Footprint!$BT$43</f>
        <v>5987396</v>
      </c>
      <c r="M35" s="441">
        <f>[1]Gentle_Footprint!$BT$44</f>
        <v>1478988.25</v>
      </c>
      <c r="N35" s="441">
        <f>[1]Gentle_Footprint!$BT$45</f>
        <v>729548.31</v>
      </c>
      <c r="O35" s="441">
        <f>[1]Gentle_Footprint!$BT$81</f>
        <v>1291233.75</v>
      </c>
      <c r="P35" s="441">
        <f>[1]Gentle_Footprint!$BT$82</f>
        <v>1204537.5</v>
      </c>
      <c r="Q35" s="441">
        <f>[1]Gentle_Footprint!$BT$83</f>
        <v>1535287.88</v>
      </c>
      <c r="R35" s="441">
        <f>[1]Gentle_Footprint!$BT$84</f>
        <v>1519482.63</v>
      </c>
      <c r="S35" s="441">
        <f>[1]Gentle_Footprint!$BT$85</f>
        <v>1247628.75</v>
      </c>
      <c r="T35" s="441">
        <f>[1]Gentle_Footprint!$BT$86</f>
        <v>786327.56</v>
      </c>
      <c r="U35" s="441">
        <f>[1]Gentle_Footprint!$BT$103</f>
        <v>1898385.63</v>
      </c>
      <c r="V35" s="441">
        <f>[1]Gentle_Footprint!$BT$104</f>
        <v>3770954.5</v>
      </c>
      <c r="W35" s="441">
        <f>[1]Gentle_Footprint!$BT$105</f>
        <v>1915158.13</v>
      </c>
      <c r="X35" s="441">
        <f>[1]Gentle_Footprint!$BT$106</f>
        <v>3662009</v>
      </c>
      <c r="Y35" s="441">
        <f>[1]Gentle_Footprint!$BT$107</f>
        <v>3922498.5</v>
      </c>
      <c r="Z35" s="466">
        <f>365*([1]Gentle_Footprint!$BT$39+[1]Gentle_Footprint!$BT$46)/$AA35</f>
        <v>6069.4368144536738</v>
      </c>
      <c r="AA35" s="466">
        <f t="shared" si="0"/>
        <v>7584507.5</v>
      </c>
    </row>
    <row r="36" spans="3:27" x14ac:dyDescent="0.25">
      <c r="D36" s="22" t="s">
        <v>665</v>
      </c>
      <c r="E36" s="441">
        <f>[1]Global_Chaos!$BT$33</f>
        <v>6883173.5</v>
      </c>
      <c r="F36" s="441">
        <f>[1]Global_Chaos!$BT$34</f>
        <v>17201938</v>
      </c>
      <c r="G36" s="441">
        <f>[1]Global_Chaos!$BT$35</f>
        <v>4968317.5</v>
      </c>
      <c r="H36" s="441">
        <f>[1]Global_Chaos!$BT$36</f>
        <v>906132.31</v>
      </c>
      <c r="I36" s="441">
        <f>[1]Global_Chaos!$BT$37</f>
        <v>268178</v>
      </c>
      <c r="J36" s="441">
        <f>[1]Global_Chaos!$BT$38</f>
        <v>740542.69</v>
      </c>
      <c r="K36" s="441">
        <f>[1]Global_Chaos!$BT$42</f>
        <v>5909740.5</v>
      </c>
      <c r="L36" s="441">
        <f>[1]Global_Chaos!$BT$43</f>
        <v>7445143.5</v>
      </c>
      <c r="M36" s="441">
        <f>[1]Global_Chaos!$BT$44</f>
        <v>2327500.75</v>
      </c>
      <c r="N36" s="441">
        <f>[1]Global_Chaos!$BT$45</f>
        <v>1519549.38</v>
      </c>
      <c r="O36" s="441">
        <f>[1]Global_Chaos!$BT$81</f>
        <v>1558875</v>
      </c>
      <c r="P36" s="441">
        <f>[1]Global_Chaos!$BT$82</f>
        <v>1350356.25</v>
      </c>
      <c r="Q36" s="441">
        <f>[1]Global_Chaos!$BT$83</f>
        <v>1611958.13</v>
      </c>
      <c r="R36" s="441">
        <f>[1]Global_Chaos!$BT$84</f>
        <v>1554407.13</v>
      </c>
      <c r="S36" s="441">
        <f>[1]Global_Chaos!$BT$85</f>
        <v>1299211.5</v>
      </c>
      <c r="T36" s="441">
        <f>[1]Global_Chaos!$BT$86</f>
        <v>1027042.81</v>
      </c>
      <c r="U36" s="441">
        <f>[1]Global_Chaos!$BT$103</f>
        <v>1900408.13</v>
      </c>
      <c r="V36" s="441">
        <f>[1]Global_Chaos!$BT$104</f>
        <v>4440103</v>
      </c>
      <c r="W36" s="441">
        <f>[1]Global_Chaos!$BT$105</f>
        <v>2061338.38</v>
      </c>
      <c r="X36" s="441">
        <f>[1]Global_Chaos!$BT$106</f>
        <v>3896823</v>
      </c>
      <c r="Y36" s="441">
        <f>[1]Global_Chaos!$BT$107</f>
        <v>4505030.5</v>
      </c>
      <c r="Z36" s="466">
        <f>365*([1]Global_Chaos!$BT$39+[1]Global_Chaos!$BT$46)/$AA36</f>
        <v>5488.0005822524754</v>
      </c>
      <c r="AA36" s="466">
        <f t="shared" si="0"/>
        <v>8401853.5</v>
      </c>
    </row>
    <row r="37" spans="3:27" x14ac:dyDescent="0.25">
      <c r="D37" s="22" t="s">
        <v>664</v>
      </c>
      <c r="E37" s="441">
        <f>[1]ABM!$BT$33</f>
        <v>0</v>
      </c>
      <c r="F37" s="441">
        <f>[1]ABM!$BT$34</f>
        <v>0</v>
      </c>
      <c r="G37" s="441">
        <f>[1]ABM!$BT$35</f>
        <v>0</v>
      </c>
      <c r="H37" s="441">
        <f>[1]ABM!$BT$36</f>
        <v>0</v>
      </c>
      <c r="I37" s="441">
        <f>[1]ABM!$BT$37</f>
        <v>0</v>
      </c>
      <c r="J37" s="441">
        <f>[1]ABM!$BT$38</f>
        <v>0</v>
      </c>
      <c r="K37" s="441">
        <f>[1]ABM!$BT$42</f>
        <v>0</v>
      </c>
      <c r="L37" s="441">
        <f>[1]ABM!$BT$43</f>
        <v>0</v>
      </c>
      <c r="M37" s="441">
        <f>[1]ABM!$BT$44</f>
        <v>0</v>
      </c>
      <c r="N37" s="441">
        <f>[1]ABM!$BT$45</f>
        <v>0</v>
      </c>
      <c r="O37" s="441">
        <f>[1]ABM!$BT$81</f>
        <v>0</v>
      </c>
      <c r="P37" s="441">
        <f>[1]ABM!$BT$82</f>
        <v>0</v>
      </c>
      <c r="Q37" s="441">
        <f>[1]ABM!$BT$83</f>
        <v>0</v>
      </c>
      <c r="R37" s="441">
        <f>[1]ABM!$BT$84</f>
        <v>0</v>
      </c>
      <c r="S37" s="441">
        <f>[1]ABM!$BT$85</f>
        <v>0</v>
      </c>
      <c r="T37" s="441">
        <f>[1]ABM!$BT$86</f>
        <v>0</v>
      </c>
      <c r="U37" s="441">
        <f>[1]ABM!$BT$103</f>
        <v>0</v>
      </c>
      <c r="V37" s="441">
        <f>[1]ABM!$BT$104</f>
        <v>0</v>
      </c>
      <c r="W37" s="441">
        <f>[1]ABM!$BT$105</f>
        <v>0</v>
      </c>
      <c r="X37" s="441">
        <f>[1]ABM!$BT$106</f>
        <v>0</v>
      </c>
      <c r="Y37" s="441">
        <f>[1]ABM!$BT$107</f>
        <v>0</v>
      </c>
      <c r="Z37" s="441">
        <f>[1]ABM!$BT$107</f>
        <v>0</v>
      </c>
      <c r="AA37" s="441">
        <f>[1]ABM!$BT$107</f>
        <v>0</v>
      </c>
    </row>
    <row r="38" spans="3:27" x14ac:dyDescent="0.25">
      <c r="E38" s="441"/>
      <c r="F38" s="441"/>
      <c r="G38" s="441"/>
      <c r="H38" s="441"/>
      <c r="I38" s="441"/>
      <c r="J38" s="441"/>
      <c r="K38" s="441"/>
      <c r="L38" s="441"/>
      <c r="M38" s="441"/>
      <c r="N38" s="441"/>
      <c r="O38" s="441"/>
      <c r="P38" s="441"/>
      <c r="Q38" s="441"/>
      <c r="R38" s="441"/>
      <c r="S38" s="441"/>
      <c r="T38" s="441"/>
      <c r="U38" s="441"/>
      <c r="V38" s="441"/>
      <c r="W38" s="441"/>
      <c r="X38" s="441"/>
      <c r="Y38" s="441"/>
    </row>
  </sheetData>
  <pageMargins left="0.7" right="0.7" top="0.75" bottom="0.75" header="0.3" footer="0.3"/>
  <pageSetup paperSize="9" orientation="portrait" horizontalDpi="1200" verticalDpi="12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I215"/>
  <sheetViews>
    <sheetView topLeftCell="A169" zoomScale="80" zoomScaleNormal="80" workbookViewId="0">
      <selection activeCell="AD57" sqref="AD57"/>
    </sheetView>
  </sheetViews>
  <sheetFormatPr defaultRowHeight="15" x14ac:dyDescent="0.25"/>
  <cols>
    <col min="1" max="16384" width="9.140625" style="22"/>
  </cols>
  <sheetData>
    <row r="215" spans="35:35" x14ac:dyDescent="0.25">
      <c r="AI215" s="22" t="s">
        <v>668</v>
      </c>
    </row>
  </sheetData>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59</vt:i4>
      </vt:variant>
    </vt:vector>
  </HeadingPairs>
  <TitlesOfParts>
    <vt:vector size="73" baseType="lpstr">
      <vt:lpstr>Main Menu</vt:lpstr>
      <vt:lpstr>Full Steam Ahead</vt:lpstr>
      <vt:lpstr>Tech Reigns</vt:lpstr>
      <vt:lpstr>Green Growth</vt:lpstr>
      <vt:lpstr>Fierce Headwinds</vt:lpstr>
      <vt:lpstr>Demographic initial values</vt:lpstr>
      <vt:lpstr>Employment initial values</vt:lpstr>
      <vt:lpstr>Land use initial values</vt:lpstr>
      <vt:lpstr>Transp. supply initial values</vt:lpstr>
      <vt:lpstr>Demographic transition rates</vt:lpstr>
      <vt:lpstr>Demographic seed matrix</vt:lpstr>
      <vt:lpstr>Travel behavior models</vt:lpstr>
      <vt:lpstr>Outputs</vt:lpstr>
      <vt:lpstr>Output Charts</vt:lpstr>
      <vt:lpstr>wksDemographicInitialValues1</vt:lpstr>
      <vt:lpstr>wksDemographicInitialValues2</vt:lpstr>
      <vt:lpstr>wksDemographicInitialValues3</vt:lpstr>
      <vt:lpstr>wksDemographicInitialValues4</vt:lpstr>
      <vt:lpstr>wksDemographicInitialValues5</vt:lpstr>
      <vt:lpstr>wksDemographicInitialValues6</vt:lpstr>
      <vt:lpstr>wksDemographicSeedMatrix</vt:lpstr>
      <vt:lpstr>wksDemogTransitionRates1</vt:lpstr>
      <vt:lpstr>wksDemogTransitionRates2</vt:lpstr>
      <vt:lpstr>wksDemogTransitionRates3</vt:lpstr>
      <vt:lpstr>wksDemogTransitionRates4</vt:lpstr>
      <vt:lpstr>wksDemogTransitionRates5</vt:lpstr>
      <vt:lpstr>wksDemogTransitionRates6</vt:lpstr>
      <vt:lpstr>wksEmploymentInitialValues1</vt:lpstr>
      <vt:lpstr>wksEmploymentInitialValues2</vt:lpstr>
      <vt:lpstr>wksEmploymentInitialValues3</vt:lpstr>
      <vt:lpstr>wksEmploymentInitialValues4</vt:lpstr>
      <vt:lpstr>wksEmploymentInitialValues5</vt:lpstr>
      <vt:lpstr>wksGentle1</vt:lpstr>
      <vt:lpstr>wksGentle2</vt:lpstr>
      <vt:lpstr>wksGentle3</vt:lpstr>
      <vt:lpstr>wksGentle4</vt:lpstr>
      <vt:lpstr>wksGentle5</vt:lpstr>
      <vt:lpstr>wksGentle6</vt:lpstr>
      <vt:lpstr>wksGlobal1</vt:lpstr>
      <vt:lpstr>wksGlobal2</vt:lpstr>
      <vt:lpstr>wksGlobal3</vt:lpstr>
      <vt:lpstr>wksGlobal4</vt:lpstr>
      <vt:lpstr>wksGlobal5</vt:lpstr>
      <vt:lpstr>wksGlobal6</vt:lpstr>
      <vt:lpstr>wksLandUseInitialValues1</vt:lpstr>
      <vt:lpstr>wksLandUseInitialValues2</vt:lpstr>
      <vt:lpstr>wksLandUseInitialValues3</vt:lpstr>
      <vt:lpstr>wksLandUseInitialValues4</vt:lpstr>
      <vt:lpstr>wksLandUseInitialValues5</vt:lpstr>
      <vt:lpstr>wksMomentum1</vt:lpstr>
      <vt:lpstr>wksMomentum2</vt:lpstr>
      <vt:lpstr>wksMomentum3</vt:lpstr>
      <vt:lpstr>wksMomentum4</vt:lpstr>
      <vt:lpstr>wksMomentum5</vt:lpstr>
      <vt:lpstr>wksMomentum6</vt:lpstr>
      <vt:lpstr>wksRegionList</vt:lpstr>
      <vt:lpstr>wksScenarioList</vt:lpstr>
      <vt:lpstr>wksScenOutputFileName</vt:lpstr>
      <vt:lpstr>wksSelRegion</vt:lpstr>
      <vt:lpstr>wksSelScenario</vt:lpstr>
      <vt:lpstr>wksTech1</vt:lpstr>
      <vt:lpstr>wksTech2</vt:lpstr>
      <vt:lpstr>wksTech3</vt:lpstr>
      <vt:lpstr>wksTech4</vt:lpstr>
      <vt:lpstr>wksTech5</vt:lpstr>
      <vt:lpstr>wksTech6</vt:lpstr>
      <vt:lpstr>wksTransSupply1</vt:lpstr>
      <vt:lpstr>wksTransSupply2</vt:lpstr>
      <vt:lpstr>wksTransSupply3</vt:lpstr>
      <vt:lpstr>wksTransSupply4</vt:lpstr>
      <vt:lpstr>wksTransSupply5</vt:lpstr>
      <vt:lpstr>wksTransSupply6</vt:lpstr>
      <vt:lpstr>wksTravelBehaviorModels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dc:creator>
  <cp:lastModifiedBy>Shayna Pollock</cp:lastModifiedBy>
  <dcterms:created xsi:type="dcterms:W3CDTF">2011-07-28T20:05:59Z</dcterms:created>
  <dcterms:modified xsi:type="dcterms:W3CDTF">2017-03-01T19:47:14Z</dcterms:modified>
</cp:coreProperties>
</file>